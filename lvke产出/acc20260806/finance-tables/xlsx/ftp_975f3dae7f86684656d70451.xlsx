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1" sheetId="1" state="visible" r:id="rId1"/>
    <sheet xmlns:r="http://schemas.openxmlformats.org/officeDocument/2006/relationships" name="附表2" sheetId="2" state="visible" r:id="rId2"/>
    <sheet xmlns:r="http://schemas.openxmlformats.org/officeDocument/2006/relationships" name="附表3" sheetId="3" state="visible" r:id="rId3"/>
    <sheet xmlns:r="http://schemas.openxmlformats.org/officeDocument/2006/relationships" name="附表4" sheetId="4" state="visible" r:id="rId4"/>
    <sheet xmlns:r="http://schemas.openxmlformats.org/officeDocument/2006/relationships" name="附表5" sheetId="5" state="visible" r:id="rId5"/>
    <sheet xmlns:r="http://schemas.openxmlformats.org/officeDocument/2006/relationships" name="附表6" sheetId="6" state="visible" r:id="rId6"/>
    <sheet xmlns:r="http://schemas.openxmlformats.org/officeDocument/2006/relationships" name="附表6-1" sheetId="7" state="visible" r:id="rId7"/>
    <sheet xmlns:r="http://schemas.openxmlformats.org/officeDocument/2006/relationships" name="附表6-2" sheetId="8" state="visible" r:id="rId8"/>
    <sheet xmlns:r="http://schemas.openxmlformats.org/officeDocument/2006/relationships" name="附表6-3" sheetId="9" state="visible" r:id="rId9"/>
    <sheet xmlns:r="http://schemas.openxmlformats.org/officeDocument/2006/relationships" name="附表7" sheetId="10" state="visible" r:id="rId10"/>
    <sheet xmlns:r="http://schemas.openxmlformats.org/officeDocument/2006/relationships" name="附表8" sheetId="11" state="visible" r:id="rId11"/>
    <sheet xmlns:r="http://schemas.openxmlformats.org/officeDocument/2006/relationships" name="附表9" sheetId="12" state="visible" r:id="rId12"/>
    <sheet xmlns:r="http://schemas.openxmlformats.org/officeDocument/2006/relationships" name="附表10" sheetId="13" state="visible" r:id="rId1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pivotButton="0" quotePrefix="0" xfId="0"/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  <xf numFmtId="0" fontId="1" fillId="4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附表1 固定资产投资估算表</t>
        </is>
      </c>
    </row>
    <row r="2">
      <c r="A2" t="inlineStr">
        <is>
          <t>计算状态：computed；口径：reference；有效：是</t>
        </is>
      </c>
    </row>
    <row r="3">
      <c r="A3" s="2" t="inlineStr">
        <is>
          <t>序号</t>
        </is>
      </c>
      <c r="B3" s="2" t="inlineStr">
        <is>
          <t>工程或费用名称</t>
        </is>
      </c>
      <c r="C3" s="2" t="inlineStr">
        <is>
          <t>计量单位</t>
        </is>
      </c>
      <c r="D3" s="2" t="inlineStr">
        <is>
          <t>工程量</t>
        </is>
      </c>
      <c r="E3" s="2" t="inlineStr">
        <is>
          <t>估算指标（元）</t>
        </is>
      </c>
      <c r="F3" s="2" t="inlineStr">
        <is>
          <t>建筑工程</t>
        </is>
      </c>
      <c r="G3" s="2" t="inlineStr">
        <is>
          <t>设备原价</t>
        </is>
      </c>
      <c r="H3" s="2" t="inlineStr">
        <is>
          <t>运杂安装工程费</t>
        </is>
      </c>
      <c r="I3" s="2" t="inlineStr">
        <is>
          <t>其它费用</t>
        </is>
      </c>
      <c r="J3" s="2" t="inlineStr">
        <is>
          <t>合计</t>
        </is>
      </c>
      <c r="K3" s="2" t="inlineStr">
        <is>
          <t>比例(%)</t>
        </is>
      </c>
    </row>
    <row r="4">
      <c r="A4" s="3" t="inlineStr">
        <is>
          <t>1</t>
        </is>
      </c>
      <c r="B4" s="3" t="inlineStr">
        <is>
          <t>工程费用</t>
        </is>
      </c>
      <c r="C4" s="3" t="inlineStr"/>
      <c r="D4" s="3" t="n"/>
      <c r="E4" s="3" t="n"/>
      <c r="F4" s="3" t="n"/>
      <c r="G4" s="3" t="n"/>
      <c r="H4" s="3" t="n"/>
      <c r="I4" s="3" t="n"/>
      <c r="J4" s="4" t="n">
        <v>26227</v>
      </c>
      <c r="K4" s="4" t="n">
        <v>81.95999999999999</v>
      </c>
    </row>
    <row r="5">
      <c r="A5" s="3" t="inlineStr">
        <is>
          <t>1.1</t>
        </is>
      </c>
      <c r="B5" s="3" t="inlineStr">
        <is>
          <t>游客服务中心</t>
        </is>
      </c>
      <c r="C5" s="3" t="inlineStr">
        <is>
          <t>m2</t>
        </is>
      </c>
      <c r="D5" s="4" t="n">
        <v>6000</v>
      </c>
      <c r="E5" s="4" t="n">
        <v>4800</v>
      </c>
      <c r="F5" s="4">
        <f>J5</f>
        <v/>
      </c>
      <c r="G5" s="3" t="n"/>
      <c r="H5" s="3" t="n"/>
      <c r="I5" s="3" t="n"/>
      <c r="J5" s="4">
        <f>D5*E5/10000</f>
        <v/>
      </c>
      <c r="K5" s="4">
        <f>J5/J28*100</f>
        <v/>
      </c>
    </row>
    <row r="6">
      <c r="A6" s="3" t="inlineStr">
        <is>
          <t>1.2</t>
        </is>
      </c>
      <c r="B6" s="3" t="inlineStr">
        <is>
          <t>生态景观与绿化工程</t>
        </is>
      </c>
      <c r="C6" s="3" t="inlineStr">
        <is>
          <t>m2</t>
        </is>
      </c>
      <c r="D6" s="4" t="n">
        <v>165000</v>
      </c>
      <c r="E6" s="4" t="n">
        <v>320</v>
      </c>
      <c r="F6" s="4">
        <f>J6</f>
        <v/>
      </c>
      <c r="G6" s="3" t="n"/>
      <c r="H6" s="3" t="n"/>
      <c r="I6" s="3" t="n"/>
      <c r="J6" s="4">
        <f>D6*E6/10000</f>
        <v/>
      </c>
      <c r="K6" s="4">
        <f>J6/J28*100</f>
        <v/>
      </c>
    </row>
    <row r="7">
      <c r="A7" s="3" t="inlineStr">
        <is>
          <t>1.3</t>
        </is>
      </c>
      <c r="B7" s="3" t="inlineStr">
        <is>
          <t>儿童游乐区场地与设施基础</t>
        </is>
      </c>
      <c r="C7" s="3" t="inlineStr">
        <is>
          <t>m2</t>
        </is>
      </c>
      <c r="D7" s="4" t="n">
        <v>15000</v>
      </c>
      <c r="E7" s="4" t="n">
        <v>2600</v>
      </c>
      <c r="F7" s="4">
        <f>J7</f>
        <v/>
      </c>
      <c r="G7" s="3" t="n"/>
      <c r="H7" s="3" t="n"/>
      <c r="I7" s="3" t="n"/>
      <c r="J7" s="4">
        <f>D7*E7/10000</f>
        <v/>
      </c>
      <c r="K7" s="4">
        <f>J7/J28*100</f>
        <v/>
      </c>
    </row>
    <row r="8">
      <c r="A8" s="3" t="inlineStr">
        <is>
          <t>1.4</t>
        </is>
      </c>
      <c r="B8" s="3" t="inlineStr">
        <is>
          <t>环湖步道与栈道</t>
        </is>
      </c>
      <c r="C8" s="3" t="inlineStr">
        <is>
          <t>m</t>
        </is>
      </c>
      <c r="D8" s="4" t="n">
        <v>8500</v>
      </c>
      <c r="E8" s="4" t="n">
        <v>1800</v>
      </c>
      <c r="F8" s="4">
        <f>J8</f>
        <v/>
      </c>
      <c r="G8" s="3" t="n"/>
      <c r="H8" s="3" t="n"/>
      <c r="I8" s="3" t="n"/>
      <c r="J8" s="4">
        <f>D8*E8/10000</f>
        <v/>
      </c>
      <c r="K8" s="4">
        <f>J8/J28*100</f>
        <v/>
      </c>
    </row>
    <row r="9">
      <c r="A9" s="3" t="inlineStr">
        <is>
          <t>1.5</t>
        </is>
      </c>
      <c r="B9" s="3" t="inlineStr">
        <is>
          <t>民宿与康养住宿楼</t>
        </is>
      </c>
      <c r="C9" s="3" t="inlineStr">
        <is>
          <t>m2</t>
        </is>
      </c>
      <c r="D9" s="4" t="n">
        <v>9000</v>
      </c>
      <c r="E9" s="4" t="n">
        <v>5200</v>
      </c>
      <c r="F9" s="4">
        <f>J9</f>
        <v/>
      </c>
      <c r="G9" s="3" t="n"/>
      <c r="H9" s="3" t="n"/>
      <c r="I9" s="3" t="n"/>
      <c r="J9" s="4">
        <f>D9*E9/10000</f>
        <v/>
      </c>
      <c r="K9" s="4">
        <f>J9/J28*100</f>
        <v/>
      </c>
    </row>
    <row r="10">
      <c r="A10" s="3" t="inlineStr">
        <is>
          <t>1.6</t>
        </is>
      </c>
      <c r="B10" s="3" t="inlineStr">
        <is>
          <t>道路与停车场</t>
        </is>
      </c>
      <c r="C10" s="3" t="inlineStr">
        <is>
          <t>m2</t>
        </is>
      </c>
      <c r="D10" s="4" t="n">
        <v>45000</v>
      </c>
      <c r="E10" s="4" t="n">
        <v>420</v>
      </c>
      <c r="F10" s="4">
        <f>J10</f>
        <v/>
      </c>
      <c r="G10" s="3" t="n"/>
      <c r="H10" s="3" t="n"/>
      <c r="I10" s="3" t="n"/>
      <c r="J10" s="4">
        <f>D10*E10/10000</f>
        <v/>
      </c>
      <c r="K10" s="4">
        <f>J10/J28*100</f>
        <v/>
      </c>
    </row>
    <row r="11">
      <c r="A11" s="3" t="inlineStr">
        <is>
          <t>1.7</t>
        </is>
      </c>
      <c r="B11" s="3" t="inlineStr">
        <is>
          <t>给排水与电气管网</t>
        </is>
      </c>
      <c r="C11" s="3" t="inlineStr">
        <is>
          <t>项</t>
        </is>
      </c>
      <c r="D11" s="4" t="n">
        <v>1</v>
      </c>
      <c r="E11" s="4" t="n">
        <v>11950000</v>
      </c>
      <c r="F11" s="4">
        <f>J11</f>
        <v/>
      </c>
      <c r="G11" s="3" t="n"/>
      <c r="H11" s="3" t="n"/>
      <c r="I11" s="3" t="n"/>
      <c r="J11" s="4">
        <f>D11*E11/10000</f>
        <v/>
      </c>
      <c r="K11" s="4">
        <f>J11/J28*100</f>
        <v/>
      </c>
    </row>
    <row r="12">
      <c r="A12" s="3" t="inlineStr">
        <is>
          <t>1.8</t>
        </is>
      </c>
      <c r="B12" s="3" t="inlineStr">
        <is>
          <t>大型游乐设备</t>
        </is>
      </c>
      <c r="C12" s="3" t="inlineStr">
        <is>
          <t>套</t>
        </is>
      </c>
      <c r="D12" s="4" t="n">
        <v>6</v>
      </c>
      <c r="E12" s="4" t="n">
        <v>4800000</v>
      </c>
      <c r="F12" s="3" t="n"/>
      <c r="G12" s="4">
        <f>J12</f>
        <v/>
      </c>
      <c r="H12" s="3" t="n"/>
      <c r="I12" s="3" t="n"/>
      <c r="J12" s="4">
        <f>D12*E12/10000</f>
        <v/>
      </c>
      <c r="K12" s="4">
        <f>J12/J28*100</f>
        <v/>
      </c>
    </row>
    <row r="13">
      <c r="A13" s="3" t="inlineStr">
        <is>
          <t>1.9</t>
        </is>
      </c>
      <c r="B13" s="3" t="inlineStr">
        <is>
          <t>智慧景区系统</t>
        </is>
      </c>
      <c r="C13" s="3" t="inlineStr">
        <is>
          <t>套</t>
        </is>
      </c>
      <c r="D13" s="4" t="n">
        <v>1</v>
      </c>
      <c r="E13" s="4" t="n">
        <v>6200000</v>
      </c>
      <c r="F13" s="3" t="n"/>
      <c r="G13" s="4">
        <f>J13</f>
        <v/>
      </c>
      <c r="H13" s="3" t="n"/>
      <c r="I13" s="3" t="n"/>
      <c r="J13" s="4">
        <f>D13*E13/10000</f>
        <v/>
      </c>
      <c r="K13" s="4">
        <f>J13/J28*100</f>
        <v/>
      </c>
    </row>
    <row r="14">
      <c r="A14" s="3" t="inlineStr">
        <is>
          <t>1.10</t>
        </is>
      </c>
      <c r="B14" s="3" t="inlineStr">
        <is>
          <t>运营设备与家具</t>
        </is>
      </c>
      <c r="C14" s="3" t="inlineStr">
        <is>
          <t>批</t>
        </is>
      </c>
      <c r="D14" s="4" t="n">
        <v>1</v>
      </c>
      <c r="E14" s="4" t="n">
        <v>8500000</v>
      </c>
      <c r="F14" s="3" t="n"/>
      <c r="G14" s="4">
        <f>J14</f>
        <v/>
      </c>
      <c r="H14" s="3" t="n"/>
      <c r="I14" s="3" t="n"/>
      <c r="J14" s="4">
        <f>D14*E14/10000</f>
        <v/>
      </c>
      <c r="K14" s="4">
        <f>J14/J28*100</f>
        <v/>
      </c>
    </row>
    <row r="15">
      <c r="A15" s="3" t="inlineStr">
        <is>
          <t>1.11</t>
        </is>
      </c>
      <c r="B15" s="3" t="inlineStr">
        <is>
          <t>设备安装工程</t>
        </is>
      </c>
      <c r="C15" s="3" t="inlineStr">
        <is>
          <t>项</t>
        </is>
      </c>
      <c r="D15" s="4" t="n">
        <v>1</v>
      </c>
      <c r="E15" s="4" t="n">
        <v>5220000</v>
      </c>
      <c r="F15" s="3" t="n"/>
      <c r="G15" s="3" t="n"/>
      <c r="H15" s="4">
        <f>J15</f>
        <v/>
      </c>
      <c r="I15" s="3" t="n"/>
      <c r="J15" s="4">
        <f>D15*E15/10000</f>
        <v/>
      </c>
      <c r="K15" s="4">
        <f>J15/J28*100</f>
        <v/>
      </c>
    </row>
    <row r="16">
      <c r="A16" s="3" t="inlineStr">
        <is>
          <t>2</t>
        </is>
      </c>
      <c r="B16" s="3" t="inlineStr">
        <is>
          <t>工程建设其他费用</t>
        </is>
      </c>
      <c r="C16" s="3" t="inlineStr"/>
      <c r="D16" s="3" t="n"/>
      <c r="E16" s="3" t="n"/>
      <c r="F16" s="3" t="n"/>
      <c r="G16" s="3" t="n"/>
      <c r="H16" s="3" t="n"/>
      <c r="I16" s="3" t="n"/>
      <c r="J16" s="4" t="n">
        <v>3583.8</v>
      </c>
      <c r="K16" s="4" t="n">
        <v>11.2</v>
      </c>
    </row>
    <row r="17">
      <c r="A17" s="3" t="inlineStr">
        <is>
          <t>2.1</t>
        </is>
      </c>
      <c r="B17" s="3" t="inlineStr">
        <is>
          <t>土地使用费</t>
        </is>
      </c>
      <c r="C17" s="3" t="inlineStr">
        <is>
          <t>万元</t>
        </is>
      </c>
      <c r="D17" s="3" t="n"/>
      <c r="E17" s="3" t="n"/>
      <c r="F17" s="3" t="n"/>
      <c r="G17" s="3" t="n"/>
      <c r="H17" s="3" t="n"/>
      <c r="I17" s="4">
        <f>J17</f>
        <v/>
      </c>
      <c r="J17" s="4">
        <f>D17*E17/10000</f>
        <v/>
      </c>
      <c r="K17" s="4">
        <f>J17/J28*100</f>
        <v/>
      </c>
    </row>
    <row r="18">
      <c r="A18" s="3" t="inlineStr">
        <is>
          <t>2.2</t>
        </is>
      </c>
      <c r="B18" s="3" t="inlineStr">
        <is>
          <t>勘察设计费</t>
        </is>
      </c>
      <c r="C18" s="3" t="inlineStr">
        <is>
          <t>万元</t>
        </is>
      </c>
      <c r="D18" s="3" t="n"/>
      <c r="E18" s="3" t="n"/>
      <c r="F18" s="3" t="n"/>
      <c r="G18" s="3" t="n"/>
      <c r="H18" s="3" t="n"/>
      <c r="I18" s="4">
        <f>J18</f>
        <v/>
      </c>
      <c r="J18" s="4">
        <f>D18*E18/10000</f>
        <v/>
      </c>
      <c r="K18" s="4">
        <f>J18/J28*100</f>
        <v/>
      </c>
    </row>
    <row r="19">
      <c r="A19" s="3" t="inlineStr">
        <is>
          <t>2.3</t>
        </is>
      </c>
      <c r="B19" s="3" t="inlineStr">
        <is>
          <t>项目管理费</t>
        </is>
      </c>
      <c r="C19" s="3" t="inlineStr">
        <is>
          <t>万元</t>
        </is>
      </c>
      <c r="D19" s="3" t="n"/>
      <c r="E19" s="3" t="n"/>
      <c r="F19" s="3" t="n"/>
      <c r="G19" s="3" t="n"/>
      <c r="H19" s="3" t="n"/>
      <c r="I19" s="4">
        <f>J19</f>
        <v/>
      </c>
      <c r="J19" s="4">
        <f>D19*E19/10000</f>
        <v/>
      </c>
      <c r="K19" s="4">
        <f>J19/J28*100</f>
        <v/>
      </c>
    </row>
    <row r="20">
      <c r="A20" s="3" t="inlineStr">
        <is>
          <t>2.4</t>
        </is>
      </c>
      <c r="B20" s="3" t="inlineStr">
        <is>
          <t>工程监理费</t>
        </is>
      </c>
      <c r="C20" s="3" t="inlineStr">
        <is>
          <t>万元</t>
        </is>
      </c>
      <c r="D20" s="3" t="n"/>
      <c r="E20" s="3" t="n"/>
      <c r="F20" s="3" t="n"/>
      <c r="G20" s="3" t="n"/>
      <c r="H20" s="3" t="n"/>
      <c r="I20" s="4">
        <f>J20</f>
        <v/>
      </c>
      <c r="J20" s="4">
        <f>D20*E20/10000</f>
        <v/>
      </c>
      <c r="K20" s="4">
        <f>J20/J28*100</f>
        <v/>
      </c>
    </row>
    <row r="21">
      <c r="A21" s="3" t="inlineStr">
        <is>
          <t>2.5</t>
        </is>
      </c>
      <c r="B21" s="3" t="inlineStr">
        <is>
          <t>可研与咨询费</t>
        </is>
      </c>
      <c r="C21" s="3" t="inlineStr">
        <is>
          <t>万元</t>
        </is>
      </c>
      <c r="D21" s="3" t="n"/>
      <c r="E21" s="3" t="n"/>
      <c r="F21" s="3" t="n"/>
      <c r="G21" s="3" t="n"/>
      <c r="H21" s="3" t="n"/>
      <c r="I21" s="4">
        <f>J21</f>
        <v/>
      </c>
      <c r="J21" s="4">
        <f>D21*E21/10000</f>
        <v/>
      </c>
      <c r="K21" s="4">
        <f>J21/J28*100</f>
        <v/>
      </c>
    </row>
    <row r="22">
      <c r="A22" s="3" t="inlineStr">
        <is>
          <t>3</t>
        </is>
      </c>
      <c r="B22" s="3" t="inlineStr">
        <is>
          <t>预备费</t>
        </is>
      </c>
      <c r="C22" s="3" t="inlineStr"/>
      <c r="D22" s="3" t="n"/>
      <c r="E22" s="3" t="n"/>
      <c r="F22" s="3" t="n"/>
      <c r="G22" s="3" t="n"/>
      <c r="H22" s="3" t="n"/>
      <c r="I22" s="3" t="n"/>
      <c r="J22" s="4" t="n">
        <v>1541.2</v>
      </c>
      <c r="K22" s="4" t="n">
        <v>4.82</v>
      </c>
    </row>
    <row r="23">
      <c r="A23" s="3" t="inlineStr">
        <is>
          <t>3.1</t>
        </is>
      </c>
      <c r="B23" s="3" t="inlineStr">
        <is>
          <t>预备费合计</t>
        </is>
      </c>
      <c r="C23" s="3" t="inlineStr">
        <is>
          <t>万元</t>
        </is>
      </c>
      <c r="D23" s="3" t="n"/>
      <c r="E23" s="3" t="n"/>
      <c r="F23" s="3" t="n"/>
      <c r="G23" s="3" t="n"/>
      <c r="H23" s="3" t="n"/>
      <c r="I23" s="4">
        <f>J23</f>
        <v/>
      </c>
      <c r="J23" s="4">
        <f>D23*E23/10000</f>
        <v/>
      </c>
      <c r="K23" s="4">
        <f>J23/J28*100</f>
        <v/>
      </c>
    </row>
    <row r="24">
      <c r="A24" s="3" t="inlineStr">
        <is>
          <t>4</t>
        </is>
      </c>
      <c r="B24" s="3" t="inlineStr">
        <is>
          <t>一至三项合计</t>
        </is>
      </c>
      <c r="C24" s="3" t="inlineStr">
        <is>
          <t>万元</t>
        </is>
      </c>
      <c r="D24" s="3" t="n"/>
      <c r="E24" s="3" t="n"/>
      <c r="F24" s="3" t="n"/>
      <c r="G24" s="3" t="n"/>
      <c r="H24" s="3" t="n"/>
      <c r="I24" s="4" t="n">
        <v>31352</v>
      </c>
      <c r="J24" s="4" t="n">
        <v>31352</v>
      </c>
      <c r="K24" s="4" t="n">
        <v>97.97</v>
      </c>
    </row>
    <row r="25">
      <c r="A25" s="3" t="inlineStr">
        <is>
          <t>5</t>
        </is>
      </c>
      <c r="B25" s="3" t="inlineStr">
        <is>
          <t>建设期贷款利息</t>
        </is>
      </c>
      <c r="C25" s="3" t="inlineStr">
        <is>
          <t>万元</t>
        </is>
      </c>
      <c r="D25" s="3" t="n"/>
      <c r="E25" s="3" t="n"/>
      <c r="F25" s="3" t="n"/>
      <c r="G25" s="3" t="n"/>
      <c r="H25" s="3" t="n"/>
      <c r="I25" s="4" t="n">
        <v>648</v>
      </c>
      <c r="J25" s="4" t="n">
        <v>648</v>
      </c>
      <c r="K25" s="4" t="n">
        <v>2.02</v>
      </c>
    </row>
    <row r="26">
      <c r="A26" s="3" t="inlineStr">
        <is>
          <t>6</t>
        </is>
      </c>
      <c r="B26" s="3" t="inlineStr">
        <is>
          <t>固定资产投资合计</t>
        </is>
      </c>
      <c r="C26" s="3" t="inlineStr">
        <is>
          <t>万元</t>
        </is>
      </c>
      <c r="D26" s="3" t="n"/>
      <c r="E26" s="3" t="n"/>
      <c r="F26" s="3" t="n"/>
      <c r="G26" s="3" t="n"/>
      <c r="H26" s="3" t="n"/>
      <c r="I26" s="4" t="n">
        <v>32000</v>
      </c>
      <c r="J26" s="4" t="n">
        <v>32000</v>
      </c>
      <c r="K26" s="4" t="n">
        <v>100</v>
      </c>
    </row>
    <row r="27">
      <c r="A27" s="3" t="inlineStr">
        <is>
          <t>7</t>
        </is>
      </c>
      <c r="B27" s="3" t="inlineStr">
        <is>
          <t>流动资金</t>
        </is>
      </c>
      <c r="C27" s="3" t="inlineStr">
        <is>
          <t>万元</t>
        </is>
      </c>
      <c r="D27" s="3" t="n"/>
      <c r="E27" s="3" t="n"/>
      <c r="F27" s="3" t="n"/>
      <c r="G27" s="3" t="n"/>
      <c r="H27" s="3" t="n"/>
      <c r="I27" s="4" t="n">
        <v>0</v>
      </c>
      <c r="J27" s="4" t="n">
        <v>0</v>
      </c>
      <c r="K27" s="4" t="n">
        <v>0</v>
      </c>
    </row>
    <row r="28">
      <c r="A28" s="3" t="inlineStr"/>
      <c r="B28" s="3" t="inlineStr">
        <is>
          <t>项目总投资合计</t>
        </is>
      </c>
      <c r="C28" s="3" t="inlineStr">
        <is>
          <t>万元</t>
        </is>
      </c>
      <c r="D28" s="3" t="n"/>
      <c r="E28" s="3" t="n"/>
      <c r="F28" s="3" t="n"/>
      <c r="G28" s="3" t="n"/>
      <c r="H28" s="3" t="n"/>
      <c r="I28" s="3" t="n"/>
      <c r="J28" s="4" t="n">
        <v>32000</v>
      </c>
      <c r="K28" s="4" t="n">
        <v>100</v>
      </c>
    </row>
    <row r="29">
      <c r="A29" t="inlineStr">
        <is>
          <t>说明1：明细来自用户输入；未提供工程量/指标时保持空白，不反向造数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附表2 建设期贷款利息表</t>
        </is>
      </c>
    </row>
    <row r="2">
      <c r="A2" t="inlineStr">
        <is>
          <t>计算状态：computed；口径：reference；有效：是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分年1</t>
        </is>
      </c>
      <c r="E3" s="2" t="inlineStr">
        <is>
          <t>分年2</t>
        </is>
      </c>
    </row>
    <row r="4">
      <c r="A4" s="3" t="inlineStr">
        <is>
          <t>1</t>
        </is>
      </c>
      <c r="B4" s="3" t="inlineStr">
        <is>
          <t>期初借款余额</t>
        </is>
      </c>
      <c r="C4" s="4">
        <f>E4</f>
        <v/>
      </c>
      <c r="D4" s="4">
        <f>B14</f>
        <v/>
      </c>
      <c r="E4" s="4">
        <f>B15</f>
        <v/>
      </c>
    </row>
    <row r="5">
      <c r="A5" s="3" t="inlineStr">
        <is>
          <t>2</t>
        </is>
      </c>
      <c r="B5" s="3" t="inlineStr">
        <is>
          <t>当期借款</t>
        </is>
      </c>
      <c r="C5" s="4">
        <f>SUM(D5,E5)</f>
        <v/>
      </c>
      <c r="D5" s="4">
        <f>C14</f>
        <v/>
      </c>
      <c r="E5" s="4">
        <f>C15</f>
        <v/>
      </c>
    </row>
    <row r="6">
      <c r="A6" s="3" t="inlineStr">
        <is>
          <t>3</t>
        </is>
      </c>
      <c r="B6" s="3" t="inlineStr">
        <is>
          <t>年利率</t>
        </is>
      </c>
      <c r="C6" s="3" t="inlineStr">
        <is>
          <t>4.50%</t>
        </is>
      </c>
      <c r="D6" s="3" t="inlineStr">
        <is>
          <t>4.50%</t>
        </is>
      </c>
      <c r="E6" s="3" t="inlineStr">
        <is>
          <t>4.50%</t>
        </is>
      </c>
    </row>
    <row r="7">
      <c r="A7" s="3" t="inlineStr">
        <is>
          <t>4</t>
        </is>
      </c>
      <c r="B7" s="3" t="inlineStr">
        <is>
          <t>当期应付利息</t>
        </is>
      </c>
      <c r="C7" s="4">
        <f>SUM(D7,E7)</f>
        <v/>
      </c>
      <c r="D7" s="4">
        <f>E14</f>
        <v/>
      </c>
      <c r="E7" s="4">
        <f>E15</f>
        <v/>
      </c>
    </row>
    <row r="8">
      <c r="A8" s="3" t="inlineStr">
        <is>
          <t>5</t>
        </is>
      </c>
      <c r="B8" s="3" t="inlineStr">
        <is>
          <t>期末借款余额</t>
        </is>
      </c>
      <c r="C8" s="4">
        <f>E8</f>
        <v/>
      </c>
      <c r="D8" s="4">
        <f>F14</f>
        <v/>
      </c>
      <c r="E8" s="4">
        <f>F15</f>
        <v/>
      </c>
    </row>
    <row r="9">
      <c r="A9" s="3" t="inlineStr">
        <is>
          <t>6</t>
        </is>
      </c>
      <c r="B9" s="3" t="inlineStr">
        <is>
          <t>其他融资费用</t>
        </is>
      </c>
      <c r="C9" s="4" t="n">
        <v>0</v>
      </c>
      <c r="D9" s="4" t="n">
        <v>0</v>
      </c>
      <c r="E9" s="4" t="n">
        <v>0</v>
      </c>
    </row>
    <row r="10">
      <c r="A10" s="3" t="inlineStr"/>
      <c r="B10" s="3" t="inlineStr">
        <is>
          <t>小计</t>
        </is>
      </c>
      <c r="C10" s="4">
        <f>SUM(D10,E10)</f>
        <v/>
      </c>
      <c r="D10" s="4">
        <f>E14</f>
        <v/>
      </c>
      <c r="E10" s="4">
        <f>E15</f>
        <v/>
      </c>
    </row>
    <row r="11"/>
    <row r="12">
      <c r="A12" t="inlineStr">
        <is>
          <t>引擎逐年计算区（供公式与跨表追溯）</t>
        </is>
      </c>
    </row>
    <row r="13">
      <c r="A13" s="5" t="inlineStr">
        <is>
          <t>期间</t>
        </is>
      </c>
      <c r="B13" s="5" t="inlineStr">
        <is>
          <t>期初借款余额</t>
        </is>
      </c>
      <c r="C13" s="5" t="inlineStr">
        <is>
          <t>当期提款</t>
        </is>
      </c>
      <c r="D13" s="5" t="inlineStr">
        <is>
          <t>年利率(%)</t>
        </is>
      </c>
      <c r="E13" s="5" t="inlineStr">
        <is>
          <t>当期利息</t>
        </is>
      </c>
      <c r="F13" s="5" t="inlineStr">
        <is>
          <t>期末借款余额</t>
        </is>
      </c>
    </row>
    <row r="14">
      <c r="A14" s="6" t="n">
        <v>1</v>
      </c>
      <c r="B14" s="6" t="n">
        <v>0</v>
      </c>
      <c r="C14" s="6" t="n">
        <v>7200</v>
      </c>
      <c r="D14" s="6" t="n">
        <v>0.045</v>
      </c>
      <c r="E14" s="6">
        <f>ROUND(324.00,2)</f>
        <v/>
      </c>
      <c r="F14" s="6">
        <f>B14+C14</f>
        <v/>
      </c>
    </row>
    <row r="15">
      <c r="A15" s="6" t="n">
        <v>2</v>
      </c>
      <c r="B15" s="6">
        <f>F14</f>
        <v/>
      </c>
      <c r="C15" s="6" t="n">
        <v>7200</v>
      </c>
      <c r="D15" s="6" t="n">
        <v>0.045</v>
      </c>
      <c r="E15" s="6">
        <f>ROUND(324.00,2)</f>
        <v/>
      </c>
      <c r="F15" s="6">
        <f>B15+C15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附表3 流动资金估算表</t>
        </is>
      </c>
    </row>
    <row r="2">
      <c r="A2" t="inlineStr">
        <is>
          <t>计算状态：computed；口径：not_applicable；有效：否</t>
        </is>
      </c>
    </row>
    <row r="3">
      <c r="A3" s="2" t="inlineStr">
        <is>
          <t>构成项</t>
        </is>
      </c>
      <c r="B3" s="2" t="inlineStr">
        <is>
          <t>金额（万元）</t>
        </is>
      </c>
    </row>
    <row r="4">
      <c r="A4" s="3" t="inlineStr">
        <is>
          <t>流动资金总额（汇总输入）</t>
        </is>
      </c>
      <c r="B4" s="4" t="n">
        <v>0</v>
      </c>
    </row>
    <row r="5">
      <c r="A5" t="inlineStr">
        <is>
          <t>说明1：method=ratio_backsolve</t>
        </is>
      </c>
    </row>
    <row r="6">
      <c r="A6" t="inlineStr">
        <is>
          <t>说明2：未提供周转天数，不展示反解伪分项；不得标分项法完成</t>
        </is>
      </c>
    </row>
    <row r="7">
      <c r="A7" t="inlineStr">
        <is>
          <t>跨表依赖复核：附表6</t>
        </is>
      </c>
      <c r="B7" s="6">
        <f>'附表6'!A17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附表4 投资使用计划与资金筹措表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建设期第1年</t>
        </is>
      </c>
      <c r="D3" s="2" t="inlineStr">
        <is>
          <t>建设期第2年</t>
        </is>
      </c>
      <c r="E3" s="2" t="inlineStr">
        <is>
          <t>合计</t>
        </is>
      </c>
    </row>
    <row r="4">
      <c r="A4" s="3" t="inlineStr">
        <is>
          <t>1</t>
        </is>
      </c>
      <c r="B4" s="3" t="inlineStr">
        <is>
          <t>项目总投资使用计划</t>
        </is>
      </c>
      <c r="C4" s="4">
        <f>SUM(C5,C6,C7)</f>
        <v/>
      </c>
      <c r="D4" s="4">
        <f>SUM(D5,D6,D7)</f>
        <v/>
      </c>
      <c r="E4" s="4">
        <f>'附表1'!J28</f>
        <v/>
      </c>
    </row>
    <row r="5">
      <c r="A5" s="3" t="inlineStr">
        <is>
          <t>1.1</t>
        </is>
      </c>
      <c r="B5" s="3" t="inlineStr">
        <is>
          <t>建设投资</t>
        </is>
      </c>
      <c r="C5" s="4" t="n">
        <v>15676</v>
      </c>
      <c r="D5" s="4" t="n">
        <v>15676</v>
      </c>
      <c r="E5" s="4" t="n">
        <v>31352</v>
      </c>
    </row>
    <row r="6">
      <c r="A6" s="3" t="inlineStr">
        <is>
          <t>1.2</t>
        </is>
      </c>
      <c r="B6" s="3" t="inlineStr">
        <is>
          <t>建设期贷款利息</t>
        </is>
      </c>
      <c r="C6" s="4" t="n">
        <v>324</v>
      </c>
      <c r="D6" s="4" t="n">
        <v>324</v>
      </c>
      <c r="E6" s="4" t="n">
        <v>648</v>
      </c>
    </row>
    <row r="7">
      <c r="A7" s="3" t="inlineStr">
        <is>
          <t>1.3</t>
        </is>
      </c>
      <c r="B7" s="3" t="inlineStr">
        <is>
          <t>流动资金</t>
        </is>
      </c>
      <c r="C7" s="4" t="n">
        <v>0</v>
      </c>
      <c r="D7" s="4" t="n">
        <v>0</v>
      </c>
      <c r="E7" s="4" t="n">
        <v>0</v>
      </c>
    </row>
    <row r="8">
      <c r="A8" s="3" t="inlineStr">
        <is>
          <t>2</t>
        </is>
      </c>
      <c r="B8" s="3" t="inlineStr">
        <is>
          <t>资金筹措</t>
        </is>
      </c>
      <c r="C8" s="4">
        <f>SUM(C9,C11)</f>
        <v/>
      </c>
      <c r="D8" s="4">
        <f>SUM(D9,D11)</f>
        <v/>
      </c>
      <c r="E8" s="4">
        <f>'附表1'!J28</f>
        <v/>
      </c>
    </row>
    <row r="9">
      <c r="A9" s="3" t="inlineStr">
        <is>
          <t>2.1</t>
        </is>
      </c>
      <c r="B9" s="3" t="inlineStr">
        <is>
          <t>项目资本金（自筹）</t>
        </is>
      </c>
      <c r="C9" s="4" t="n">
        <v>8800</v>
      </c>
      <c r="D9" s="4" t="n">
        <v>8800</v>
      </c>
      <c r="E9" s="4" t="n">
        <v>17600</v>
      </c>
    </row>
    <row r="10">
      <c r="A10" s="3" t="inlineStr">
        <is>
          <t>2.2</t>
        </is>
      </c>
      <c r="B10" s="3" t="inlineStr">
        <is>
          <t>债务资金</t>
        </is>
      </c>
      <c r="C10" s="4" t="n">
        <v>7200</v>
      </c>
      <c r="D10" s="4" t="n">
        <v>7200</v>
      </c>
      <c r="E10" s="4" t="n">
        <v>14400</v>
      </c>
    </row>
    <row r="11">
      <c r="A11" s="3" t="inlineStr">
        <is>
          <t>2.2.1</t>
        </is>
      </c>
      <c r="B11" s="3" t="inlineStr">
        <is>
          <t>银行贷款</t>
        </is>
      </c>
      <c r="C11" s="4" t="n">
        <v>7200</v>
      </c>
      <c r="D11" s="4" t="n">
        <v>7200</v>
      </c>
      <c r="E11" s="4" t="n">
        <v>14400</v>
      </c>
    </row>
    <row r="12">
      <c r="A12" t="inlineStr">
        <is>
          <t>说明1：无分年资金事实时按建设支出比例摊分；不得作为 formal 资金计划真源</t>
        </is>
      </c>
    </row>
    <row r="13">
      <c r="A13" t="inlineStr">
        <is>
          <t>说明2：structure_gaps: 资金计划为比例摊分回退，非事实包分年真源</t>
        </is>
      </c>
    </row>
    <row r="14">
      <c r="A14" t="inlineStr">
        <is>
          <t>跨表依赖复核：附表1</t>
        </is>
      </c>
      <c r="B14" s="6">
        <f>'附表1'!J4</f>
        <v/>
      </c>
    </row>
    <row r="15">
      <c r="A15" t="inlineStr">
        <is>
          <t>跨表依赖复核：附表3</t>
        </is>
      </c>
      <c r="B15" s="6">
        <f>'附表3'!B4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附表5 营业收入、税金及附加和增值税估算表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单位</t>
        </is>
      </c>
      <c r="D3" s="2" t="inlineStr">
        <is>
          <t>合计</t>
        </is>
      </c>
      <c r="E3" s="2" t="inlineStr">
        <is>
          <t>分年1</t>
        </is>
      </c>
      <c r="F3" s="2" t="inlineStr">
        <is>
          <t>分年2</t>
        </is>
      </c>
      <c r="G3" s="2" t="inlineStr">
        <is>
          <t>分年3</t>
        </is>
      </c>
      <c r="H3" s="2" t="inlineStr">
        <is>
          <t>分年4</t>
        </is>
      </c>
      <c r="I3" s="2" t="inlineStr">
        <is>
          <t>分年5</t>
        </is>
      </c>
      <c r="J3" s="2" t="inlineStr">
        <is>
          <t>分年6</t>
        </is>
      </c>
      <c r="K3" s="2" t="inlineStr">
        <is>
          <t>分年7</t>
        </is>
      </c>
      <c r="L3" s="2" t="inlineStr">
        <is>
          <t>分年8</t>
        </is>
      </c>
      <c r="M3" s="2" t="inlineStr">
        <is>
          <t>分年9</t>
        </is>
      </c>
      <c r="N3" s="2" t="inlineStr">
        <is>
          <t>分年10</t>
        </is>
      </c>
      <c r="O3" s="2" t="inlineStr">
        <is>
          <t>分年11</t>
        </is>
      </c>
      <c r="P3" s="2" t="inlineStr">
        <is>
          <t>分年12</t>
        </is>
      </c>
      <c r="Q3" s="2" t="inlineStr">
        <is>
          <t>分年13</t>
        </is>
      </c>
      <c r="R3" s="2" t="inlineStr">
        <is>
          <t>分年14</t>
        </is>
      </c>
      <c r="S3" s="2" t="inlineStr">
        <is>
          <t>分年15</t>
        </is>
      </c>
      <c r="T3" s="2" t="inlineStr">
        <is>
          <t>分年16</t>
        </is>
      </c>
      <c r="U3" s="2" t="inlineStr">
        <is>
          <t>分年17</t>
        </is>
      </c>
      <c r="V3" s="2" t="inlineStr">
        <is>
          <t>分年18</t>
        </is>
      </c>
      <c r="W3" s="2" t="inlineStr">
        <is>
          <t>分年19</t>
        </is>
      </c>
      <c r="X3" s="2" t="inlineStr">
        <is>
          <t>分年20</t>
        </is>
      </c>
    </row>
    <row r="4">
      <c r="A4" s="3" t="inlineStr">
        <is>
          <t>1</t>
        </is>
      </c>
      <c r="B4" s="3" t="inlineStr">
        <is>
          <t>营业收入</t>
        </is>
      </c>
      <c r="C4" s="3" t="inlineStr">
        <is>
          <t>万元</t>
        </is>
      </c>
      <c r="D4" s="4">
        <f>SUM(E4,F4,G4,H4,I4,J4,K4,L4,M4,N4,O4,P4,Q4,R4,S4,T4,U4,V4,W4,X4)</f>
        <v/>
      </c>
      <c r="E4" s="4">
        <f>B22</f>
        <v/>
      </c>
      <c r="F4" s="4">
        <f>B23</f>
        <v/>
      </c>
      <c r="G4" s="4">
        <f>B24</f>
        <v/>
      </c>
      <c r="H4" s="4">
        <f>B25</f>
        <v/>
      </c>
      <c r="I4" s="4">
        <f>B26</f>
        <v/>
      </c>
      <c r="J4" s="4">
        <f>B27</f>
        <v/>
      </c>
      <c r="K4" s="4">
        <f>B28</f>
        <v/>
      </c>
      <c r="L4" s="4">
        <f>B29</f>
        <v/>
      </c>
      <c r="M4" s="4">
        <f>B30</f>
        <v/>
      </c>
      <c r="N4" s="4">
        <f>B31</f>
        <v/>
      </c>
      <c r="O4" s="4">
        <f>B32</f>
        <v/>
      </c>
      <c r="P4" s="4">
        <f>B33</f>
        <v/>
      </c>
      <c r="Q4" s="4">
        <f>B34</f>
        <v/>
      </c>
      <c r="R4" s="4">
        <f>B35</f>
        <v/>
      </c>
      <c r="S4" s="4">
        <f>B36</f>
        <v/>
      </c>
      <c r="T4" s="4">
        <f>B37</f>
        <v/>
      </c>
      <c r="U4" s="4">
        <f>B38</f>
        <v/>
      </c>
      <c r="V4" s="4">
        <f>B39</f>
        <v/>
      </c>
      <c r="W4" s="4">
        <f>B40</f>
        <v/>
      </c>
      <c r="X4" s="4">
        <f>B41</f>
        <v/>
      </c>
    </row>
    <row r="5">
      <c r="A5" s="3" t="inlineStr">
        <is>
          <t>1.1</t>
        </is>
      </c>
      <c r="B5" s="3" t="inlineStr">
        <is>
          <t>门票收入</t>
        </is>
      </c>
      <c r="C5" s="3" t="inlineStr">
        <is>
          <t>万人次</t>
        </is>
      </c>
      <c r="D5" s="4" t="n">
        <v>137160</v>
      </c>
      <c r="E5" s="4" t="n">
        <v>3600</v>
      </c>
      <c r="F5" s="4" t="n">
        <v>5040</v>
      </c>
      <c r="G5" s="4" t="n">
        <v>6120</v>
      </c>
      <c r="H5" s="4" t="n">
        <v>7200</v>
      </c>
      <c r="I5" s="4" t="n">
        <v>7200</v>
      </c>
      <c r="J5" s="4" t="n">
        <v>7200</v>
      </c>
      <c r="K5" s="4" t="n">
        <v>7200</v>
      </c>
      <c r="L5" s="4" t="n">
        <v>7200</v>
      </c>
      <c r="M5" s="4" t="n">
        <v>7200</v>
      </c>
      <c r="N5" s="4" t="n">
        <v>7200</v>
      </c>
      <c r="O5" s="4" t="n">
        <v>7200</v>
      </c>
      <c r="P5" s="4" t="n">
        <v>7200</v>
      </c>
      <c r="Q5" s="4" t="n">
        <v>7200</v>
      </c>
      <c r="R5" s="4" t="n">
        <v>7200</v>
      </c>
      <c r="S5" s="4" t="n">
        <v>7200</v>
      </c>
      <c r="T5" s="4" t="n">
        <v>7200</v>
      </c>
      <c r="U5" s="4" t="n">
        <v>7200</v>
      </c>
      <c r="V5" s="4" t="n">
        <v>7200</v>
      </c>
      <c r="W5" s="4" t="n">
        <v>7200</v>
      </c>
      <c r="X5" s="4" t="n">
        <v>7200</v>
      </c>
    </row>
    <row r="6">
      <c r="A6" s="3" t="inlineStr">
        <is>
          <t>1.1.1</t>
        </is>
      </c>
      <c r="B6" s="3" t="inlineStr">
        <is>
          <t>单价</t>
        </is>
      </c>
      <c r="C6" s="3" t="inlineStr">
        <is>
          <t>yuan</t>
        </is>
      </c>
      <c r="D6" s="4" t="n">
        <v>60</v>
      </c>
      <c r="E6" s="4" t="n">
        <v>60</v>
      </c>
      <c r="F6" s="4" t="n">
        <v>60</v>
      </c>
      <c r="G6" s="4" t="n">
        <v>60</v>
      </c>
      <c r="H6" s="4" t="n">
        <v>60</v>
      </c>
      <c r="I6" s="4" t="n">
        <v>60</v>
      </c>
      <c r="J6" s="4" t="n">
        <v>60</v>
      </c>
      <c r="K6" s="4" t="n">
        <v>60</v>
      </c>
      <c r="L6" s="4" t="n">
        <v>60</v>
      </c>
      <c r="M6" s="4" t="n">
        <v>60</v>
      </c>
      <c r="N6" s="4" t="n">
        <v>60</v>
      </c>
      <c r="O6" s="4" t="n">
        <v>60</v>
      </c>
      <c r="P6" s="4" t="n">
        <v>60</v>
      </c>
      <c r="Q6" s="4" t="n">
        <v>60</v>
      </c>
      <c r="R6" s="4" t="n">
        <v>60</v>
      </c>
      <c r="S6" s="4" t="n">
        <v>60</v>
      </c>
      <c r="T6" s="4" t="n">
        <v>60</v>
      </c>
      <c r="U6" s="4" t="n">
        <v>60</v>
      </c>
      <c r="V6" s="4" t="n">
        <v>60</v>
      </c>
      <c r="W6" s="4" t="n">
        <v>60</v>
      </c>
      <c r="X6" s="4" t="n">
        <v>60</v>
      </c>
    </row>
    <row r="7">
      <c r="A7" s="3" t="inlineStr">
        <is>
          <t>1.1.2</t>
        </is>
      </c>
      <c r="B7" s="3" t="inlineStr">
        <is>
          <t>数量</t>
        </is>
      </c>
      <c r="C7" s="3" t="inlineStr">
        <is>
          <t>万人次</t>
        </is>
      </c>
      <c r="D7" s="4" t="n">
        <v>2286</v>
      </c>
      <c r="E7" s="4" t="n">
        <v>60</v>
      </c>
      <c r="F7" s="4" t="n">
        <v>84</v>
      </c>
      <c r="G7" s="4" t="n">
        <v>102</v>
      </c>
      <c r="H7" s="4" t="n">
        <v>120</v>
      </c>
      <c r="I7" s="4" t="n">
        <v>120</v>
      </c>
      <c r="J7" s="4" t="n">
        <v>120</v>
      </c>
      <c r="K7" s="4" t="n">
        <v>120</v>
      </c>
      <c r="L7" s="4" t="n">
        <v>120</v>
      </c>
      <c r="M7" s="4" t="n">
        <v>120</v>
      </c>
      <c r="N7" s="4" t="n">
        <v>120</v>
      </c>
      <c r="O7" s="4" t="n">
        <v>120</v>
      </c>
      <c r="P7" s="4" t="n">
        <v>120</v>
      </c>
      <c r="Q7" s="4" t="n">
        <v>120</v>
      </c>
      <c r="R7" s="4" t="n">
        <v>120</v>
      </c>
      <c r="S7" s="4" t="n">
        <v>120</v>
      </c>
      <c r="T7" s="4" t="n">
        <v>120</v>
      </c>
      <c r="U7" s="4" t="n">
        <v>120</v>
      </c>
      <c r="V7" s="4" t="n">
        <v>120</v>
      </c>
      <c r="W7" s="4" t="n">
        <v>120</v>
      </c>
      <c r="X7" s="4" t="n">
        <v>120</v>
      </c>
    </row>
    <row r="8">
      <c r="A8" s="3" t="inlineStr">
        <is>
          <t>1.2</t>
        </is>
      </c>
      <c r="B8" s="3" t="inlineStr">
        <is>
          <t>二次消费</t>
        </is>
      </c>
      <c r="C8" s="3" t="inlineStr">
        <is>
          <t>万人次</t>
        </is>
      </c>
      <c r="D8" s="4" t="n">
        <v>56578.5</v>
      </c>
      <c r="E8" s="4" t="n">
        <v>1485</v>
      </c>
      <c r="F8" s="4" t="n">
        <v>2079</v>
      </c>
      <c r="G8" s="4" t="n">
        <v>2524.5</v>
      </c>
      <c r="H8" s="4" t="n">
        <v>2970</v>
      </c>
      <c r="I8" s="4" t="n">
        <v>2970</v>
      </c>
      <c r="J8" s="4" t="n">
        <v>2970</v>
      </c>
      <c r="K8" s="4" t="n">
        <v>2970</v>
      </c>
      <c r="L8" s="4" t="n">
        <v>2970</v>
      </c>
      <c r="M8" s="4" t="n">
        <v>2970</v>
      </c>
      <c r="N8" s="4" t="n">
        <v>2970</v>
      </c>
      <c r="O8" s="4" t="n">
        <v>2970</v>
      </c>
      <c r="P8" s="4" t="n">
        <v>2970</v>
      </c>
      <c r="Q8" s="4" t="n">
        <v>2970</v>
      </c>
      <c r="R8" s="4" t="n">
        <v>2970</v>
      </c>
      <c r="S8" s="4" t="n">
        <v>2970</v>
      </c>
      <c r="T8" s="4" t="n">
        <v>2970</v>
      </c>
      <c r="U8" s="4" t="n">
        <v>2970</v>
      </c>
      <c r="V8" s="4" t="n">
        <v>2970</v>
      </c>
      <c r="W8" s="4" t="n">
        <v>2970</v>
      </c>
      <c r="X8" s="4" t="n">
        <v>2970</v>
      </c>
    </row>
    <row r="9">
      <c r="A9" s="3" t="inlineStr">
        <is>
          <t>1.2.1</t>
        </is>
      </c>
      <c r="B9" s="3" t="inlineStr">
        <is>
          <t>单价</t>
        </is>
      </c>
      <c r="C9" s="3" t="inlineStr">
        <is>
          <t>yuan</t>
        </is>
      </c>
      <c r="D9" s="4" t="n">
        <v>45</v>
      </c>
      <c r="E9" s="4" t="n">
        <v>45</v>
      </c>
      <c r="F9" s="4" t="n">
        <v>45</v>
      </c>
      <c r="G9" s="4" t="n">
        <v>45</v>
      </c>
      <c r="H9" s="4" t="n">
        <v>45</v>
      </c>
      <c r="I9" s="4" t="n">
        <v>45</v>
      </c>
      <c r="J9" s="4" t="n">
        <v>45</v>
      </c>
      <c r="K9" s="4" t="n">
        <v>45</v>
      </c>
      <c r="L9" s="4" t="n">
        <v>45</v>
      </c>
      <c r="M9" s="4" t="n">
        <v>45</v>
      </c>
      <c r="N9" s="4" t="n">
        <v>45</v>
      </c>
      <c r="O9" s="4" t="n">
        <v>45</v>
      </c>
      <c r="P9" s="4" t="n">
        <v>45</v>
      </c>
      <c r="Q9" s="4" t="n">
        <v>45</v>
      </c>
      <c r="R9" s="4" t="n">
        <v>45</v>
      </c>
      <c r="S9" s="4" t="n">
        <v>45</v>
      </c>
      <c r="T9" s="4" t="n">
        <v>45</v>
      </c>
      <c r="U9" s="4" t="n">
        <v>45</v>
      </c>
      <c r="V9" s="4" t="n">
        <v>45</v>
      </c>
      <c r="W9" s="4" t="n">
        <v>45</v>
      </c>
      <c r="X9" s="4" t="n">
        <v>45</v>
      </c>
    </row>
    <row r="10">
      <c r="A10" s="3" t="inlineStr">
        <is>
          <t>1.2.2</t>
        </is>
      </c>
      <c r="B10" s="3" t="inlineStr">
        <is>
          <t>数量</t>
        </is>
      </c>
      <c r="C10" s="3" t="inlineStr">
        <is>
          <t>万人次</t>
        </is>
      </c>
      <c r="D10" s="4" t="n">
        <v>1257.3</v>
      </c>
      <c r="E10" s="4" t="n">
        <v>33</v>
      </c>
      <c r="F10" s="4" t="n">
        <v>46.2</v>
      </c>
      <c r="G10" s="4" t="n">
        <v>56.1</v>
      </c>
      <c r="H10" s="4" t="n">
        <v>66</v>
      </c>
      <c r="I10" s="4" t="n">
        <v>66</v>
      </c>
      <c r="J10" s="4" t="n">
        <v>66</v>
      </c>
      <c r="K10" s="4" t="n">
        <v>66</v>
      </c>
      <c r="L10" s="4" t="n">
        <v>66</v>
      </c>
      <c r="M10" s="4" t="n">
        <v>66</v>
      </c>
      <c r="N10" s="4" t="n">
        <v>66</v>
      </c>
      <c r="O10" s="4" t="n">
        <v>66</v>
      </c>
      <c r="P10" s="4" t="n">
        <v>66</v>
      </c>
      <c r="Q10" s="4" t="n">
        <v>66</v>
      </c>
      <c r="R10" s="4" t="n">
        <v>66</v>
      </c>
      <c r="S10" s="4" t="n">
        <v>66</v>
      </c>
      <c r="T10" s="4" t="n">
        <v>66</v>
      </c>
      <c r="U10" s="4" t="n">
        <v>66</v>
      </c>
      <c r="V10" s="4" t="n">
        <v>66</v>
      </c>
      <c r="W10" s="4" t="n">
        <v>66</v>
      </c>
      <c r="X10" s="4" t="n">
        <v>66</v>
      </c>
    </row>
    <row r="11">
      <c r="A11" s="3" t="inlineStr">
        <is>
          <t>1.9</t>
        </is>
      </c>
      <c r="B11" s="3" t="inlineStr">
        <is>
          <t>营业收入合计</t>
        </is>
      </c>
      <c r="C11" s="3" t="inlineStr">
        <is>
          <t>万元</t>
        </is>
      </c>
      <c r="D11" s="4">
        <f>SUM(E11,F11,G11,H11,I11,J11,K11,L11,M11,N11,O11,P11,Q11,R11,S11,T11,U11,V11,W11,X11)</f>
        <v/>
      </c>
      <c r="E11" s="4">
        <f>B22</f>
        <v/>
      </c>
      <c r="F11" s="4">
        <f>B23</f>
        <v/>
      </c>
      <c r="G11" s="4">
        <f>B24</f>
        <v/>
      </c>
      <c r="H11" s="4">
        <f>B25</f>
        <v/>
      </c>
      <c r="I11" s="4">
        <f>B26</f>
        <v/>
      </c>
      <c r="J11" s="4">
        <f>B27</f>
        <v/>
      </c>
      <c r="K11" s="4">
        <f>B28</f>
        <v/>
      </c>
      <c r="L11" s="4">
        <f>B29</f>
        <v/>
      </c>
      <c r="M11" s="4">
        <f>B30</f>
        <v/>
      </c>
      <c r="N11" s="4">
        <f>B31</f>
        <v/>
      </c>
      <c r="O11" s="4">
        <f>B32</f>
        <v/>
      </c>
      <c r="P11" s="4">
        <f>B33</f>
        <v/>
      </c>
      <c r="Q11" s="4">
        <f>B34</f>
        <v/>
      </c>
      <c r="R11" s="4">
        <f>B35</f>
        <v/>
      </c>
      <c r="S11" s="4">
        <f>B36</f>
        <v/>
      </c>
      <c r="T11" s="4">
        <f>B37</f>
        <v/>
      </c>
      <c r="U11" s="4">
        <f>B38</f>
        <v/>
      </c>
      <c r="V11" s="4">
        <f>B39</f>
        <v/>
      </c>
      <c r="W11" s="4">
        <f>B40</f>
        <v/>
      </c>
      <c r="X11" s="4">
        <f>B41</f>
        <v/>
      </c>
    </row>
    <row r="12">
      <c r="A12" s="3" t="inlineStr">
        <is>
          <t>2</t>
        </is>
      </c>
      <c r="B12" s="3" t="inlineStr">
        <is>
          <t>销项税额</t>
        </is>
      </c>
      <c r="C12" s="3" t="inlineStr">
        <is>
          <t>万元</t>
        </is>
      </c>
      <c r="D12" s="4">
        <f>SUM(E12,F12,G12,H12,I12,J12,K12,L12,M12,N12,O12,P12,Q12,R12,S12,T12,U12,V12,W12,X12)</f>
        <v/>
      </c>
      <c r="E12" s="4">
        <f>F22</f>
        <v/>
      </c>
      <c r="F12" s="4">
        <f>F23</f>
        <v/>
      </c>
      <c r="G12" s="4">
        <f>F24</f>
        <v/>
      </c>
      <c r="H12" s="4">
        <f>F25</f>
        <v/>
      </c>
      <c r="I12" s="4">
        <f>F26</f>
        <v/>
      </c>
      <c r="J12" s="4">
        <f>F27</f>
        <v/>
      </c>
      <c r="K12" s="4">
        <f>F28</f>
        <v/>
      </c>
      <c r="L12" s="4">
        <f>F29</f>
        <v/>
      </c>
      <c r="M12" s="4">
        <f>F30</f>
        <v/>
      </c>
      <c r="N12" s="4">
        <f>F31</f>
        <v/>
      </c>
      <c r="O12" s="4">
        <f>F32</f>
        <v/>
      </c>
      <c r="P12" s="4">
        <f>F33</f>
        <v/>
      </c>
      <c r="Q12" s="4">
        <f>F34</f>
        <v/>
      </c>
      <c r="R12" s="4">
        <f>F35</f>
        <v/>
      </c>
      <c r="S12" s="4">
        <f>F36</f>
        <v/>
      </c>
      <c r="T12" s="4">
        <f>F37</f>
        <v/>
      </c>
      <c r="U12" s="4">
        <f>F38</f>
        <v/>
      </c>
      <c r="V12" s="4">
        <f>F39</f>
        <v/>
      </c>
      <c r="W12" s="4">
        <f>F40</f>
        <v/>
      </c>
      <c r="X12" s="4">
        <f>F41</f>
        <v/>
      </c>
    </row>
    <row r="13">
      <c r="A13" s="3" t="inlineStr">
        <is>
          <t>3</t>
        </is>
      </c>
      <c r="B13" s="3" t="inlineStr">
        <is>
          <t>营业税金与附加</t>
        </is>
      </c>
      <c r="C13" s="3" t="inlineStr">
        <is>
          <t>万元</t>
        </is>
      </c>
      <c r="D13" s="4">
        <f>SUM(E13,F13,G13,H13,I13,J13,K13,L13,M13,N13,O13,P13,Q13,R13,S13,T13,U13,V13,W13,X13)</f>
        <v/>
      </c>
      <c r="E13" s="4">
        <f>E22</f>
        <v/>
      </c>
      <c r="F13" s="4">
        <f>E23</f>
        <v/>
      </c>
      <c r="G13" s="4">
        <f>E24</f>
        <v/>
      </c>
      <c r="H13" s="4">
        <f>E25</f>
        <v/>
      </c>
      <c r="I13" s="4">
        <f>E26</f>
        <v/>
      </c>
      <c r="J13" s="4">
        <f>E27</f>
        <v/>
      </c>
      <c r="K13" s="4">
        <f>E28</f>
        <v/>
      </c>
      <c r="L13" s="4">
        <f>E29</f>
        <v/>
      </c>
      <c r="M13" s="4">
        <f>E30</f>
        <v/>
      </c>
      <c r="N13" s="4">
        <f>E31</f>
        <v/>
      </c>
      <c r="O13" s="4">
        <f>E32</f>
        <v/>
      </c>
      <c r="P13" s="4">
        <f>E33</f>
        <v/>
      </c>
      <c r="Q13" s="4">
        <f>E34</f>
        <v/>
      </c>
      <c r="R13" s="4">
        <f>E35</f>
        <v/>
      </c>
      <c r="S13" s="4">
        <f>E36</f>
        <v/>
      </c>
      <c r="T13" s="4">
        <f>E37</f>
        <v/>
      </c>
      <c r="U13" s="4">
        <f>E38</f>
        <v/>
      </c>
      <c r="V13" s="4">
        <f>E39</f>
        <v/>
      </c>
      <c r="W13" s="4">
        <f>E40</f>
        <v/>
      </c>
      <c r="X13" s="4">
        <f>E41</f>
        <v/>
      </c>
    </row>
    <row r="14">
      <c r="A14" s="3" t="inlineStr">
        <is>
          <t>3.1</t>
        </is>
      </c>
      <c r="B14" s="3" t="inlineStr">
        <is>
          <t>城市维护建设税</t>
        </is>
      </c>
      <c r="C14" s="3" t="inlineStr">
        <is>
          <t>万元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3" t="inlineStr">
        <is>
          <t>3.2</t>
        </is>
      </c>
      <c r="B15" s="3" t="inlineStr">
        <is>
          <t>教育费附加</t>
        </is>
      </c>
      <c r="C15" s="3" t="inlineStr">
        <is>
          <t>万元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3" t="inlineStr">
        <is>
          <t>3.3</t>
        </is>
      </c>
      <c r="B16" s="3" t="inlineStr">
        <is>
          <t>地方教育附加</t>
        </is>
      </c>
      <c r="C16" s="3" t="inlineStr">
        <is>
          <t>万元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3" t="inlineStr">
        <is>
          <t>4</t>
        </is>
      </c>
      <c r="B17" s="3" t="inlineStr">
        <is>
          <t>进项税额</t>
        </is>
      </c>
      <c r="C17" s="3" t="inlineStr">
        <is>
          <t>万元</t>
        </is>
      </c>
      <c r="D17" s="4">
        <f>SUM(E17,F17,G17,H17,I17,J17,K17,L17,M17,N17,O17,P17,Q17,R17,S17,T17,U17,V17,W17,X17)</f>
        <v/>
      </c>
      <c r="E17" s="4">
        <f>G22</f>
        <v/>
      </c>
      <c r="F17" s="4">
        <f>G23</f>
        <v/>
      </c>
      <c r="G17" s="4">
        <f>G24</f>
        <v/>
      </c>
      <c r="H17" s="4">
        <f>G25</f>
        <v/>
      </c>
      <c r="I17" s="4">
        <f>G26</f>
        <v/>
      </c>
      <c r="J17" s="4">
        <f>G27</f>
        <v/>
      </c>
      <c r="K17" s="4">
        <f>G28</f>
        <v/>
      </c>
      <c r="L17" s="4">
        <f>G29</f>
        <v/>
      </c>
      <c r="M17" s="4">
        <f>G30</f>
        <v/>
      </c>
      <c r="N17" s="4">
        <f>G31</f>
        <v/>
      </c>
      <c r="O17" s="4">
        <f>G32</f>
        <v/>
      </c>
      <c r="P17" s="4">
        <f>G33</f>
        <v/>
      </c>
      <c r="Q17" s="4">
        <f>G34</f>
        <v/>
      </c>
      <c r="R17" s="4">
        <f>G35</f>
        <v/>
      </c>
      <c r="S17" s="4">
        <f>G36</f>
        <v/>
      </c>
      <c r="T17" s="4">
        <f>G37</f>
        <v/>
      </c>
      <c r="U17" s="4">
        <f>G38</f>
        <v/>
      </c>
      <c r="V17" s="4">
        <f>G39</f>
        <v/>
      </c>
      <c r="W17" s="4">
        <f>G40</f>
        <v/>
      </c>
      <c r="X17" s="4">
        <f>G41</f>
        <v/>
      </c>
    </row>
    <row r="18">
      <c r="A18" s="3" t="inlineStr">
        <is>
          <t>5</t>
        </is>
      </c>
      <c r="B18" s="3" t="inlineStr">
        <is>
          <t>应纳增值税</t>
        </is>
      </c>
      <c r="C18" s="3" t="inlineStr">
        <is>
          <t>万元</t>
        </is>
      </c>
      <c r="D18" s="4">
        <f>SUM(E18,F18,G18,H18,I18,J18,K18,L18,M18,N18,O18,P18,Q18,R18,S18,T18,U18,V18,W18,X18)</f>
        <v/>
      </c>
      <c r="E18" s="4">
        <f>H22</f>
        <v/>
      </c>
      <c r="F18" s="4">
        <f>H23</f>
        <v/>
      </c>
      <c r="G18" s="4">
        <f>H24</f>
        <v/>
      </c>
      <c r="H18" s="4">
        <f>H25</f>
        <v/>
      </c>
      <c r="I18" s="4">
        <f>H26</f>
        <v/>
      </c>
      <c r="J18" s="4">
        <f>H27</f>
        <v/>
      </c>
      <c r="K18" s="4">
        <f>H28</f>
        <v/>
      </c>
      <c r="L18" s="4">
        <f>H29</f>
        <v/>
      </c>
      <c r="M18" s="4">
        <f>H30</f>
        <v/>
      </c>
      <c r="N18" s="4">
        <f>H31</f>
        <v/>
      </c>
      <c r="O18" s="4">
        <f>H32</f>
        <v/>
      </c>
      <c r="P18" s="4">
        <f>H33</f>
        <v/>
      </c>
      <c r="Q18" s="4">
        <f>H34</f>
        <v/>
      </c>
      <c r="R18" s="4">
        <f>H35</f>
        <v/>
      </c>
      <c r="S18" s="4">
        <f>H36</f>
        <v/>
      </c>
      <c r="T18" s="4">
        <f>H37</f>
        <v/>
      </c>
      <c r="U18" s="4">
        <f>H38</f>
        <v/>
      </c>
      <c r="V18" s="4">
        <f>H39</f>
        <v/>
      </c>
      <c r="W18" s="4">
        <f>H40</f>
        <v/>
      </c>
      <c r="X18" s="4">
        <f>H41</f>
        <v/>
      </c>
    </row>
    <row r="19"/>
    <row r="20">
      <c r="A20" t="inlineStr">
        <is>
          <t>引擎逐年计算区（供公式与跨表追溯）</t>
        </is>
      </c>
    </row>
    <row r="21">
      <c r="A21" s="5" t="inlineStr">
        <is>
          <t>运营年</t>
        </is>
      </c>
      <c r="B21" s="5" t="inlineStr">
        <is>
          <t>营业收入</t>
        </is>
      </c>
      <c r="C21" s="5" t="inlineStr">
        <is>
          <t>经营成本</t>
        </is>
      </c>
      <c r="D21" s="5" t="inlineStr">
        <is>
          <t>折旧</t>
        </is>
      </c>
      <c r="E21" s="5" t="inlineStr">
        <is>
          <t>销售税金及附加</t>
        </is>
      </c>
      <c r="F21" s="5" t="inlineStr">
        <is>
          <t>销项税额</t>
        </is>
      </c>
      <c r="G21" s="5" t="inlineStr">
        <is>
          <t>进项税额</t>
        </is>
      </c>
      <c r="H21" s="5" t="inlineStr">
        <is>
          <t>应纳增值税</t>
        </is>
      </c>
      <c r="I21" s="5" t="inlineStr">
        <is>
          <t>调整所得税(融资前)</t>
        </is>
      </c>
      <c r="J21" s="5" t="inlineStr">
        <is>
          <t>融资前净利</t>
        </is>
      </c>
    </row>
    <row r="22">
      <c r="A22" s="6" t="n">
        <v>1</v>
      </c>
      <c r="B22" s="6">
        <f>SUM('附表5'!E45,'附表5'!E46)</f>
        <v/>
      </c>
      <c r="C22" s="6" t="n">
        <v>2100</v>
      </c>
      <c r="D22" s="6" t="n">
        <v>1216</v>
      </c>
      <c r="E22" s="6">
        <f>H22*0.12</f>
        <v/>
      </c>
      <c r="F22" s="6">
        <f>B22*0.06</f>
        <v/>
      </c>
      <c r="G22" s="6">
        <f>C22*0.1</f>
        <v/>
      </c>
      <c r="H22" s="6">
        <f>MAX(F22-G22,0)</f>
        <v/>
      </c>
      <c r="I22" s="6" t="n">
        <v>439.4</v>
      </c>
      <c r="J22" s="6" t="n">
        <v>1318.19</v>
      </c>
    </row>
    <row r="23">
      <c r="A23" s="6" t="n">
        <v>2</v>
      </c>
      <c r="B23" s="6">
        <f>SUM('附表5'!F45,'附表5'!F46)</f>
        <v/>
      </c>
      <c r="C23" s="6" t="n">
        <v>2940</v>
      </c>
      <c r="D23" s="6" t="n">
        <v>1216</v>
      </c>
      <c r="E23" s="6">
        <f>H23*0.12</f>
        <v/>
      </c>
      <c r="F23" s="6">
        <f>B23*0.06</f>
        <v/>
      </c>
      <c r="G23" s="6">
        <f>C23*0.1</f>
        <v/>
      </c>
      <c r="H23" s="6">
        <f>MAX(F23-G23,0)</f>
        <v/>
      </c>
      <c r="I23" s="6" t="n">
        <v>736.75</v>
      </c>
      <c r="J23" s="6" t="n">
        <v>2210.27</v>
      </c>
    </row>
    <row r="24">
      <c r="A24" s="6" t="n">
        <v>3</v>
      </c>
      <c r="B24" s="6">
        <f>SUM('附表5'!G45,'附表5'!G46)</f>
        <v/>
      </c>
      <c r="C24" s="6" t="n">
        <v>3570</v>
      </c>
      <c r="D24" s="6" t="n">
        <v>1216</v>
      </c>
      <c r="E24" s="6">
        <f>H24*0.12</f>
        <v/>
      </c>
      <c r="F24" s="6">
        <f>B24*0.06</f>
        <v/>
      </c>
      <c r="G24" s="6">
        <f>C24*0.1</f>
        <v/>
      </c>
      <c r="H24" s="6">
        <f>MAX(F24-G24,0)</f>
        <v/>
      </c>
      <c r="I24" s="6" t="n">
        <v>959.77</v>
      </c>
      <c r="J24" s="6" t="n">
        <v>2879.33</v>
      </c>
    </row>
    <row r="25">
      <c r="A25" s="6" t="n">
        <v>4</v>
      </c>
      <c r="B25" s="6">
        <f>SUM('附表5'!H45,'附表5'!H46)</f>
        <v/>
      </c>
      <c r="C25" s="6" t="n">
        <v>4200</v>
      </c>
      <c r="D25" s="6" t="n">
        <v>1216</v>
      </c>
      <c r="E25" s="6">
        <f>H25*0.12</f>
        <v/>
      </c>
      <c r="F25" s="6">
        <f>B25*0.06</f>
        <v/>
      </c>
      <c r="G25" s="6">
        <f>C25*0.1</f>
        <v/>
      </c>
      <c r="H25" s="6">
        <f>MAX(F25-G25,0)</f>
        <v/>
      </c>
      <c r="I25" s="6" t="n">
        <v>1182.8</v>
      </c>
      <c r="J25" s="6" t="n">
        <v>3548.38</v>
      </c>
    </row>
    <row r="26">
      <c r="A26" s="6" t="n">
        <v>5</v>
      </c>
      <c r="B26" s="6">
        <f>SUM('附表5'!I45,'附表5'!I46)</f>
        <v/>
      </c>
      <c r="C26" s="6" t="n">
        <v>4200</v>
      </c>
      <c r="D26" s="6" t="n">
        <v>1216</v>
      </c>
      <c r="E26" s="6">
        <f>H26*0.12</f>
        <v/>
      </c>
      <c r="F26" s="6">
        <f>B26*0.06</f>
        <v/>
      </c>
      <c r="G26" s="6">
        <f>C26*0.1</f>
        <v/>
      </c>
      <c r="H26" s="6">
        <f>MAX(F26-G26,0)</f>
        <v/>
      </c>
      <c r="I26" s="6" t="n">
        <v>1182.8</v>
      </c>
      <c r="J26" s="6" t="n">
        <v>3548.38</v>
      </c>
    </row>
    <row r="27">
      <c r="A27" s="6" t="n">
        <v>6</v>
      </c>
      <c r="B27" s="6">
        <f>SUM('附表5'!J45,'附表5'!J46)</f>
        <v/>
      </c>
      <c r="C27" s="6" t="n">
        <v>4200</v>
      </c>
      <c r="D27" s="6" t="n">
        <v>1216</v>
      </c>
      <c r="E27" s="6">
        <f>H27*0.12</f>
        <v/>
      </c>
      <c r="F27" s="6">
        <f>B27*0.06</f>
        <v/>
      </c>
      <c r="G27" s="6">
        <f>C27*0.1</f>
        <v/>
      </c>
      <c r="H27" s="6">
        <f>MAX(F27-G27,0)</f>
        <v/>
      </c>
      <c r="I27" s="6" t="n">
        <v>1182.8</v>
      </c>
      <c r="J27" s="6" t="n">
        <v>3548.38</v>
      </c>
    </row>
    <row r="28">
      <c r="A28" s="6" t="n">
        <v>7</v>
      </c>
      <c r="B28" s="6">
        <f>SUM('附表5'!K45,'附表5'!K46)</f>
        <v/>
      </c>
      <c r="C28" s="6" t="n">
        <v>4200</v>
      </c>
      <c r="D28" s="6" t="n">
        <v>1216</v>
      </c>
      <c r="E28" s="6">
        <f>H28*0.12</f>
        <v/>
      </c>
      <c r="F28" s="6">
        <f>B28*0.06</f>
        <v/>
      </c>
      <c r="G28" s="6">
        <f>C28*0.1</f>
        <v/>
      </c>
      <c r="H28" s="6">
        <f>MAX(F28-G28,0)</f>
        <v/>
      </c>
      <c r="I28" s="6" t="n">
        <v>1182.8</v>
      </c>
      <c r="J28" s="6" t="n">
        <v>3548.38</v>
      </c>
    </row>
    <row r="29">
      <c r="A29" s="6" t="n">
        <v>8</v>
      </c>
      <c r="B29" s="6">
        <f>SUM('附表5'!L45,'附表5'!L46)</f>
        <v/>
      </c>
      <c r="C29" s="6" t="n">
        <v>4200</v>
      </c>
      <c r="D29" s="6" t="n">
        <v>1216</v>
      </c>
      <c r="E29" s="6">
        <f>H29*0.12</f>
        <v/>
      </c>
      <c r="F29" s="6">
        <f>B29*0.06</f>
        <v/>
      </c>
      <c r="G29" s="6">
        <f>C29*0.1</f>
        <v/>
      </c>
      <c r="H29" s="6">
        <f>MAX(F29-G29,0)</f>
        <v/>
      </c>
      <c r="I29" s="6" t="n">
        <v>1182.8</v>
      </c>
      <c r="J29" s="6" t="n">
        <v>3548.38</v>
      </c>
    </row>
    <row r="30">
      <c r="A30" s="6" t="n">
        <v>9</v>
      </c>
      <c r="B30" s="6">
        <f>SUM('附表5'!M45,'附表5'!M46)</f>
        <v/>
      </c>
      <c r="C30" s="6" t="n">
        <v>4200</v>
      </c>
      <c r="D30" s="6" t="n">
        <v>1216</v>
      </c>
      <c r="E30" s="6">
        <f>H30*0.12</f>
        <v/>
      </c>
      <c r="F30" s="6">
        <f>B30*0.06</f>
        <v/>
      </c>
      <c r="G30" s="6">
        <f>C30*0.1</f>
        <v/>
      </c>
      <c r="H30" s="6">
        <f>MAX(F30-G30,0)</f>
        <v/>
      </c>
      <c r="I30" s="6" t="n">
        <v>1182.8</v>
      </c>
      <c r="J30" s="6" t="n">
        <v>3548.38</v>
      </c>
    </row>
    <row r="31">
      <c r="A31" s="6" t="n">
        <v>10</v>
      </c>
      <c r="B31" s="6">
        <f>SUM('附表5'!N45,'附表5'!N46)</f>
        <v/>
      </c>
      <c r="C31" s="6" t="n">
        <v>4200</v>
      </c>
      <c r="D31" s="6" t="n">
        <v>1216</v>
      </c>
      <c r="E31" s="6">
        <f>H31*0.12</f>
        <v/>
      </c>
      <c r="F31" s="6">
        <f>B31*0.06</f>
        <v/>
      </c>
      <c r="G31" s="6">
        <f>C31*0.1</f>
        <v/>
      </c>
      <c r="H31" s="6">
        <f>MAX(F31-G31,0)</f>
        <v/>
      </c>
      <c r="I31" s="6" t="n">
        <v>1182.8</v>
      </c>
      <c r="J31" s="6" t="n">
        <v>3548.38</v>
      </c>
    </row>
    <row r="32">
      <c r="A32" s="6" t="n">
        <v>11</v>
      </c>
      <c r="B32" s="6">
        <f>SUM('附表5'!O45,'附表5'!O46)</f>
        <v/>
      </c>
      <c r="C32" s="6" t="n">
        <v>4200</v>
      </c>
      <c r="D32" s="6" t="n">
        <v>1216</v>
      </c>
      <c r="E32" s="6">
        <f>H32*0.12</f>
        <v/>
      </c>
      <c r="F32" s="6">
        <f>B32*0.06</f>
        <v/>
      </c>
      <c r="G32" s="6">
        <f>C32*0.1</f>
        <v/>
      </c>
      <c r="H32" s="6">
        <f>MAX(F32-G32,0)</f>
        <v/>
      </c>
      <c r="I32" s="6" t="n">
        <v>1182.8</v>
      </c>
      <c r="J32" s="6" t="n">
        <v>3548.38</v>
      </c>
    </row>
    <row r="33">
      <c r="A33" s="6" t="n">
        <v>12</v>
      </c>
      <c r="B33" s="6">
        <f>SUM('附表5'!P45,'附表5'!P46)</f>
        <v/>
      </c>
      <c r="C33" s="6" t="n">
        <v>4200</v>
      </c>
      <c r="D33" s="6" t="n">
        <v>1216</v>
      </c>
      <c r="E33" s="6">
        <f>H33*0.12</f>
        <v/>
      </c>
      <c r="F33" s="6">
        <f>B33*0.06</f>
        <v/>
      </c>
      <c r="G33" s="6">
        <f>C33*0.1</f>
        <v/>
      </c>
      <c r="H33" s="6">
        <f>MAX(F33-G33,0)</f>
        <v/>
      </c>
      <c r="I33" s="6" t="n">
        <v>1182.8</v>
      </c>
      <c r="J33" s="6" t="n">
        <v>3548.38</v>
      </c>
    </row>
    <row r="34">
      <c r="A34" s="6" t="n">
        <v>13</v>
      </c>
      <c r="B34" s="6">
        <f>SUM('附表5'!Q45,'附表5'!Q46)</f>
        <v/>
      </c>
      <c r="C34" s="6" t="n">
        <v>4200</v>
      </c>
      <c r="D34" s="6" t="n">
        <v>1216</v>
      </c>
      <c r="E34" s="6">
        <f>H34*0.12</f>
        <v/>
      </c>
      <c r="F34" s="6">
        <f>B34*0.06</f>
        <v/>
      </c>
      <c r="G34" s="6">
        <f>C34*0.1</f>
        <v/>
      </c>
      <c r="H34" s="6">
        <f>MAX(F34-G34,0)</f>
        <v/>
      </c>
      <c r="I34" s="6" t="n">
        <v>1182.8</v>
      </c>
      <c r="J34" s="6" t="n">
        <v>3548.38</v>
      </c>
    </row>
    <row r="35">
      <c r="A35" s="6" t="n">
        <v>14</v>
      </c>
      <c r="B35" s="6">
        <f>SUM('附表5'!R45,'附表5'!R46)</f>
        <v/>
      </c>
      <c r="C35" s="6" t="n">
        <v>4200</v>
      </c>
      <c r="D35" s="6" t="n">
        <v>1216</v>
      </c>
      <c r="E35" s="6">
        <f>H35*0.12</f>
        <v/>
      </c>
      <c r="F35" s="6">
        <f>B35*0.06</f>
        <v/>
      </c>
      <c r="G35" s="6">
        <f>C35*0.1</f>
        <v/>
      </c>
      <c r="H35" s="6">
        <f>MAX(F35-G35,0)</f>
        <v/>
      </c>
      <c r="I35" s="6" t="n">
        <v>1182.8</v>
      </c>
      <c r="J35" s="6" t="n">
        <v>3548.38</v>
      </c>
    </row>
    <row r="36">
      <c r="A36" s="6" t="n">
        <v>15</v>
      </c>
      <c r="B36" s="6">
        <f>SUM('附表5'!S45,'附表5'!S46)</f>
        <v/>
      </c>
      <c r="C36" s="6" t="n">
        <v>4200</v>
      </c>
      <c r="D36" s="6" t="n">
        <v>1216</v>
      </c>
      <c r="E36" s="6">
        <f>H36*0.12</f>
        <v/>
      </c>
      <c r="F36" s="6">
        <f>B36*0.06</f>
        <v/>
      </c>
      <c r="G36" s="6">
        <f>C36*0.1</f>
        <v/>
      </c>
      <c r="H36" s="6">
        <f>MAX(F36-G36,0)</f>
        <v/>
      </c>
      <c r="I36" s="6" t="n">
        <v>1182.8</v>
      </c>
      <c r="J36" s="6" t="n">
        <v>3548.38</v>
      </c>
    </row>
    <row r="37">
      <c r="A37" s="6" t="n">
        <v>16</v>
      </c>
      <c r="B37" s="6">
        <f>SUM('附表5'!T45,'附表5'!T46)</f>
        <v/>
      </c>
      <c r="C37" s="6" t="n">
        <v>4200</v>
      </c>
      <c r="D37" s="6" t="n">
        <v>1216</v>
      </c>
      <c r="E37" s="6">
        <f>H37*0.12</f>
        <v/>
      </c>
      <c r="F37" s="6">
        <f>B37*0.06</f>
        <v/>
      </c>
      <c r="G37" s="6">
        <f>C37*0.1</f>
        <v/>
      </c>
      <c r="H37" s="6">
        <f>MAX(F37-G37,0)</f>
        <v/>
      </c>
      <c r="I37" s="6" t="n">
        <v>1182.8</v>
      </c>
      <c r="J37" s="6" t="n">
        <v>3548.38</v>
      </c>
    </row>
    <row r="38">
      <c r="A38" s="6" t="n">
        <v>17</v>
      </c>
      <c r="B38" s="6">
        <f>SUM('附表5'!U45,'附表5'!U46)</f>
        <v/>
      </c>
      <c r="C38" s="6" t="n">
        <v>4200</v>
      </c>
      <c r="D38" s="6" t="n">
        <v>1216</v>
      </c>
      <c r="E38" s="6">
        <f>H38*0.12</f>
        <v/>
      </c>
      <c r="F38" s="6">
        <f>B38*0.06</f>
        <v/>
      </c>
      <c r="G38" s="6">
        <f>C38*0.1</f>
        <v/>
      </c>
      <c r="H38" s="6">
        <f>MAX(F38-G38,0)</f>
        <v/>
      </c>
      <c r="I38" s="6" t="n">
        <v>1182.8</v>
      </c>
      <c r="J38" s="6" t="n">
        <v>3548.38</v>
      </c>
    </row>
    <row r="39">
      <c r="A39" s="6" t="n">
        <v>18</v>
      </c>
      <c r="B39" s="6">
        <f>SUM('附表5'!V45,'附表5'!V46)</f>
        <v/>
      </c>
      <c r="C39" s="6" t="n">
        <v>4200</v>
      </c>
      <c r="D39" s="6" t="n">
        <v>1216</v>
      </c>
      <c r="E39" s="6">
        <f>H39*0.12</f>
        <v/>
      </c>
      <c r="F39" s="6">
        <f>B39*0.06</f>
        <v/>
      </c>
      <c r="G39" s="6">
        <f>C39*0.1</f>
        <v/>
      </c>
      <c r="H39" s="6">
        <f>MAX(F39-G39,0)</f>
        <v/>
      </c>
      <c r="I39" s="6" t="n">
        <v>1182.8</v>
      </c>
      <c r="J39" s="6" t="n">
        <v>3548.38</v>
      </c>
    </row>
    <row r="40">
      <c r="A40" s="6" t="n">
        <v>19</v>
      </c>
      <c r="B40" s="6">
        <f>SUM('附表5'!W45,'附表5'!W46)</f>
        <v/>
      </c>
      <c r="C40" s="6" t="n">
        <v>4200</v>
      </c>
      <c r="D40" s="6" t="n">
        <v>1216</v>
      </c>
      <c r="E40" s="6">
        <f>H40*0.12</f>
        <v/>
      </c>
      <c r="F40" s="6">
        <f>B40*0.06</f>
        <v/>
      </c>
      <c r="G40" s="6">
        <f>C40*0.1</f>
        <v/>
      </c>
      <c r="H40" s="6">
        <f>MAX(F40-G40,0)</f>
        <v/>
      </c>
      <c r="I40" s="6" t="n">
        <v>1182.8</v>
      </c>
      <c r="J40" s="6" t="n">
        <v>3548.38</v>
      </c>
    </row>
    <row r="41">
      <c r="A41" s="6" t="n">
        <v>20</v>
      </c>
      <c r="B41" s="6">
        <f>SUM('附表5'!X45,'附表5'!X46)</f>
        <v/>
      </c>
      <c r="C41" s="6" t="n">
        <v>4200</v>
      </c>
      <c r="D41" s="6" t="n">
        <v>1216</v>
      </c>
      <c r="E41" s="6">
        <f>H41*0.12</f>
        <v/>
      </c>
      <c r="F41" s="6">
        <f>B41*0.06</f>
        <v/>
      </c>
      <c r="G41" s="6">
        <f>C41*0.1</f>
        <v/>
      </c>
      <c r="H41" s="6">
        <f>MAX(F41-G41,0)</f>
        <v/>
      </c>
      <c r="I41" s="6" t="n">
        <v>1182.8</v>
      </c>
      <c r="J41" s="6" t="n">
        <v>3548.38</v>
      </c>
    </row>
    <row r="42"/>
    <row r="43">
      <c r="A43" t="inlineStr">
        <is>
          <t>分产品量价与达产爬坡</t>
        </is>
      </c>
    </row>
    <row r="44">
      <c r="A44" s="7" t="inlineStr">
        <is>
          <t>产品</t>
        </is>
      </c>
      <c r="B44" s="7" t="inlineStr">
        <is>
          <t>单位</t>
        </is>
      </c>
      <c r="C44" s="7" t="inlineStr">
        <is>
          <t>单价</t>
        </is>
      </c>
      <c r="D44" s="7" t="inlineStr">
        <is>
          <t>达产产能</t>
        </is>
      </c>
      <c r="E44" s="7" t="inlineStr">
        <is>
          <t>运营年1收入</t>
        </is>
      </c>
      <c r="F44" s="7" t="inlineStr">
        <is>
          <t>运营年2收入</t>
        </is>
      </c>
      <c r="G44" s="7" t="inlineStr">
        <is>
          <t>运营年3收入</t>
        </is>
      </c>
      <c r="H44" s="7" t="inlineStr">
        <is>
          <t>运营年4收入</t>
        </is>
      </c>
      <c r="I44" s="7" t="inlineStr">
        <is>
          <t>运营年5收入</t>
        </is>
      </c>
      <c r="J44" s="7" t="inlineStr">
        <is>
          <t>运营年6收入</t>
        </is>
      </c>
      <c r="K44" s="7" t="inlineStr">
        <is>
          <t>运营年7收入</t>
        </is>
      </c>
      <c r="L44" s="7" t="inlineStr">
        <is>
          <t>运营年8收入</t>
        </is>
      </c>
      <c r="M44" s="7" t="inlineStr">
        <is>
          <t>运营年9收入</t>
        </is>
      </c>
      <c r="N44" s="7" t="inlineStr">
        <is>
          <t>运营年10收入</t>
        </is>
      </c>
      <c r="O44" s="7" t="inlineStr">
        <is>
          <t>运营年11收入</t>
        </is>
      </c>
      <c r="P44" s="7" t="inlineStr">
        <is>
          <t>运营年12收入</t>
        </is>
      </c>
      <c r="Q44" s="7" t="inlineStr">
        <is>
          <t>运营年13收入</t>
        </is>
      </c>
      <c r="R44" s="7" t="inlineStr">
        <is>
          <t>运营年14收入</t>
        </is>
      </c>
      <c r="S44" s="7" t="inlineStr">
        <is>
          <t>运营年15收入</t>
        </is>
      </c>
      <c r="T44" s="7" t="inlineStr">
        <is>
          <t>运营年16收入</t>
        </is>
      </c>
      <c r="U44" s="7" t="inlineStr">
        <is>
          <t>运营年17收入</t>
        </is>
      </c>
      <c r="V44" s="7" t="inlineStr">
        <is>
          <t>运营年18收入</t>
        </is>
      </c>
      <c r="W44" s="7" t="inlineStr">
        <is>
          <t>运营年19收入</t>
        </is>
      </c>
      <c r="X44" s="7" t="inlineStr">
        <is>
          <t>运营年20收入</t>
        </is>
      </c>
    </row>
    <row r="45">
      <c r="A45" t="inlineStr">
        <is>
          <t>门票收入</t>
        </is>
      </c>
      <c r="B45" t="inlineStr">
        <is>
          <t>万人次</t>
        </is>
      </c>
      <c r="C45" t="n">
        <v>60</v>
      </c>
      <c r="D45" t="n">
        <v>120</v>
      </c>
      <c r="E45" s="6">
        <f>$C45*$D45*10000/10000*0.5</f>
        <v/>
      </c>
      <c r="F45" s="6">
        <f>$C45*$D45*10000/10000*0.7</f>
        <v/>
      </c>
      <c r="G45" s="6">
        <f>$C45*$D45*10000/10000*0.85</f>
        <v/>
      </c>
      <c r="H45" s="6">
        <f>$C45*$D45*10000/10000*1</f>
        <v/>
      </c>
      <c r="I45" s="6">
        <f>$C45*$D45*10000/10000*1</f>
        <v/>
      </c>
      <c r="J45" s="6">
        <f>$C45*$D45*10000/10000*1</f>
        <v/>
      </c>
      <c r="K45" s="6">
        <f>$C45*$D45*10000/10000*1</f>
        <v/>
      </c>
      <c r="L45" s="6">
        <f>$C45*$D45*10000/10000*1</f>
        <v/>
      </c>
      <c r="M45" s="6">
        <f>$C45*$D45*10000/10000*1</f>
        <v/>
      </c>
      <c r="N45" s="6">
        <f>$C45*$D45*10000/10000*1</f>
        <v/>
      </c>
      <c r="O45" s="6">
        <f>$C45*$D45*10000/10000*1</f>
        <v/>
      </c>
      <c r="P45" s="6">
        <f>$C45*$D45*10000/10000*1</f>
        <v/>
      </c>
      <c r="Q45" s="6">
        <f>$C45*$D45*10000/10000*1</f>
        <v/>
      </c>
      <c r="R45" s="6">
        <f>$C45*$D45*10000/10000*1</f>
        <v/>
      </c>
      <c r="S45" s="6">
        <f>$C45*$D45*10000/10000*1</f>
        <v/>
      </c>
      <c r="T45" s="6">
        <f>$C45*$D45*10000/10000*1</f>
        <v/>
      </c>
      <c r="U45" s="6">
        <f>$C45*$D45*10000/10000*1</f>
        <v/>
      </c>
      <c r="V45" s="6">
        <f>$C45*$D45*10000/10000*1</f>
        <v/>
      </c>
      <c r="W45" s="6">
        <f>$C45*$D45*10000/10000*1</f>
        <v/>
      </c>
      <c r="X45" s="6">
        <f>$C45*$D45*10000/10000*1</f>
        <v/>
      </c>
    </row>
    <row r="46">
      <c r="A46" t="inlineStr">
        <is>
          <t>二次消费</t>
        </is>
      </c>
      <c r="B46" t="inlineStr">
        <is>
          <t>万人次</t>
        </is>
      </c>
      <c r="C46" t="n">
        <v>45</v>
      </c>
      <c r="D46" t="n">
        <v>66</v>
      </c>
      <c r="E46" s="6">
        <f>$C46*$D46*10000/10000*0.5</f>
        <v/>
      </c>
      <c r="F46" s="6">
        <f>$C46*$D46*10000/10000*0.7</f>
        <v/>
      </c>
      <c r="G46" s="6">
        <f>$C46*$D46*10000/10000*0.85</f>
        <v/>
      </c>
      <c r="H46" s="6">
        <f>$C46*$D46*10000/10000*1</f>
        <v/>
      </c>
      <c r="I46" s="6">
        <f>$C46*$D46*10000/10000*1</f>
        <v/>
      </c>
      <c r="J46" s="6">
        <f>$C46*$D46*10000/10000*1</f>
        <v/>
      </c>
      <c r="K46" s="6">
        <f>$C46*$D46*10000/10000*1</f>
        <v/>
      </c>
      <c r="L46" s="6">
        <f>$C46*$D46*10000/10000*1</f>
        <v/>
      </c>
      <c r="M46" s="6">
        <f>$C46*$D46*10000/10000*1</f>
        <v/>
      </c>
      <c r="N46" s="6">
        <f>$C46*$D46*10000/10000*1</f>
        <v/>
      </c>
      <c r="O46" s="6">
        <f>$C46*$D46*10000/10000*1</f>
        <v/>
      </c>
      <c r="P46" s="6">
        <f>$C46*$D46*10000/10000*1</f>
        <v/>
      </c>
      <c r="Q46" s="6">
        <f>$C46*$D46*10000/10000*1</f>
        <v/>
      </c>
      <c r="R46" s="6">
        <f>$C46*$D46*10000/10000*1</f>
        <v/>
      </c>
      <c r="S46" s="6">
        <f>$C46*$D46*10000/10000*1</f>
        <v/>
      </c>
      <c r="T46" s="6">
        <f>$C46*$D46*10000/10000*1</f>
        <v/>
      </c>
      <c r="U46" s="6">
        <f>$C46*$D46*10000/10000*1</f>
        <v/>
      </c>
      <c r="V46" s="6">
        <f>$C46*$D46*10000/10000*1</f>
        <v/>
      </c>
      <c r="W46" s="6">
        <f>$C46*$D46*10000/10000*1</f>
        <v/>
      </c>
      <c r="X46" s="6">
        <f>$C46*$D46*10000/10000*1</f>
        <v/>
      </c>
    </row>
    <row r="47">
      <c r="A47" t="inlineStr">
        <is>
          <t>说明1：structure_gaps: 行业变体未冻结(variant=tourism, model=tourism)；城建税/教育费附加/地方教育附加缺明确政策口径</t>
        </is>
      </c>
    </row>
    <row r="48">
      <c r="A48" t="inlineStr">
        <is>
          <t>跨表依赖复核：附表6</t>
        </is>
      </c>
      <c r="B48" s="6">
        <f>'附表6'!A17</f>
        <v/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附表6 总成本费用估算表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计算期1</t>
        </is>
      </c>
      <c r="E3" s="2" t="inlineStr">
        <is>
          <t>计算期2</t>
        </is>
      </c>
      <c r="F3" s="2" t="inlineStr">
        <is>
          <t>计算期3</t>
        </is>
      </c>
      <c r="G3" s="2" t="inlineStr">
        <is>
          <t>计算期4</t>
        </is>
      </c>
      <c r="H3" s="2" t="inlineStr">
        <is>
          <t>计算期5</t>
        </is>
      </c>
      <c r="I3" s="2" t="inlineStr">
        <is>
          <t>计算期6</t>
        </is>
      </c>
      <c r="J3" s="2" t="inlineStr">
        <is>
          <t>计算期7</t>
        </is>
      </c>
      <c r="K3" s="2" t="inlineStr">
        <is>
          <t>计算期8</t>
        </is>
      </c>
      <c r="L3" s="2" t="inlineStr">
        <is>
          <t>计算期9</t>
        </is>
      </c>
      <c r="M3" s="2" t="inlineStr">
        <is>
          <t>计算期10</t>
        </is>
      </c>
      <c r="N3" s="2" t="inlineStr">
        <is>
          <t>计算期11</t>
        </is>
      </c>
      <c r="O3" s="2" t="inlineStr">
        <is>
          <t>计算期12</t>
        </is>
      </c>
      <c r="P3" s="2" t="inlineStr">
        <is>
          <t>计算期13</t>
        </is>
      </c>
      <c r="Q3" s="2" t="inlineStr">
        <is>
          <t>计算期14</t>
        </is>
      </c>
      <c r="R3" s="2" t="inlineStr">
        <is>
          <t>计算期15</t>
        </is>
      </c>
      <c r="S3" s="2" t="inlineStr">
        <is>
          <t>计算期16</t>
        </is>
      </c>
      <c r="T3" s="2" t="inlineStr">
        <is>
          <t>计算期17</t>
        </is>
      </c>
      <c r="U3" s="2" t="inlineStr">
        <is>
          <t>计算期18</t>
        </is>
      </c>
      <c r="V3" s="2" t="inlineStr">
        <is>
          <t>计算期19</t>
        </is>
      </c>
      <c r="W3" s="2" t="inlineStr">
        <is>
          <t>计算期20</t>
        </is>
      </c>
    </row>
    <row r="4">
      <c r="A4" s="3" t="inlineStr">
        <is>
          <t>1</t>
        </is>
      </c>
      <c r="B4" s="3" t="inlineStr">
        <is>
          <t>生产负荷（%）</t>
        </is>
      </c>
      <c r="C4" s="4" t="n">
        <v>100</v>
      </c>
      <c r="D4" s="4" t="n">
        <v>50</v>
      </c>
      <c r="E4" s="4" t="n">
        <v>70</v>
      </c>
      <c r="F4" s="4" t="n">
        <v>85</v>
      </c>
      <c r="G4" s="4" t="n">
        <v>100</v>
      </c>
      <c r="H4" s="4" t="n">
        <v>100</v>
      </c>
      <c r="I4" s="4" t="n">
        <v>100</v>
      </c>
      <c r="J4" s="4" t="n">
        <v>100</v>
      </c>
      <c r="K4" s="4" t="n">
        <v>100</v>
      </c>
      <c r="L4" s="4" t="n">
        <v>100</v>
      </c>
      <c r="M4" s="4" t="n">
        <v>100</v>
      </c>
      <c r="N4" s="4" t="n">
        <v>100</v>
      </c>
      <c r="O4" s="4" t="n">
        <v>100</v>
      </c>
      <c r="P4" s="4" t="n">
        <v>100</v>
      </c>
      <c r="Q4" s="4" t="n">
        <v>100</v>
      </c>
      <c r="R4" s="4" t="n">
        <v>100</v>
      </c>
      <c r="S4" s="4" t="n">
        <v>100</v>
      </c>
      <c r="T4" s="4" t="n">
        <v>100</v>
      </c>
      <c r="U4" s="4" t="n">
        <v>100</v>
      </c>
      <c r="V4" s="4" t="n">
        <v>100</v>
      </c>
      <c r="W4" s="4" t="n">
        <v>100</v>
      </c>
    </row>
    <row r="5">
      <c r="A5" s="3" t="inlineStr">
        <is>
          <t>2</t>
        </is>
      </c>
      <c r="B5" s="3" t="inlineStr">
        <is>
          <t>年经营成本</t>
        </is>
      </c>
      <c r="C5" s="4" t="n">
        <v>80010</v>
      </c>
      <c r="D5" s="4" t="n">
        <v>2100</v>
      </c>
      <c r="E5" s="4" t="n">
        <v>2940</v>
      </c>
      <c r="F5" s="4" t="n">
        <v>3570</v>
      </c>
      <c r="G5" s="4" t="n">
        <v>4200</v>
      </c>
      <c r="H5" s="4" t="n">
        <v>4200</v>
      </c>
      <c r="I5" s="4" t="n">
        <v>4200</v>
      </c>
      <c r="J5" s="4" t="n">
        <v>4200</v>
      </c>
      <c r="K5" s="4" t="n">
        <v>4200</v>
      </c>
      <c r="L5" s="4" t="n">
        <v>4200</v>
      </c>
      <c r="M5" s="4" t="n">
        <v>4200</v>
      </c>
      <c r="N5" s="4" t="n">
        <v>4200</v>
      </c>
      <c r="O5" s="4" t="n">
        <v>4200</v>
      </c>
      <c r="P5" s="4" t="n">
        <v>4200</v>
      </c>
      <c r="Q5" s="4" t="n">
        <v>4200</v>
      </c>
      <c r="R5" s="4" t="n">
        <v>4200</v>
      </c>
      <c r="S5" s="4" t="n">
        <v>4200</v>
      </c>
      <c r="T5" s="4" t="n">
        <v>4200</v>
      </c>
      <c r="U5" s="4" t="n">
        <v>4200</v>
      </c>
      <c r="V5" s="4" t="n">
        <v>4200</v>
      </c>
      <c r="W5" s="4" t="n">
        <v>4200</v>
      </c>
    </row>
    <row r="6">
      <c r="A6" s="3" t="inlineStr">
        <is>
          <t>8</t>
        </is>
      </c>
      <c r="B6" s="3" t="inlineStr">
        <is>
          <t>经营成本</t>
        </is>
      </c>
      <c r="C6" s="4">
        <f>SUM(D6,E6,F6,G6,H6,I6,J6,K6,L6,M6,N6,O6,P6,Q6,R6,S6,T6,U6,V6,W6)</f>
        <v/>
      </c>
      <c r="D6" s="4">
        <f>B17</f>
        <v/>
      </c>
      <c r="E6" s="4">
        <f>B18</f>
        <v/>
      </c>
      <c r="F6" s="4">
        <f>B19</f>
        <v/>
      </c>
      <c r="G6" s="4">
        <f>B20</f>
        <v/>
      </c>
      <c r="H6" s="4">
        <f>B21</f>
        <v/>
      </c>
      <c r="I6" s="4">
        <f>B22</f>
        <v/>
      </c>
      <c r="J6" s="4">
        <f>B23</f>
        <v/>
      </c>
      <c r="K6" s="4">
        <f>B24</f>
        <v/>
      </c>
      <c r="L6" s="4">
        <f>B25</f>
        <v/>
      </c>
      <c r="M6" s="4">
        <f>B26</f>
        <v/>
      </c>
      <c r="N6" s="4">
        <f>B27</f>
        <v/>
      </c>
      <c r="O6" s="4">
        <f>B28</f>
        <v/>
      </c>
      <c r="P6" s="4">
        <f>B29</f>
        <v/>
      </c>
      <c r="Q6" s="4">
        <f>B30</f>
        <v/>
      </c>
      <c r="R6" s="4">
        <f>B31</f>
        <v/>
      </c>
      <c r="S6" s="4">
        <f>B32</f>
        <v/>
      </c>
      <c r="T6" s="4">
        <f>B33</f>
        <v/>
      </c>
      <c r="U6" s="4">
        <f>B34</f>
        <v/>
      </c>
      <c r="V6" s="4">
        <f>B35</f>
        <v/>
      </c>
      <c r="W6" s="4">
        <f>B36</f>
        <v/>
      </c>
    </row>
    <row r="7">
      <c r="A7" s="3" t="inlineStr">
        <is>
          <t>9</t>
        </is>
      </c>
      <c r="B7" s="3" t="inlineStr">
        <is>
          <t>折旧费</t>
        </is>
      </c>
      <c r="C7" s="4">
        <f>SUM(D7,E7,F7,G7,H7,I7,J7,K7,L7,M7,N7,O7,P7,Q7,R7,S7,T7,U7,V7,W7)</f>
        <v/>
      </c>
      <c r="D7" s="4">
        <f>C17</f>
        <v/>
      </c>
      <c r="E7" s="4">
        <f>C18</f>
        <v/>
      </c>
      <c r="F7" s="4">
        <f>C19</f>
        <v/>
      </c>
      <c r="G7" s="4">
        <f>C20</f>
        <v/>
      </c>
      <c r="H7" s="4">
        <f>C21</f>
        <v/>
      </c>
      <c r="I7" s="4">
        <f>C22</f>
        <v/>
      </c>
      <c r="J7" s="4">
        <f>C23</f>
        <v/>
      </c>
      <c r="K7" s="4">
        <f>C24</f>
        <v/>
      </c>
      <c r="L7" s="4">
        <f>C25</f>
        <v/>
      </c>
      <c r="M7" s="4">
        <f>C26</f>
        <v/>
      </c>
      <c r="N7" s="4">
        <f>C27</f>
        <v/>
      </c>
      <c r="O7" s="4">
        <f>C28</f>
        <v/>
      </c>
      <c r="P7" s="4">
        <f>C29</f>
        <v/>
      </c>
      <c r="Q7" s="4">
        <f>C30</f>
        <v/>
      </c>
      <c r="R7" s="4">
        <f>C31</f>
        <v/>
      </c>
      <c r="S7" s="4">
        <f>C32</f>
        <v/>
      </c>
      <c r="T7" s="4">
        <f>C33</f>
        <v/>
      </c>
      <c r="U7" s="4">
        <f>C34</f>
        <v/>
      </c>
      <c r="V7" s="4">
        <f>C35</f>
        <v/>
      </c>
      <c r="W7" s="4">
        <f>C36</f>
        <v/>
      </c>
    </row>
    <row r="8">
      <c r="A8" s="3" t="inlineStr">
        <is>
          <t>10</t>
        </is>
      </c>
      <c r="B8" s="3" t="inlineStr">
        <is>
          <t>摊销费</t>
        </is>
      </c>
      <c r="C8" s="4">
        <f>SUM(D8,E8,F8,G8,H8,I8,J8,K8,L8,M8,N8,O8,P8,Q8,R8,S8,T8,U8,V8,W8)</f>
        <v/>
      </c>
      <c r="D8" s="4">
        <f>D17</f>
        <v/>
      </c>
      <c r="E8" s="4">
        <f>D18</f>
        <v/>
      </c>
      <c r="F8" s="4">
        <f>D19</f>
        <v/>
      </c>
      <c r="G8" s="4">
        <f>D20</f>
        <v/>
      </c>
      <c r="H8" s="4">
        <f>D21</f>
        <v/>
      </c>
      <c r="I8" s="4">
        <f>D22</f>
        <v/>
      </c>
      <c r="J8" s="4">
        <f>D23</f>
        <v/>
      </c>
      <c r="K8" s="4">
        <f>D24</f>
        <v/>
      </c>
      <c r="L8" s="4">
        <f>D25</f>
        <v/>
      </c>
      <c r="M8" s="4">
        <f>D26</f>
        <v/>
      </c>
      <c r="N8" s="4">
        <f>D27</f>
        <v/>
      </c>
      <c r="O8" s="4">
        <f>D28</f>
        <v/>
      </c>
      <c r="P8" s="4">
        <f>D29</f>
        <v/>
      </c>
      <c r="Q8" s="4">
        <f>D30</f>
        <v/>
      </c>
      <c r="R8" s="4">
        <f>D31</f>
        <v/>
      </c>
      <c r="S8" s="4">
        <f>D32</f>
        <v/>
      </c>
      <c r="T8" s="4">
        <f>D33</f>
        <v/>
      </c>
      <c r="U8" s="4">
        <f>D34</f>
        <v/>
      </c>
      <c r="V8" s="4">
        <f>D35</f>
        <v/>
      </c>
      <c r="W8" s="4">
        <f>D36</f>
        <v/>
      </c>
    </row>
    <row r="9">
      <c r="A9" s="3" t="inlineStr">
        <is>
          <t>11</t>
        </is>
      </c>
      <c r="B9" s="3" t="inlineStr">
        <is>
          <t>财务费用</t>
        </is>
      </c>
      <c r="C9" s="4">
        <f>SUM(D9,E9,F9,G9,H9,I9,J9,K9,L9,M9,N9,O9,P9,Q9,R9,S9,T9,U9,V9,W9)</f>
        <v/>
      </c>
      <c r="D9" s="4">
        <f>E17</f>
        <v/>
      </c>
      <c r="E9" s="4">
        <f>E18</f>
        <v/>
      </c>
      <c r="F9" s="4">
        <f>E19</f>
        <v/>
      </c>
      <c r="G9" s="4">
        <f>E20</f>
        <v/>
      </c>
      <c r="H9" s="4">
        <f>E21</f>
        <v/>
      </c>
      <c r="I9" s="4">
        <f>E22</f>
        <v/>
      </c>
      <c r="J9" s="4">
        <f>E23</f>
        <v/>
      </c>
      <c r="K9" s="4">
        <f>E24</f>
        <v/>
      </c>
      <c r="L9" s="4">
        <f>E25</f>
        <v/>
      </c>
      <c r="M9" s="4">
        <f>E26</f>
        <v/>
      </c>
      <c r="N9" s="4">
        <f>E27</f>
        <v/>
      </c>
      <c r="O9" s="4">
        <f>E28</f>
        <v/>
      </c>
      <c r="P9" s="4">
        <f>E29</f>
        <v/>
      </c>
      <c r="Q9" s="4">
        <f>E30</f>
        <v/>
      </c>
      <c r="R9" s="4">
        <f>E31</f>
        <v/>
      </c>
      <c r="S9" s="4">
        <f>E32</f>
        <v/>
      </c>
      <c r="T9" s="4">
        <f>E33</f>
        <v/>
      </c>
      <c r="U9" s="4">
        <f>E34</f>
        <v/>
      </c>
      <c r="V9" s="4">
        <f>E35</f>
        <v/>
      </c>
      <c r="W9" s="4">
        <f>E36</f>
        <v/>
      </c>
    </row>
    <row r="10">
      <c r="A10" s="3" t="inlineStr">
        <is>
          <t>11.1</t>
        </is>
      </c>
      <c r="B10" s="3" t="inlineStr">
        <is>
          <t>长期贷款利息</t>
        </is>
      </c>
      <c r="C10" s="4">
        <f>SUM(D10,E10,F10,G10,H10,I10,J10,K10,L10,M10,N10,O10,P10,Q10,R10,S10,T10,U10,V10,W10)</f>
        <v/>
      </c>
      <c r="D10" s="4">
        <f>E17</f>
        <v/>
      </c>
      <c r="E10" s="4">
        <f>E18</f>
        <v/>
      </c>
      <c r="F10" s="4">
        <f>E19</f>
        <v/>
      </c>
      <c r="G10" s="4">
        <f>E20</f>
        <v/>
      </c>
      <c r="H10" s="4">
        <f>E21</f>
        <v/>
      </c>
      <c r="I10" s="4">
        <f>E22</f>
        <v/>
      </c>
      <c r="J10" s="4">
        <f>E23</f>
        <v/>
      </c>
      <c r="K10" s="4">
        <f>E24</f>
        <v/>
      </c>
      <c r="L10" s="4">
        <f>E25</f>
        <v/>
      </c>
      <c r="M10" s="4">
        <f>E26</f>
        <v/>
      </c>
      <c r="N10" s="4">
        <f>E27</f>
        <v/>
      </c>
      <c r="O10" s="4">
        <f>E28</f>
        <v/>
      </c>
      <c r="P10" s="4">
        <f>E29</f>
        <v/>
      </c>
      <c r="Q10" s="4">
        <f>E30</f>
        <v/>
      </c>
      <c r="R10" s="4">
        <f>E31</f>
        <v/>
      </c>
      <c r="S10" s="4">
        <f>E32</f>
        <v/>
      </c>
      <c r="T10" s="4">
        <f>E33</f>
        <v/>
      </c>
      <c r="U10" s="4">
        <f>E34</f>
        <v/>
      </c>
      <c r="V10" s="4">
        <f>E35</f>
        <v/>
      </c>
      <c r="W10" s="4">
        <f>E36</f>
        <v/>
      </c>
    </row>
    <row r="11">
      <c r="A11" s="3" t="inlineStr">
        <is>
          <t>12</t>
        </is>
      </c>
      <c r="B11" s="3" t="inlineStr">
        <is>
          <t>总成本费用</t>
        </is>
      </c>
      <c r="C11" s="4">
        <f>SUM(D11,E11,F11,G11,H11,I11,J11,K11,L11,M11,N11,O11,P11,Q11,R11,S11,T11,U11,V11,W11)</f>
        <v/>
      </c>
      <c r="D11" s="4">
        <f>F17</f>
        <v/>
      </c>
      <c r="E11" s="4">
        <f>F18</f>
        <v/>
      </c>
      <c r="F11" s="4">
        <f>F19</f>
        <v/>
      </c>
      <c r="G11" s="4">
        <f>F20</f>
        <v/>
      </c>
      <c r="H11" s="4">
        <f>F21</f>
        <v/>
      </c>
      <c r="I11" s="4">
        <f>F22</f>
        <v/>
      </c>
      <c r="J11" s="4">
        <f>F23</f>
        <v/>
      </c>
      <c r="K11" s="4">
        <f>F24</f>
        <v/>
      </c>
      <c r="L11" s="4">
        <f>F25</f>
        <v/>
      </c>
      <c r="M11" s="4">
        <f>F26</f>
        <v/>
      </c>
      <c r="N11" s="4">
        <f>F27</f>
        <v/>
      </c>
      <c r="O11" s="4">
        <f>F28</f>
        <v/>
      </c>
      <c r="P11" s="4">
        <f>F29</f>
        <v/>
      </c>
      <c r="Q11" s="4">
        <f>F30</f>
        <v/>
      </c>
      <c r="R11" s="4">
        <f>F31</f>
        <v/>
      </c>
      <c r="S11" s="4">
        <f>F32</f>
        <v/>
      </c>
      <c r="T11" s="4">
        <f>F33</f>
        <v/>
      </c>
      <c r="U11" s="4">
        <f>F34</f>
        <v/>
      </c>
      <c r="V11" s="4">
        <f>F35</f>
        <v/>
      </c>
      <c r="W11" s="4">
        <f>F36</f>
        <v/>
      </c>
    </row>
    <row r="12">
      <c r="A12" s="3" t="inlineStr">
        <is>
          <t>12.1</t>
        </is>
      </c>
      <c r="B12" s="3" t="inlineStr">
        <is>
          <t>固定成本</t>
        </is>
      </c>
      <c r="C12" s="4" t="n">
        <v>80010</v>
      </c>
      <c r="D12" s="4" t="n">
        <v>2100</v>
      </c>
      <c r="E12" s="4" t="n">
        <v>2940</v>
      </c>
      <c r="F12" s="4" t="n">
        <v>3570</v>
      </c>
      <c r="G12" s="4" t="n">
        <v>4200</v>
      </c>
      <c r="H12" s="4" t="n">
        <v>4200</v>
      </c>
      <c r="I12" s="4" t="n">
        <v>4200</v>
      </c>
      <c r="J12" s="4" t="n">
        <v>4200</v>
      </c>
      <c r="K12" s="4" t="n">
        <v>4200</v>
      </c>
      <c r="L12" s="4" t="n">
        <v>4200</v>
      </c>
      <c r="M12" s="4" t="n">
        <v>4200</v>
      </c>
      <c r="N12" s="4" t="n">
        <v>4200</v>
      </c>
      <c r="O12" s="4" t="n">
        <v>4200</v>
      </c>
      <c r="P12" s="4" t="n">
        <v>4200</v>
      </c>
      <c r="Q12" s="4" t="n">
        <v>4200</v>
      </c>
      <c r="R12" s="4" t="n">
        <v>4200</v>
      </c>
      <c r="S12" s="4" t="n">
        <v>4200</v>
      </c>
      <c r="T12" s="4" t="n">
        <v>4200</v>
      </c>
      <c r="U12" s="4" t="n">
        <v>4200</v>
      </c>
      <c r="V12" s="4" t="n">
        <v>4200</v>
      </c>
      <c r="W12" s="4" t="n">
        <v>4200</v>
      </c>
    </row>
    <row r="13">
      <c r="A13" s="3" t="inlineStr">
        <is>
          <t>12.2</t>
        </is>
      </c>
      <c r="B13" s="3" t="inlineStr">
        <is>
          <t>变动成本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</row>
    <row r="14"/>
    <row r="15">
      <c r="A15" t="inlineStr">
        <is>
          <t>引擎逐年计算区（供公式与跨表追溯）</t>
        </is>
      </c>
    </row>
    <row r="16">
      <c r="A16" s="5" t="inlineStr">
        <is>
          <t>运营年</t>
        </is>
      </c>
      <c r="B16" s="5" t="inlineStr">
        <is>
          <t>经营成本</t>
        </is>
      </c>
      <c r="C16" s="5" t="inlineStr">
        <is>
          <t>折旧费</t>
        </is>
      </c>
      <c r="D16" s="5" t="inlineStr">
        <is>
          <t>摊销费</t>
        </is>
      </c>
      <c r="E16" s="5" t="inlineStr">
        <is>
          <t>利息支出</t>
        </is>
      </c>
      <c r="F16" s="5" t="inlineStr">
        <is>
          <t>总成本费用</t>
        </is>
      </c>
    </row>
    <row r="17">
      <c r="A17" s="6" t="n">
        <v>1</v>
      </c>
      <c r="B17" s="6">
        <f>SUM('附表6'!B40)</f>
        <v/>
      </c>
      <c r="C17" s="6" t="n">
        <v>1216</v>
      </c>
      <c r="D17" s="6" t="n">
        <v>0</v>
      </c>
      <c r="E17" s="6" t="n">
        <v>648</v>
      </c>
      <c r="F17" s="6">
        <f>SUM(B17,C17,D17,E17)</f>
        <v/>
      </c>
    </row>
    <row r="18">
      <c r="A18" s="6" t="n">
        <v>2</v>
      </c>
      <c r="B18" s="6">
        <f>SUM('附表6'!C40)</f>
        <v/>
      </c>
      <c r="C18" s="6" t="n">
        <v>1216</v>
      </c>
      <c r="D18" s="6" t="n">
        <v>0</v>
      </c>
      <c r="E18" s="6" t="n">
        <v>594</v>
      </c>
      <c r="F18" s="6">
        <f>SUM(B18,C18,D18,E18)</f>
        <v/>
      </c>
    </row>
    <row r="19">
      <c r="A19" s="6" t="n">
        <v>3</v>
      </c>
      <c r="B19" s="6">
        <f>SUM('附表6'!D40)</f>
        <v/>
      </c>
      <c r="C19" s="6" t="n">
        <v>1216</v>
      </c>
      <c r="D19" s="6" t="n">
        <v>0</v>
      </c>
      <c r="E19" s="6" t="n">
        <v>540</v>
      </c>
      <c r="F19" s="6">
        <f>SUM(B19,C19,D19,E19)</f>
        <v/>
      </c>
    </row>
    <row r="20">
      <c r="A20" s="6" t="n">
        <v>4</v>
      </c>
      <c r="B20" s="6">
        <f>SUM('附表6'!E40)</f>
        <v/>
      </c>
      <c r="C20" s="6" t="n">
        <v>1216</v>
      </c>
      <c r="D20" s="6" t="n">
        <v>0</v>
      </c>
      <c r="E20" s="6" t="n">
        <v>486</v>
      </c>
      <c r="F20" s="6">
        <f>SUM(B20,C20,D20,E20)</f>
        <v/>
      </c>
    </row>
    <row r="21">
      <c r="A21" s="6" t="n">
        <v>5</v>
      </c>
      <c r="B21" s="6">
        <f>SUM('附表6'!F40)</f>
        <v/>
      </c>
      <c r="C21" s="6" t="n">
        <v>1216</v>
      </c>
      <c r="D21" s="6" t="n">
        <v>0</v>
      </c>
      <c r="E21" s="6" t="n">
        <v>432</v>
      </c>
      <c r="F21" s="6">
        <f>SUM(B21,C21,D21,E21)</f>
        <v/>
      </c>
    </row>
    <row r="22">
      <c r="A22" s="6" t="n">
        <v>6</v>
      </c>
      <c r="B22" s="6">
        <f>SUM('附表6'!G40)</f>
        <v/>
      </c>
      <c r="C22" s="6" t="n">
        <v>1216</v>
      </c>
      <c r="D22" s="6" t="n">
        <v>0</v>
      </c>
      <c r="E22" s="6" t="n">
        <v>378</v>
      </c>
      <c r="F22" s="6">
        <f>SUM(B22,C22,D22,E22)</f>
        <v/>
      </c>
    </row>
    <row r="23">
      <c r="A23" s="6" t="n">
        <v>7</v>
      </c>
      <c r="B23" s="6">
        <f>SUM('附表6'!H40)</f>
        <v/>
      </c>
      <c r="C23" s="6" t="n">
        <v>1216</v>
      </c>
      <c r="D23" s="6" t="n">
        <v>0</v>
      </c>
      <c r="E23" s="6" t="n">
        <v>324</v>
      </c>
      <c r="F23" s="6">
        <f>SUM(B23,C23,D23,E23)</f>
        <v/>
      </c>
    </row>
    <row r="24">
      <c r="A24" s="6" t="n">
        <v>8</v>
      </c>
      <c r="B24" s="6">
        <f>SUM('附表6'!I40)</f>
        <v/>
      </c>
      <c r="C24" s="6" t="n">
        <v>1216</v>
      </c>
      <c r="D24" s="6" t="n">
        <v>0</v>
      </c>
      <c r="E24" s="6" t="n">
        <v>270</v>
      </c>
      <c r="F24" s="6">
        <f>SUM(B24,C24,D24,E24)</f>
        <v/>
      </c>
    </row>
    <row r="25">
      <c r="A25" s="6" t="n">
        <v>9</v>
      </c>
      <c r="B25" s="6">
        <f>SUM('附表6'!J40)</f>
        <v/>
      </c>
      <c r="C25" s="6" t="n">
        <v>1216</v>
      </c>
      <c r="D25" s="6" t="n">
        <v>0</v>
      </c>
      <c r="E25" s="6" t="n">
        <v>216</v>
      </c>
      <c r="F25" s="6">
        <f>SUM(B25,C25,D25,E25)</f>
        <v/>
      </c>
    </row>
    <row r="26">
      <c r="A26" s="6" t="n">
        <v>10</v>
      </c>
      <c r="B26" s="6">
        <f>SUM('附表6'!K40)</f>
        <v/>
      </c>
      <c r="C26" s="6" t="n">
        <v>1216</v>
      </c>
      <c r="D26" s="6" t="n">
        <v>0</v>
      </c>
      <c r="E26" s="6" t="n">
        <v>162</v>
      </c>
      <c r="F26" s="6">
        <f>SUM(B26,C26,D26,E26)</f>
        <v/>
      </c>
    </row>
    <row r="27">
      <c r="A27" s="6" t="n">
        <v>11</v>
      </c>
      <c r="B27" s="6">
        <f>SUM('附表6'!L40)</f>
        <v/>
      </c>
      <c r="C27" s="6" t="n">
        <v>1216</v>
      </c>
      <c r="D27" s="6" t="n">
        <v>0</v>
      </c>
      <c r="E27" s="6" t="n">
        <v>108</v>
      </c>
      <c r="F27" s="6">
        <f>SUM(B27,C27,D27,E27)</f>
        <v/>
      </c>
    </row>
    <row r="28">
      <c r="A28" s="6" t="n">
        <v>12</v>
      </c>
      <c r="B28" s="6">
        <f>SUM('附表6'!M40)</f>
        <v/>
      </c>
      <c r="C28" s="6" t="n">
        <v>1216</v>
      </c>
      <c r="D28" s="6" t="n">
        <v>0</v>
      </c>
      <c r="E28" s="6" t="n">
        <v>54</v>
      </c>
      <c r="F28" s="6">
        <f>SUM(B28,C28,D28,E28)</f>
        <v/>
      </c>
    </row>
    <row r="29">
      <c r="A29" s="6" t="n">
        <v>13</v>
      </c>
      <c r="B29" s="6">
        <f>SUM('附表6'!N40)</f>
        <v/>
      </c>
      <c r="C29" s="6" t="n">
        <v>1216</v>
      </c>
      <c r="D29" s="6" t="n">
        <v>0</v>
      </c>
      <c r="E29" s="6" t="n">
        <v>0</v>
      </c>
      <c r="F29" s="6">
        <f>SUM(B29,C29,D29,E29)</f>
        <v/>
      </c>
    </row>
    <row r="30">
      <c r="A30" s="6" t="n">
        <v>14</v>
      </c>
      <c r="B30" s="6">
        <f>SUM('附表6'!O40)</f>
        <v/>
      </c>
      <c r="C30" s="6" t="n">
        <v>1216</v>
      </c>
      <c r="D30" s="6" t="n">
        <v>0</v>
      </c>
      <c r="E30" s="6" t="n">
        <v>0</v>
      </c>
      <c r="F30" s="6">
        <f>SUM(B30,C30,D30,E30)</f>
        <v/>
      </c>
    </row>
    <row r="31">
      <c r="A31" s="6" t="n">
        <v>15</v>
      </c>
      <c r="B31" s="6">
        <f>SUM('附表6'!P40)</f>
        <v/>
      </c>
      <c r="C31" s="6" t="n">
        <v>1216</v>
      </c>
      <c r="D31" s="6" t="n">
        <v>0</v>
      </c>
      <c r="E31" s="6" t="n">
        <v>0</v>
      </c>
      <c r="F31" s="6">
        <f>SUM(B31,C31,D31,E31)</f>
        <v/>
      </c>
    </row>
    <row r="32">
      <c r="A32" s="6" t="n">
        <v>16</v>
      </c>
      <c r="B32" s="6">
        <f>SUM('附表6'!Q40)</f>
        <v/>
      </c>
      <c r="C32" s="6" t="n">
        <v>1216</v>
      </c>
      <c r="D32" s="6" t="n">
        <v>0</v>
      </c>
      <c r="E32" s="6" t="n">
        <v>0</v>
      </c>
      <c r="F32" s="6">
        <f>SUM(B32,C32,D32,E32)</f>
        <v/>
      </c>
    </row>
    <row r="33">
      <c r="A33" s="6" t="n">
        <v>17</v>
      </c>
      <c r="B33" s="6">
        <f>SUM('附表6'!R40)</f>
        <v/>
      </c>
      <c r="C33" s="6" t="n">
        <v>1216</v>
      </c>
      <c r="D33" s="6" t="n">
        <v>0</v>
      </c>
      <c r="E33" s="6" t="n">
        <v>0</v>
      </c>
      <c r="F33" s="6">
        <f>SUM(B33,C33,D33,E33)</f>
        <v/>
      </c>
    </row>
    <row r="34">
      <c r="A34" s="6" t="n">
        <v>18</v>
      </c>
      <c r="B34" s="6">
        <f>SUM('附表6'!S40)</f>
        <v/>
      </c>
      <c r="C34" s="6" t="n">
        <v>1216</v>
      </c>
      <c r="D34" s="6" t="n">
        <v>0</v>
      </c>
      <c r="E34" s="6" t="n">
        <v>0</v>
      </c>
      <c r="F34" s="6">
        <f>SUM(B34,C34,D34,E34)</f>
        <v/>
      </c>
    </row>
    <row r="35">
      <c r="A35" s="6" t="n">
        <v>19</v>
      </c>
      <c r="B35" s="6">
        <f>SUM('附表6'!T40)</f>
        <v/>
      </c>
      <c r="C35" s="6" t="n">
        <v>1216</v>
      </c>
      <c r="D35" s="6" t="n">
        <v>0</v>
      </c>
      <c r="E35" s="6" t="n">
        <v>0</v>
      </c>
      <c r="F35" s="6">
        <f>SUM(B35,C35,D35,E35)</f>
        <v/>
      </c>
    </row>
    <row r="36">
      <c r="A36" s="6" t="n">
        <v>20</v>
      </c>
      <c r="B36" s="6">
        <f>SUM('附表6'!U40)</f>
        <v/>
      </c>
      <c r="C36" s="6" t="n">
        <v>1216</v>
      </c>
      <c r="D36" s="6" t="n">
        <v>0</v>
      </c>
      <c r="E36" s="6" t="n">
        <v>0</v>
      </c>
      <c r="F36" s="6">
        <f>SUM(B36,C36,D36,E36)</f>
        <v/>
      </c>
    </row>
    <row r="37"/>
    <row r="38">
      <c r="A38" t="inlineStr">
        <is>
          <t>成本费用明细树</t>
        </is>
      </c>
    </row>
    <row r="39">
      <c r="A39" s="7" t="inlineStr">
        <is>
          <t>成本项目</t>
        </is>
      </c>
      <c r="B39" s="7" t="inlineStr">
        <is>
          <t>运营年1</t>
        </is>
      </c>
      <c r="C39" s="7" t="inlineStr">
        <is>
          <t>运营年2</t>
        </is>
      </c>
      <c r="D39" s="7" t="inlineStr">
        <is>
          <t>运营年3</t>
        </is>
      </c>
      <c r="E39" s="7" t="inlineStr">
        <is>
          <t>运营年4</t>
        </is>
      </c>
      <c r="F39" s="7" t="inlineStr">
        <is>
          <t>运营年5</t>
        </is>
      </c>
      <c r="G39" s="7" t="inlineStr">
        <is>
          <t>运营年6</t>
        </is>
      </c>
      <c r="H39" s="7" t="inlineStr">
        <is>
          <t>运营年7</t>
        </is>
      </c>
      <c r="I39" s="7" t="inlineStr">
        <is>
          <t>运营年8</t>
        </is>
      </c>
      <c r="J39" s="7" t="inlineStr">
        <is>
          <t>运营年9</t>
        </is>
      </c>
      <c r="K39" s="7" t="inlineStr">
        <is>
          <t>运营年10</t>
        </is>
      </c>
      <c r="L39" s="7" t="inlineStr">
        <is>
          <t>运营年11</t>
        </is>
      </c>
      <c r="M39" s="7" t="inlineStr">
        <is>
          <t>运营年12</t>
        </is>
      </c>
      <c r="N39" s="7" t="inlineStr">
        <is>
          <t>运营年13</t>
        </is>
      </c>
      <c r="O39" s="7" t="inlineStr">
        <is>
          <t>运营年14</t>
        </is>
      </c>
      <c r="P39" s="7" t="inlineStr">
        <is>
          <t>运营年15</t>
        </is>
      </c>
      <c r="Q39" s="7" t="inlineStr">
        <is>
          <t>运营年16</t>
        </is>
      </c>
      <c r="R39" s="7" t="inlineStr">
        <is>
          <t>运营年17</t>
        </is>
      </c>
      <c r="S39" s="7" t="inlineStr">
        <is>
          <t>运营年18</t>
        </is>
      </c>
      <c r="T39" s="7" t="inlineStr">
        <is>
          <t>运营年19</t>
        </is>
      </c>
      <c r="U39" s="7" t="inlineStr">
        <is>
          <t>运营年20</t>
        </is>
      </c>
    </row>
    <row r="40">
      <c r="A40" t="inlineStr">
        <is>
          <t>年经营成本</t>
        </is>
      </c>
      <c r="B40" s="6" t="n">
        <v>2100</v>
      </c>
      <c r="C40" s="6" t="n">
        <v>2940</v>
      </c>
      <c r="D40" s="6" t="n">
        <v>3570</v>
      </c>
      <c r="E40" s="6" t="n">
        <v>4200</v>
      </c>
      <c r="F40" s="6" t="n">
        <v>4200</v>
      </c>
      <c r="G40" s="6" t="n">
        <v>4200</v>
      </c>
      <c r="H40" s="6" t="n">
        <v>4200</v>
      </c>
      <c r="I40" s="6" t="n">
        <v>4200</v>
      </c>
      <c r="J40" s="6" t="n">
        <v>4200</v>
      </c>
      <c r="K40" s="6" t="n">
        <v>4200</v>
      </c>
      <c r="L40" s="6" t="n">
        <v>4200</v>
      </c>
      <c r="M40" s="6" t="n">
        <v>4200</v>
      </c>
      <c r="N40" s="6" t="n">
        <v>4200</v>
      </c>
      <c r="O40" s="6" t="n">
        <v>4200</v>
      </c>
      <c r="P40" s="6" t="n">
        <v>4200</v>
      </c>
      <c r="Q40" s="6" t="n">
        <v>4200</v>
      </c>
      <c r="R40" s="6" t="n">
        <v>4200</v>
      </c>
      <c r="S40" s="6" t="n">
        <v>4200</v>
      </c>
      <c r="T40" s="6" t="n">
        <v>4200</v>
      </c>
      <c r="U40" s="6" t="n">
        <v>4200</v>
      </c>
    </row>
    <row r="41">
      <c r="A41" t="inlineStr">
        <is>
          <t>说明1：missing_fields: cost_items 成本明细树（≥3 项；默认总成本率不算 reference）</t>
        </is>
      </c>
    </row>
    <row r="42">
      <c r="A42" t="inlineStr">
        <is>
          <t>说明2：structure_gaps: 行业变体未冻结(variant=tourism, model=tourism)；缺参考行组 raw（外购原材料费）；缺参考行组 fuel（外购燃料及动力费/外购燃料和动力费）；缺参考行组 wage（工资及福利费）；缺参考行组 repair（修理费）；缺 cost_items 成本明细树（≥3 项）；固定/变动成本分类未确认（cost_behavior）；名称猜测仅估算，不得升 reference</t>
        </is>
      </c>
    </row>
    <row r="43">
      <c r="A43" t="inlineStr">
        <is>
          <t>跨表依赖复核：附表4</t>
        </is>
      </c>
      <c r="B43" s="6">
        <f>'附表4'!C4</f>
        <v/>
      </c>
    </row>
    <row r="44">
      <c r="A44" t="inlineStr">
        <is>
          <t>跨表依赖复核：附表5</t>
        </is>
      </c>
      <c r="B44" s="6">
        <f>'附表5'!A22</f>
        <v/>
      </c>
    </row>
    <row r="45">
      <c r="A45" t="inlineStr">
        <is>
          <t>跨表依赖复核：附表6-1</t>
        </is>
      </c>
      <c r="B45" s="6">
        <f>'附表6-1'!A11</f>
        <v/>
      </c>
    </row>
    <row r="46">
      <c r="A46" t="inlineStr">
        <is>
          <t>跨表依赖复核：附表6-2</t>
        </is>
      </c>
      <c r="B46" s="6">
        <f>'附表6-2'!A8</f>
        <v/>
      </c>
    </row>
    <row r="47">
      <c r="A47" t="inlineStr">
        <is>
          <t>跨表依赖复核：附表6-3</t>
        </is>
      </c>
      <c r="B47" s="6">
        <f>'附表6-3'!A8</f>
        <v/>
      </c>
    </row>
    <row r="48">
      <c r="A48" t="inlineStr">
        <is>
          <t>跨表依赖复核：附表8</t>
        </is>
      </c>
      <c r="B48" s="6">
        <f>'附表8'!A24</f>
        <v/>
      </c>
    </row>
  </sheetData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附表6-1 工资及附加估算表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单位</t>
        </is>
      </c>
      <c r="D3" s="2" t="inlineStr">
        <is>
          <t>人数</t>
        </is>
      </c>
      <c r="E3" s="2" t="inlineStr">
        <is>
          <t>人均年工资</t>
        </is>
      </c>
      <c r="F3" s="2" t="inlineStr">
        <is>
          <t>合计</t>
        </is>
      </c>
      <c r="G3" s="2" t="inlineStr">
        <is>
          <t>分年1</t>
        </is>
      </c>
      <c r="H3" s="2" t="inlineStr">
        <is>
          <t>分年2</t>
        </is>
      </c>
      <c r="I3" s="2" t="inlineStr">
        <is>
          <t>分年3</t>
        </is>
      </c>
      <c r="J3" s="2" t="inlineStr">
        <is>
          <t>分年4</t>
        </is>
      </c>
      <c r="K3" s="2" t="inlineStr">
        <is>
          <t>分年5</t>
        </is>
      </c>
      <c r="L3" s="2" t="inlineStr">
        <is>
          <t>分年6</t>
        </is>
      </c>
      <c r="M3" s="2" t="inlineStr">
        <is>
          <t>分年7</t>
        </is>
      </c>
      <c r="N3" s="2" t="inlineStr">
        <is>
          <t>分年8</t>
        </is>
      </c>
      <c r="O3" s="2" t="inlineStr">
        <is>
          <t>分年9</t>
        </is>
      </c>
      <c r="P3" s="2" t="inlineStr">
        <is>
          <t>分年10</t>
        </is>
      </c>
      <c r="Q3" s="2" t="inlineStr">
        <is>
          <t>分年11</t>
        </is>
      </c>
      <c r="R3" s="2" t="inlineStr">
        <is>
          <t>分年12</t>
        </is>
      </c>
      <c r="S3" s="2" t="inlineStr">
        <is>
          <t>分年13</t>
        </is>
      </c>
      <c r="T3" s="2" t="inlineStr">
        <is>
          <t>分年14</t>
        </is>
      </c>
      <c r="U3" s="2" t="inlineStr">
        <is>
          <t>分年15</t>
        </is>
      </c>
      <c r="V3" s="2" t="inlineStr">
        <is>
          <t>分年16</t>
        </is>
      </c>
      <c r="W3" s="2" t="inlineStr">
        <is>
          <t>分年17</t>
        </is>
      </c>
      <c r="X3" s="2" t="inlineStr">
        <is>
          <t>分年18</t>
        </is>
      </c>
      <c r="Y3" s="2" t="inlineStr">
        <is>
          <t>分年19</t>
        </is>
      </c>
      <c r="Z3" s="2" t="inlineStr">
        <is>
          <t>分年20</t>
        </is>
      </c>
    </row>
    <row r="4">
      <c r="A4" s="3" t="inlineStr">
        <is>
          <t>1</t>
        </is>
      </c>
      <c r="B4" s="3" t="inlineStr">
        <is>
          <t>劳动定员</t>
        </is>
      </c>
      <c r="C4" s="3" t="inlineStr">
        <is>
          <t>人</t>
        </is>
      </c>
      <c r="D4" s="4" t="n">
        <v>0</v>
      </c>
      <c r="E4" s="3" t="n"/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</row>
    <row r="5">
      <c r="A5" s="3" t="inlineStr">
        <is>
          <t>2</t>
        </is>
      </c>
      <c r="B5" s="3" t="inlineStr">
        <is>
          <t>工资额</t>
        </is>
      </c>
      <c r="C5" s="3" t="inlineStr">
        <is>
          <t>万元</t>
        </is>
      </c>
      <c r="D5" s="3" t="n"/>
      <c r="E5" s="3" t="n"/>
      <c r="F5" s="4">
        <f>SUM(G5,H5,I5,J5,K5,L5,M5,N5,O5,P5,Q5,R5,S5,T5,U5,V5,W5,X5,Y5,Z5)</f>
        <v/>
      </c>
      <c r="G5" s="4">
        <f>B11</f>
        <v/>
      </c>
      <c r="H5" s="4">
        <f>B12</f>
        <v/>
      </c>
      <c r="I5" s="4">
        <f>B13</f>
        <v/>
      </c>
      <c r="J5" s="4">
        <f>B14</f>
        <v/>
      </c>
      <c r="K5" s="4">
        <f>B15</f>
        <v/>
      </c>
      <c r="L5" s="4">
        <f>B16</f>
        <v/>
      </c>
      <c r="M5" s="4">
        <f>B17</f>
        <v/>
      </c>
      <c r="N5" s="4">
        <f>B18</f>
        <v/>
      </c>
      <c r="O5" s="4">
        <f>B19</f>
        <v/>
      </c>
      <c r="P5" s="4">
        <f>B20</f>
        <v/>
      </c>
      <c r="Q5" s="4">
        <f>B21</f>
        <v/>
      </c>
      <c r="R5" s="4">
        <f>B22</f>
        <v/>
      </c>
      <c r="S5" s="4">
        <f>B23</f>
        <v/>
      </c>
      <c r="T5" s="4">
        <f>B24</f>
        <v/>
      </c>
      <c r="U5" s="4">
        <f>B25</f>
        <v/>
      </c>
      <c r="V5" s="4">
        <f>B26</f>
        <v/>
      </c>
      <c r="W5" s="4">
        <f>B27</f>
        <v/>
      </c>
      <c r="X5" s="4">
        <f>B28</f>
        <v/>
      </c>
      <c r="Y5" s="4">
        <f>B29</f>
        <v/>
      </c>
      <c r="Z5" s="4">
        <f>B30</f>
        <v/>
      </c>
    </row>
    <row r="6">
      <c r="A6" s="3" t="inlineStr">
        <is>
          <t>3</t>
        </is>
      </c>
      <c r="B6" s="3" t="inlineStr">
        <is>
          <t>福利费</t>
        </is>
      </c>
      <c r="C6" s="3" t="inlineStr">
        <is>
          <t>万元</t>
        </is>
      </c>
      <c r="D6" s="3" t="n"/>
      <c r="E6" s="3" t="n"/>
      <c r="F6" s="4">
        <f>SUM(G6,H6,I6,J6,K6,L6,M6,N6,O6,P6,Q6,R6,S6,T6,U6,V6,W6,X6,Y6,Z6)</f>
        <v/>
      </c>
      <c r="G6" s="4">
        <f>C11</f>
        <v/>
      </c>
      <c r="H6" s="4">
        <f>C12</f>
        <v/>
      </c>
      <c r="I6" s="4">
        <f>C13</f>
        <v/>
      </c>
      <c r="J6" s="4">
        <f>C14</f>
        <v/>
      </c>
      <c r="K6" s="4">
        <f>C15</f>
        <v/>
      </c>
      <c r="L6" s="4">
        <f>C16</f>
        <v/>
      </c>
      <c r="M6" s="4">
        <f>C17</f>
        <v/>
      </c>
      <c r="N6" s="4">
        <f>C18</f>
        <v/>
      </c>
      <c r="O6" s="4">
        <f>C19</f>
        <v/>
      </c>
      <c r="P6" s="4">
        <f>C20</f>
        <v/>
      </c>
      <c r="Q6" s="4">
        <f>C21</f>
        <v/>
      </c>
      <c r="R6" s="4">
        <f>C22</f>
        <v/>
      </c>
      <c r="S6" s="4">
        <f>C23</f>
        <v/>
      </c>
      <c r="T6" s="4">
        <f>C24</f>
        <v/>
      </c>
      <c r="U6" s="4">
        <f>C25</f>
        <v/>
      </c>
      <c r="V6" s="4">
        <f>C26</f>
        <v/>
      </c>
      <c r="W6" s="4">
        <f>C27</f>
        <v/>
      </c>
      <c r="X6" s="4">
        <f>C28</f>
        <v/>
      </c>
      <c r="Y6" s="4">
        <f>C29</f>
        <v/>
      </c>
      <c r="Z6" s="4">
        <f>C30</f>
        <v/>
      </c>
    </row>
    <row r="7">
      <c r="A7" s="3" t="inlineStr"/>
      <c r="B7" s="3" t="inlineStr">
        <is>
          <t>合计</t>
        </is>
      </c>
      <c r="C7" s="3" t="inlineStr">
        <is>
          <t>万元</t>
        </is>
      </c>
      <c r="D7" s="3" t="n"/>
      <c r="E7" s="3" t="n"/>
      <c r="F7" s="4">
        <f>SUM(G7,H7,I7,J7,K7,L7,M7,N7,O7,P7,Q7,R7,S7,T7,U7,V7,W7,X7,Y7,Z7)</f>
        <v/>
      </c>
      <c r="G7" s="4">
        <f>D11</f>
        <v/>
      </c>
      <c r="H7" s="4">
        <f>D12</f>
        <v/>
      </c>
      <c r="I7" s="4">
        <f>D13</f>
        <v/>
      </c>
      <c r="J7" s="4">
        <f>D14</f>
        <v/>
      </c>
      <c r="K7" s="4">
        <f>D15</f>
        <v/>
      </c>
      <c r="L7" s="4">
        <f>D16</f>
        <v/>
      </c>
      <c r="M7" s="4">
        <f>D17</f>
        <v/>
      </c>
      <c r="N7" s="4">
        <f>D18</f>
        <v/>
      </c>
      <c r="O7" s="4">
        <f>D19</f>
        <v/>
      </c>
      <c r="P7" s="4">
        <f>D20</f>
        <v/>
      </c>
      <c r="Q7" s="4">
        <f>D21</f>
        <v/>
      </c>
      <c r="R7" s="4">
        <f>D22</f>
        <v/>
      </c>
      <c r="S7" s="4">
        <f>D23</f>
        <v/>
      </c>
      <c r="T7" s="4">
        <f>D24</f>
        <v/>
      </c>
      <c r="U7" s="4">
        <f>D25</f>
        <v/>
      </c>
      <c r="V7" s="4">
        <f>D26</f>
        <v/>
      </c>
      <c r="W7" s="4">
        <f>D27</f>
        <v/>
      </c>
      <c r="X7" s="4">
        <f>D28</f>
        <v/>
      </c>
      <c r="Y7" s="4">
        <f>D29</f>
        <v/>
      </c>
      <c r="Z7" s="4">
        <f>D30</f>
        <v/>
      </c>
    </row>
    <row r="8"/>
    <row r="9">
      <c r="A9" t="inlineStr">
        <is>
          <t>引擎逐年计算区（供公式与跨表追溯）</t>
        </is>
      </c>
    </row>
    <row r="10">
      <c r="A10" s="5" t="inlineStr">
        <is>
          <t>运营年</t>
        </is>
      </c>
      <c r="B10" s="5" t="inlineStr">
        <is>
          <t>工资</t>
        </is>
      </c>
      <c r="C10" s="5" t="inlineStr">
        <is>
          <t>职工福利及附加</t>
        </is>
      </c>
      <c r="D10" s="5" t="inlineStr">
        <is>
          <t>工资及附加合计</t>
        </is>
      </c>
    </row>
    <row r="11">
      <c r="A11" s="6" t="n">
        <v>1</v>
      </c>
      <c r="B11" s="6" t="n">
        <v>630</v>
      </c>
      <c r="C11" s="6" t="n">
        <v>88.2</v>
      </c>
      <c r="D11" s="6">
        <f>B11+C11</f>
        <v/>
      </c>
    </row>
    <row r="12">
      <c r="A12" s="6" t="n">
        <v>2</v>
      </c>
      <c r="B12" s="6" t="n">
        <v>630</v>
      </c>
      <c r="C12" s="6" t="n">
        <v>88.2</v>
      </c>
      <c r="D12" s="6">
        <f>B12+C12</f>
        <v/>
      </c>
    </row>
    <row r="13">
      <c r="A13" s="6" t="n">
        <v>3</v>
      </c>
      <c r="B13" s="6" t="n">
        <v>630</v>
      </c>
      <c r="C13" s="6" t="n">
        <v>88.2</v>
      </c>
      <c r="D13" s="6">
        <f>B13+C13</f>
        <v/>
      </c>
    </row>
    <row r="14">
      <c r="A14" s="6" t="n">
        <v>4</v>
      </c>
      <c r="B14" s="6" t="n">
        <v>630</v>
      </c>
      <c r="C14" s="6" t="n">
        <v>88.2</v>
      </c>
      <c r="D14" s="6">
        <f>B14+C14</f>
        <v/>
      </c>
    </row>
    <row r="15">
      <c r="A15" s="6" t="n">
        <v>5</v>
      </c>
      <c r="B15" s="6" t="n">
        <v>630</v>
      </c>
      <c r="C15" s="6" t="n">
        <v>88.2</v>
      </c>
      <c r="D15" s="6">
        <f>B15+C15</f>
        <v/>
      </c>
    </row>
    <row r="16">
      <c r="A16" s="6" t="n">
        <v>6</v>
      </c>
      <c r="B16" s="6" t="n">
        <v>630</v>
      </c>
      <c r="C16" s="6" t="n">
        <v>88.2</v>
      </c>
      <c r="D16" s="6">
        <f>B16+C16</f>
        <v/>
      </c>
    </row>
    <row r="17">
      <c r="A17" s="6" t="n">
        <v>7</v>
      </c>
      <c r="B17" s="6" t="n">
        <v>630</v>
      </c>
      <c r="C17" s="6" t="n">
        <v>88.2</v>
      </c>
      <c r="D17" s="6">
        <f>B17+C17</f>
        <v/>
      </c>
    </row>
    <row r="18">
      <c r="A18" s="6" t="n">
        <v>8</v>
      </c>
      <c r="B18" s="6" t="n">
        <v>630</v>
      </c>
      <c r="C18" s="6" t="n">
        <v>88.2</v>
      </c>
      <c r="D18" s="6">
        <f>B18+C18</f>
        <v/>
      </c>
    </row>
    <row r="19">
      <c r="A19" s="6" t="n">
        <v>9</v>
      </c>
      <c r="B19" s="6" t="n">
        <v>630</v>
      </c>
      <c r="C19" s="6" t="n">
        <v>88.2</v>
      </c>
      <c r="D19" s="6">
        <f>B19+C19</f>
        <v/>
      </c>
    </row>
    <row r="20">
      <c r="A20" s="6" t="n">
        <v>10</v>
      </c>
      <c r="B20" s="6" t="n">
        <v>630</v>
      </c>
      <c r="C20" s="6" t="n">
        <v>88.2</v>
      </c>
      <c r="D20" s="6">
        <f>B20+C20</f>
        <v/>
      </c>
    </row>
    <row r="21">
      <c r="A21" s="6" t="n">
        <v>11</v>
      </c>
      <c r="B21" s="6" t="n">
        <v>630</v>
      </c>
      <c r="C21" s="6" t="n">
        <v>88.2</v>
      </c>
      <c r="D21" s="6">
        <f>B21+C21</f>
        <v/>
      </c>
    </row>
    <row r="22">
      <c r="A22" s="6" t="n">
        <v>12</v>
      </c>
      <c r="B22" s="6" t="n">
        <v>630</v>
      </c>
      <c r="C22" s="6" t="n">
        <v>88.2</v>
      </c>
      <c r="D22" s="6">
        <f>B22+C22</f>
        <v/>
      </c>
    </row>
    <row r="23">
      <c r="A23" s="6" t="n">
        <v>13</v>
      </c>
      <c r="B23" s="6" t="n">
        <v>630</v>
      </c>
      <c r="C23" s="6" t="n">
        <v>88.2</v>
      </c>
      <c r="D23" s="6">
        <f>B23+C23</f>
        <v/>
      </c>
    </row>
    <row r="24">
      <c r="A24" s="6" t="n">
        <v>14</v>
      </c>
      <c r="B24" s="6" t="n">
        <v>630</v>
      </c>
      <c r="C24" s="6" t="n">
        <v>88.2</v>
      </c>
      <c r="D24" s="6">
        <f>B24+C24</f>
        <v/>
      </c>
    </row>
    <row r="25">
      <c r="A25" s="6" t="n">
        <v>15</v>
      </c>
      <c r="B25" s="6" t="n">
        <v>630</v>
      </c>
      <c r="C25" s="6" t="n">
        <v>88.2</v>
      </c>
      <c r="D25" s="6">
        <f>B25+C25</f>
        <v/>
      </c>
    </row>
    <row r="26">
      <c r="A26" s="6" t="n">
        <v>16</v>
      </c>
      <c r="B26" s="6" t="n">
        <v>630</v>
      </c>
      <c r="C26" s="6" t="n">
        <v>88.2</v>
      </c>
      <c r="D26" s="6">
        <f>B26+C26</f>
        <v/>
      </c>
    </row>
    <row r="27">
      <c r="A27" s="6" t="n">
        <v>17</v>
      </c>
      <c r="B27" s="6" t="n">
        <v>630</v>
      </c>
      <c r="C27" s="6" t="n">
        <v>88.2</v>
      </c>
      <c r="D27" s="6">
        <f>B27+C27</f>
        <v/>
      </c>
    </row>
    <row r="28">
      <c r="A28" s="6" t="n">
        <v>18</v>
      </c>
      <c r="B28" s="6" t="n">
        <v>630</v>
      </c>
      <c r="C28" s="6" t="n">
        <v>88.2</v>
      </c>
      <c r="D28" s="6">
        <f>B28+C28</f>
        <v/>
      </c>
    </row>
    <row r="29">
      <c r="A29" s="6" t="n">
        <v>19</v>
      </c>
      <c r="B29" s="6" t="n">
        <v>630</v>
      </c>
      <c r="C29" s="6" t="n">
        <v>88.2</v>
      </c>
      <c r="D29" s="6">
        <f>B29+C29</f>
        <v/>
      </c>
    </row>
    <row r="30">
      <c r="A30" s="6" t="n">
        <v>20</v>
      </c>
      <c r="B30" s="6" t="n">
        <v>630</v>
      </c>
      <c r="C30" s="6" t="n">
        <v>88.2</v>
      </c>
      <c r="D30" s="6">
        <f>B30+C30</f>
        <v/>
      </c>
    </row>
    <row r="31">
      <c r="A31" t="inlineStr">
        <is>
          <t>说明1：missing_fields: staff_detail 劳动定员（人数×人均年工资，可多类）</t>
        </is>
      </c>
    </row>
    <row r="32">
      <c r="A32" t="inlineStr">
        <is>
          <t>说明2：structure_gaps: 行业变体未冻结(variant=tourism, model=tourism)；工资表缺可复算的人员类别×人数×人均年工资</t>
        </is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附表6-2 固定资产折旧费估算表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折旧年限</t>
        </is>
      </c>
      <c r="E3" s="2" t="inlineStr">
        <is>
          <t>分年1</t>
        </is>
      </c>
      <c r="F3" s="2" t="inlineStr">
        <is>
          <t>分年2</t>
        </is>
      </c>
      <c r="G3" s="2" t="inlineStr">
        <is>
          <t>分年3</t>
        </is>
      </c>
      <c r="H3" s="2" t="inlineStr">
        <is>
          <t>分年4</t>
        </is>
      </c>
      <c r="I3" s="2" t="inlineStr">
        <is>
          <t>分年5</t>
        </is>
      </c>
      <c r="J3" s="2" t="inlineStr">
        <is>
          <t>分年6</t>
        </is>
      </c>
      <c r="K3" s="2" t="inlineStr">
        <is>
          <t>分年7</t>
        </is>
      </c>
      <c r="L3" s="2" t="inlineStr">
        <is>
          <t>分年8</t>
        </is>
      </c>
      <c r="M3" s="2" t="inlineStr">
        <is>
          <t>分年9</t>
        </is>
      </c>
      <c r="N3" s="2" t="inlineStr">
        <is>
          <t>分年10</t>
        </is>
      </c>
      <c r="O3" s="2" t="inlineStr">
        <is>
          <t>分年11</t>
        </is>
      </c>
      <c r="P3" s="2" t="inlineStr">
        <is>
          <t>分年12</t>
        </is>
      </c>
      <c r="Q3" s="2" t="inlineStr">
        <is>
          <t>分年13</t>
        </is>
      </c>
      <c r="R3" s="2" t="inlineStr">
        <is>
          <t>分年14</t>
        </is>
      </c>
      <c r="S3" s="2" t="inlineStr">
        <is>
          <t>分年15</t>
        </is>
      </c>
      <c r="T3" s="2" t="inlineStr">
        <is>
          <t>分年16</t>
        </is>
      </c>
      <c r="U3" s="2" t="inlineStr">
        <is>
          <t>分年17</t>
        </is>
      </c>
      <c r="V3" s="2" t="inlineStr">
        <is>
          <t>分年18</t>
        </is>
      </c>
      <c r="W3" s="2" t="inlineStr">
        <is>
          <t>分年19</t>
        </is>
      </c>
      <c r="X3" s="2" t="inlineStr">
        <is>
          <t>分年20</t>
        </is>
      </c>
    </row>
    <row r="4">
      <c r="A4" s="3" t="inlineStr"/>
      <c r="B4" s="3" t="inlineStr">
        <is>
          <t>合计</t>
        </is>
      </c>
      <c r="C4" s="4">
        <f>SUM(E4,F4,G4,H4,I4,J4,K4,L4,M4,N4,O4,P4,Q4,R4,S4,T4,U4,V4,W4,X4)</f>
        <v/>
      </c>
      <c r="D4" s="3" t="n"/>
      <c r="E4" s="4">
        <f>E8</f>
        <v/>
      </c>
      <c r="F4" s="4">
        <f>E9</f>
        <v/>
      </c>
      <c r="G4" s="4">
        <f>E10</f>
        <v/>
      </c>
      <c r="H4" s="4">
        <f>E11</f>
        <v/>
      </c>
      <c r="I4" s="4">
        <f>E12</f>
        <v/>
      </c>
      <c r="J4" s="4">
        <f>E13</f>
        <v/>
      </c>
      <c r="K4" s="4">
        <f>E14</f>
        <v/>
      </c>
      <c r="L4" s="4">
        <f>E15</f>
        <v/>
      </c>
      <c r="M4" s="4">
        <f>E16</f>
        <v/>
      </c>
      <c r="N4" s="4">
        <f>E17</f>
        <v/>
      </c>
      <c r="O4" s="4">
        <f>E18</f>
        <v/>
      </c>
      <c r="P4" s="4">
        <f>E19</f>
        <v/>
      </c>
      <c r="Q4" s="4">
        <f>E20</f>
        <v/>
      </c>
      <c r="R4" s="4">
        <f>E21</f>
        <v/>
      </c>
      <c r="S4" s="4">
        <f>E22</f>
        <v/>
      </c>
      <c r="T4" s="4">
        <f>E23</f>
        <v/>
      </c>
      <c r="U4" s="4">
        <f>E24</f>
        <v/>
      </c>
      <c r="V4" s="4">
        <f>E25</f>
        <v/>
      </c>
      <c r="W4" s="4">
        <f>E26</f>
        <v/>
      </c>
      <c r="X4" s="4">
        <f>E27</f>
        <v/>
      </c>
    </row>
    <row r="5"/>
    <row r="6">
      <c r="A6" t="inlineStr">
        <is>
          <t>引擎逐年计算区（供公式与跨表追溯）</t>
        </is>
      </c>
    </row>
    <row r="7">
      <c r="A7" s="5" t="inlineStr">
        <is>
          <t>运营年</t>
        </is>
      </c>
      <c r="B7" s="5" t="inlineStr">
        <is>
          <t>固定资产原值</t>
        </is>
      </c>
      <c r="C7" s="5" t="inlineStr">
        <is>
          <t>残值率</t>
        </is>
      </c>
      <c r="D7" s="5" t="inlineStr">
        <is>
          <t>折旧年限</t>
        </is>
      </c>
      <c r="E7" s="5" t="inlineStr">
        <is>
          <t>当期折旧费</t>
        </is>
      </c>
      <c r="F7" s="5" t="inlineStr">
        <is>
          <t>累计折旧</t>
        </is>
      </c>
      <c r="G7" s="5" t="inlineStr">
        <is>
          <t>净值</t>
        </is>
      </c>
    </row>
    <row r="8">
      <c r="A8" s="6" t="n">
        <v>1</v>
      </c>
      <c r="B8" s="6" t="n">
        <v>32000</v>
      </c>
      <c r="C8" s="6" t="n">
        <v>0.05</v>
      </c>
      <c r="D8" s="6" t="n">
        <v>25</v>
      </c>
      <c r="E8" s="6" t="n">
        <v>1216</v>
      </c>
      <c r="F8" s="6">
        <f>E8</f>
        <v/>
      </c>
      <c r="G8" s="6">
        <f>B8-F8</f>
        <v/>
      </c>
    </row>
    <row r="9">
      <c r="A9" s="6" t="n">
        <v>2</v>
      </c>
      <c r="B9" s="6" t="n">
        <v>32000</v>
      </c>
      <c r="C9" s="6" t="n">
        <v>0.05</v>
      </c>
      <c r="D9" s="6" t="n">
        <v>25</v>
      </c>
      <c r="E9" s="6" t="n">
        <v>1216</v>
      </c>
      <c r="F9" s="6">
        <f>F8+E9</f>
        <v/>
      </c>
      <c r="G9" s="6">
        <f>B9-F9</f>
        <v/>
      </c>
    </row>
    <row r="10">
      <c r="A10" s="6" t="n">
        <v>3</v>
      </c>
      <c r="B10" s="6" t="n">
        <v>32000</v>
      </c>
      <c r="C10" s="6" t="n">
        <v>0.05</v>
      </c>
      <c r="D10" s="6" t="n">
        <v>25</v>
      </c>
      <c r="E10" s="6" t="n">
        <v>1216</v>
      </c>
      <c r="F10" s="6">
        <f>F9+E10</f>
        <v/>
      </c>
      <c r="G10" s="6">
        <f>B10-F10</f>
        <v/>
      </c>
    </row>
    <row r="11">
      <c r="A11" s="6" t="n">
        <v>4</v>
      </c>
      <c r="B11" s="6" t="n">
        <v>32000</v>
      </c>
      <c r="C11" s="6" t="n">
        <v>0.05</v>
      </c>
      <c r="D11" s="6" t="n">
        <v>25</v>
      </c>
      <c r="E11" s="6" t="n">
        <v>1216</v>
      </c>
      <c r="F11" s="6">
        <f>F10+E11</f>
        <v/>
      </c>
      <c r="G11" s="6">
        <f>B11-F11</f>
        <v/>
      </c>
    </row>
    <row r="12">
      <c r="A12" s="6" t="n">
        <v>5</v>
      </c>
      <c r="B12" s="6" t="n">
        <v>32000</v>
      </c>
      <c r="C12" s="6" t="n">
        <v>0.05</v>
      </c>
      <c r="D12" s="6" t="n">
        <v>25</v>
      </c>
      <c r="E12" s="6" t="n">
        <v>1216</v>
      </c>
      <c r="F12" s="6">
        <f>F11+E12</f>
        <v/>
      </c>
      <c r="G12" s="6">
        <f>B12-F12</f>
        <v/>
      </c>
    </row>
    <row r="13">
      <c r="A13" s="6" t="n">
        <v>6</v>
      </c>
      <c r="B13" s="6" t="n">
        <v>32000</v>
      </c>
      <c r="C13" s="6" t="n">
        <v>0.05</v>
      </c>
      <c r="D13" s="6" t="n">
        <v>25</v>
      </c>
      <c r="E13" s="6" t="n">
        <v>1216</v>
      </c>
      <c r="F13" s="6">
        <f>F12+E13</f>
        <v/>
      </c>
      <c r="G13" s="6">
        <f>B13-F13</f>
        <v/>
      </c>
    </row>
    <row r="14">
      <c r="A14" s="6" t="n">
        <v>7</v>
      </c>
      <c r="B14" s="6" t="n">
        <v>32000</v>
      </c>
      <c r="C14" s="6" t="n">
        <v>0.05</v>
      </c>
      <c r="D14" s="6" t="n">
        <v>25</v>
      </c>
      <c r="E14" s="6" t="n">
        <v>1216</v>
      </c>
      <c r="F14" s="6">
        <f>F13+E14</f>
        <v/>
      </c>
      <c r="G14" s="6">
        <f>B14-F14</f>
        <v/>
      </c>
    </row>
    <row r="15">
      <c r="A15" s="6" t="n">
        <v>8</v>
      </c>
      <c r="B15" s="6" t="n">
        <v>32000</v>
      </c>
      <c r="C15" s="6" t="n">
        <v>0.05</v>
      </c>
      <c r="D15" s="6" t="n">
        <v>25</v>
      </c>
      <c r="E15" s="6" t="n">
        <v>1216</v>
      </c>
      <c r="F15" s="6">
        <f>F14+E15</f>
        <v/>
      </c>
      <c r="G15" s="6">
        <f>B15-F15</f>
        <v/>
      </c>
    </row>
    <row r="16">
      <c r="A16" s="6" t="n">
        <v>9</v>
      </c>
      <c r="B16" s="6" t="n">
        <v>32000</v>
      </c>
      <c r="C16" s="6" t="n">
        <v>0.05</v>
      </c>
      <c r="D16" s="6" t="n">
        <v>25</v>
      </c>
      <c r="E16" s="6" t="n">
        <v>1216</v>
      </c>
      <c r="F16" s="6">
        <f>F15+E16</f>
        <v/>
      </c>
      <c r="G16" s="6">
        <f>B16-F16</f>
        <v/>
      </c>
    </row>
    <row r="17">
      <c r="A17" s="6" t="n">
        <v>10</v>
      </c>
      <c r="B17" s="6" t="n">
        <v>32000</v>
      </c>
      <c r="C17" s="6" t="n">
        <v>0.05</v>
      </c>
      <c r="D17" s="6" t="n">
        <v>25</v>
      </c>
      <c r="E17" s="6" t="n">
        <v>1216</v>
      </c>
      <c r="F17" s="6">
        <f>F16+E17</f>
        <v/>
      </c>
      <c r="G17" s="6">
        <f>B17-F17</f>
        <v/>
      </c>
    </row>
    <row r="18">
      <c r="A18" s="6" t="n">
        <v>11</v>
      </c>
      <c r="B18" s="6" t="n">
        <v>32000</v>
      </c>
      <c r="C18" s="6" t="n">
        <v>0.05</v>
      </c>
      <c r="D18" s="6" t="n">
        <v>25</v>
      </c>
      <c r="E18" s="6" t="n">
        <v>1216</v>
      </c>
      <c r="F18" s="6">
        <f>F17+E18</f>
        <v/>
      </c>
      <c r="G18" s="6">
        <f>B18-F18</f>
        <v/>
      </c>
    </row>
    <row r="19">
      <c r="A19" s="6" t="n">
        <v>12</v>
      </c>
      <c r="B19" s="6" t="n">
        <v>32000</v>
      </c>
      <c r="C19" s="6" t="n">
        <v>0.05</v>
      </c>
      <c r="D19" s="6" t="n">
        <v>25</v>
      </c>
      <c r="E19" s="6" t="n">
        <v>1216</v>
      </c>
      <c r="F19" s="6">
        <f>F18+E19</f>
        <v/>
      </c>
      <c r="G19" s="6">
        <f>B19-F19</f>
        <v/>
      </c>
    </row>
    <row r="20">
      <c r="A20" s="6" t="n">
        <v>13</v>
      </c>
      <c r="B20" s="6" t="n">
        <v>32000</v>
      </c>
      <c r="C20" s="6" t="n">
        <v>0.05</v>
      </c>
      <c r="D20" s="6" t="n">
        <v>25</v>
      </c>
      <c r="E20" s="6" t="n">
        <v>1216</v>
      </c>
      <c r="F20" s="6">
        <f>F19+E20</f>
        <v/>
      </c>
      <c r="G20" s="6">
        <f>B20-F20</f>
        <v/>
      </c>
    </row>
    <row r="21">
      <c r="A21" s="6" t="n">
        <v>14</v>
      </c>
      <c r="B21" s="6" t="n">
        <v>32000</v>
      </c>
      <c r="C21" s="6" t="n">
        <v>0.05</v>
      </c>
      <c r="D21" s="6" t="n">
        <v>25</v>
      </c>
      <c r="E21" s="6" t="n">
        <v>1216</v>
      </c>
      <c r="F21" s="6">
        <f>F20+E21</f>
        <v/>
      </c>
      <c r="G21" s="6">
        <f>B21-F21</f>
        <v/>
      </c>
    </row>
    <row r="22">
      <c r="A22" s="6" t="n">
        <v>15</v>
      </c>
      <c r="B22" s="6" t="n">
        <v>32000</v>
      </c>
      <c r="C22" s="6" t="n">
        <v>0.05</v>
      </c>
      <c r="D22" s="6" t="n">
        <v>25</v>
      </c>
      <c r="E22" s="6" t="n">
        <v>1216</v>
      </c>
      <c r="F22" s="6">
        <f>F21+E22</f>
        <v/>
      </c>
      <c r="G22" s="6">
        <f>B22-F22</f>
        <v/>
      </c>
    </row>
    <row r="23">
      <c r="A23" s="6" t="n">
        <v>16</v>
      </c>
      <c r="B23" s="6" t="n">
        <v>32000</v>
      </c>
      <c r="C23" s="6" t="n">
        <v>0.05</v>
      </c>
      <c r="D23" s="6" t="n">
        <v>25</v>
      </c>
      <c r="E23" s="6" t="n">
        <v>1216</v>
      </c>
      <c r="F23" s="6">
        <f>F22+E23</f>
        <v/>
      </c>
      <c r="G23" s="6">
        <f>B23-F23</f>
        <v/>
      </c>
    </row>
    <row r="24">
      <c r="A24" s="6" t="n">
        <v>17</v>
      </c>
      <c r="B24" s="6" t="n">
        <v>32000</v>
      </c>
      <c r="C24" s="6" t="n">
        <v>0.05</v>
      </c>
      <c r="D24" s="6" t="n">
        <v>25</v>
      </c>
      <c r="E24" s="6" t="n">
        <v>1216</v>
      </c>
      <c r="F24" s="6">
        <f>F23+E24</f>
        <v/>
      </c>
      <c r="G24" s="6">
        <f>B24-F24</f>
        <v/>
      </c>
    </row>
    <row r="25">
      <c r="A25" s="6" t="n">
        <v>18</v>
      </c>
      <c r="B25" s="6" t="n">
        <v>32000</v>
      </c>
      <c r="C25" s="6" t="n">
        <v>0.05</v>
      </c>
      <c r="D25" s="6" t="n">
        <v>25</v>
      </c>
      <c r="E25" s="6" t="n">
        <v>1216</v>
      </c>
      <c r="F25" s="6">
        <f>F24+E25</f>
        <v/>
      </c>
      <c r="G25" s="6">
        <f>B25-F25</f>
        <v/>
      </c>
    </row>
    <row r="26">
      <c r="A26" s="6" t="n">
        <v>19</v>
      </c>
      <c r="B26" s="6" t="n">
        <v>32000</v>
      </c>
      <c r="C26" s="6" t="n">
        <v>0.05</v>
      </c>
      <c r="D26" s="6" t="n">
        <v>25</v>
      </c>
      <c r="E26" s="6" t="n">
        <v>1216</v>
      </c>
      <c r="F26" s="6">
        <f>F25+E26</f>
        <v/>
      </c>
      <c r="G26" s="6">
        <f>B26-F26</f>
        <v/>
      </c>
    </row>
    <row r="27">
      <c r="A27" s="6" t="n">
        <v>20</v>
      </c>
      <c r="B27" s="6" t="n">
        <v>32000</v>
      </c>
      <c r="C27" s="6" t="n">
        <v>0.05</v>
      </c>
      <c r="D27" s="6" t="n">
        <v>25</v>
      </c>
      <c r="E27" s="6" t="n">
        <v>1216</v>
      </c>
      <c r="F27" s="6">
        <f>F26+E27</f>
        <v/>
      </c>
      <c r="G27" s="6">
        <f>B27-F27</f>
        <v/>
      </c>
    </row>
    <row r="28">
      <c r="A28" t="inlineStr">
        <is>
          <t>说明1：missing_fields: asset_classes 资产类别原值与折旧年限（≥2 类）</t>
        </is>
      </c>
    </row>
    <row r="29">
      <c r="A29" t="inlineStr">
        <is>
          <t>说明2：structure_gaps: 行业变体未冻结(variant=tourism, model=tourism)；缺参考行组 building（房屋、建筑物/房屋建筑物/房屋建筑及构筑物）；缺参考行组 equipment（机器设备/游乐设备）；缺参考行组 original（原值）；缺参考行组 depreciation（当期折旧费）；缺参考行组 net（净值）；缺资产类别折旧（房屋/设备等），综合原值合计不算 reference；缺累计折旧/净值滚动列；折旧表缺至少 2 类资产的原值×年限明细</t>
        </is>
      </c>
    </row>
    <row r="30">
      <c r="A30" t="inlineStr">
        <is>
          <t>跨表依赖复核：附表1</t>
        </is>
      </c>
      <c r="B30" s="6">
        <f>'附表1'!J4</f>
        <v/>
      </c>
    </row>
  </sheetData>
  <mergeCells count="1"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附表6-3 无形资产及其他资产摊销估算表</t>
        </is>
      </c>
    </row>
    <row r="2">
      <c r="A2" t="inlineStr">
        <is>
          <t>计算状态：computed；口径：not_applicable；有效：否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摊销年限</t>
        </is>
      </c>
      <c r="E3" s="2" t="inlineStr">
        <is>
          <t>分年1</t>
        </is>
      </c>
      <c r="F3" s="2" t="inlineStr">
        <is>
          <t>分年2</t>
        </is>
      </c>
      <c r="G3" s="2" t="inlineStr">
        <is>
          <t>分年3</t>
        </is>
      </c>
      <c r="H3" s="2" t="inlineStr">
        <is>
          <t>分年4</t>
        </is>
      </c>
      <c r="I3" s="2" t="inlineStr">
        <is>
          <t>分年5</t>
        </is>
      </c>
      <c r="J3" s="2" t="inlineStr">
        <is>
          <t>分年6</t>
        </is>
      </c>
      <c r="K3" s="2" t="inlineStr">
        <is>
          <t>分年7</t>
        </is>
      </c>
      <c r="L3" s="2" t="inlineStr">
        <is>
          <t>分年8</t>
        </is>
      </c>
      <c r="M3" s="2" t="inlineStr">
        <is>
          <t>分年9</t>
        </is>
      </c>
      <c r="N3" s="2" t="inlineStr">
        <is>
          <t>分年10</t>
        </is>
      </c>
      <c r="O3" s="2" t="inlineStr">
        <is>
          <t>分年11</t>
        </is>
      </c>
      <c r="P3" s="2" t="inlineStr">
        <is>
          <t>分年12</t>
        </is>
      </c>
      <c r="Q3" s="2" t="inlineStr">
        <is>
          <t>分年13</t>
        </is>
      </c>
      <c r="R3" s="2" t="inlineStr">
        <is>
          <t>分年14</t>
        </is>
      </c>
      <c r="S3" s="2" t="inlineStr">
        <is>
          <t>分年15</t>
        </is>
      </c>
      <c r="T3" s="2" t="inlineStr">
        <is>
          <t>分年16</t>
        </is>
      </c>
      <c r="U3" s="2" t="inlineStr">
        <is>
          <t>分年17</t>
        </is>
      </c>
      <c r="V3" s="2" t="inlineStr">
        <is>
          <t>分年18</t>
        </is>
      </c>
      <c r="W3" s="2" t="inlineStr">
        <is>
          <t>分年19</t>
        </is>
      </c>
      <c r="X3" s="2" t="inlineStr">
        <is>
          <t>分年20</t>
        </is>
      </c>
    </row>
    <row r="4">
      <c r="A4" s="3" t="inlineStr"/>
      <c r="B4" s="3" t="inlineStr">
        <is>
          <t>合计</t>
        </is>
      </c>
      <c r="C4" s="4">
        <f>SUM(E4,F4,G4,H4,I4,J4,K4,L4,M4,N4,O4,P4,Q4,R4,S4,T4,U4,V4,W4,X4)</f>
        <v/>
      </c>
      <c r="D4" s="3" t="n"/>
      <c r="E4" s="4">
        <f>D8</f>
        <v/>
      </c>
      <c r="F4" s="4">
        <f>D9</f>
        <v/>
      </c>
      <c r="G4" s="4">
        <f>D10</f>
        <v/>
      </c>
      <c r="H4" s="4">
        <f>D11</f>
        <v/>
      </c>
      <c r="I4" s="4">
        <f>D12</f>
        <v/>
      </c>
      <c r="J4" s="4">
        <f>D13</f>
        <v/>
      </c>
      <c r="K4" s="4">
        <f>D14</f>
        <v/>
      </c>
      <c r="L4" s="4">
        <f>D15</f>
        <v/>
      </c>
      <c r="M4" s="4">
        <f>D16</f>
        <v/>
      </c>
      <c r="N4" s="4">
        <f>D17</f>
        <v/>
      </c>
      <c r="O4" s="4">
        <f>D18</f>
        <v/>
      </c>
      <c r="P4" s="4">
        <f>D19</f>
        <v/>
      </c>
      <c r="Q4" s="4">
        <f>D20</f>
        <v/>
      </c>
      <c r="R4" s="4">
        <f>D21</f>
        <v/>
      </c>
      <c r="S4" s="4">
        <f>D22</f>
        <v/>
      </c>
      <c r="T4" s="4">
        <f>D23</f>
        <v/>
      </c>
      <c r="U4" s="4">
        <f>D24</f>
        <v/>
      </c>
      <c r="V4" s="4">
        <f>D25</f>
        <v/>
      </c>
      <c r="W4" s="4">
        <f>D26</f>
        <v/>
      </c>
      <c r="X4" s="4">
        <f>D27</f>
        <v/>
      </c>
    </row>
    <row r="5"/>
    <row r="6">
      <c r="A6" t="inlineStr">
        <is>
          <t>引擎逐年计算区（供公式与跨表追溯）</t>
        </is>
      </c>
    </row>
    <row r="7">
      <c r="A7" s="5" t="inlineStr">
        <is>
          <t>运营年</t>
        </is>
      </c>
      <c r="B7" s="5" t="inlineStr">
        <is>
          <t>摊销基数</t>
        </is>
      </c>
      <c r="C7" s="5" t="inlineStr">
        <is>
          <t>摊销年限</t>
        </is>
      </c>
      <c r="D7" s="5" t="inlineStr">
        <is>
          <t>当期摊销费</t>
        </is>
      </c>
    </row>
    <row r="8">
      <c r="A8" s="6" t="n">
        <v>1</v>
      </c>
      <c r="B8" s="6" t="n">
        <v>0</v>
      </c>
      <c r="C8" s="6" t="n">
        <v>10</v>
      </c>
      <c r="D8" s="6">
        <f>IF(A8&lt;=C8,B8/C8,0)</f>
        <v/>
      </c>
    </row>
    <row r="9">
      <c r="A9" s="6" t="n">
        <v>2</v>
      </c>
      <c r="B9" s="6" t="n">
        <v>0</v>
      </c>
      <c r="C9" s="6" t="n">
        <v>10</v>
      </c>
      <c r="D9" s="6">
        <f>IF(A9&lt;=C9,B9/C9,0)</f>
        <v/>
      </c>
    </row>
    <row r="10">
      <c r="A10" s="6" t="n">
        <v>3</v>
      </c>
      <c r="B10" s="6" t="n">
        <v>0</v>
      </c>
      <c r="C10" s="6" t="n">
        <v>10</v>
      </c>
      <c r="D10" s="6">
        <f>IF(A10&lt;=C10,B10/C10,0)</f>
        <v/>
      </c>
    </row>
    <row r="11">
      <c r="A11" s="6" t="n">
        <v>4</v>
      </c>
      <c r="B11" s="6" t="n">
        <v>0</v>
      </c>
      <c r="C11" s="6" t="n">
        <v>10</v>
      </c>
      <c r="D11" s="6">
        <f>IF(A11&lt;=C11,B11/C11,0)</f>
        <v/>
      </c>
    </row>
    <row r="12">
      <c r="A12" s="6" t="n">
        <v>5</v>
      </c>
      <c r="B12" s="6" t="n">
        <v>0</v>
      </c>
      <c r="C12" s="6" t="n">
        <v>10</v>
      </c>
      <c r="D12" s="6">
        <f>IF(A12&lt;=C12,B12/C12,0)</f>
        <v/>
      </c>
    </row>
    <row r="13">
      <c r="A13" s="6" t="n">
        <v>6</v>
      </c>
      <c r="B13" s="6" t="n">
        <v>0</v>
      </c>
      <c r="C13" s="6" t="n">
        <v>10</v>
      </c>
      <c r="D13" s="6">
        <f>IF(A13&lt;=C13,B13/C13,0)</f>
        <v/>
      </c>
    </row>
    <row r="14">
      <c r="A14" s="6" t="n">
        <v>7</v>
      </c>
      <c r="B14" s="6" t="n">
        <v>0</v>
      </c>
      <c r="C14" s="6" t="n">
        <v>10</v>
      </c>
      <c r="D14" s="6">
        <f>IF(A14&lt;=C14,B14/C14,0)</f>
        <v/>
      </c>
    </row>
    <row r="15">
      <c r="A15" s="6" t="n">
        <v>8</v>
      </c>
      <c r="B15" s="6" t="n">
        <v>0</v>
      </c>
      <c r="C15" s="6" t="n">
        <v>10</v>
      </c>
      <c r="D15" s="6">
        <f>IF(A15&lt;=C15,B15/C15,0)</f>
        <v/>
      </c>
    </row>
    <row r="16">
      <c r="A16" s="6" t="n">
        <v>9</v>
      </c>
      <c r="B16" s="6" t="n">
        <v>0</v>
      </c>
      <c r="C16" s="6" t="n">
        <v>10</v>
      </c>
      <c r="D16" s="6">
        <f>IF(A16&lt;=C16,B16/C16,0)</f>
        <v/>
      </c>
    </row>
    <row r="17">
      <c r="A17" s="6" t="n">
        <v>10</v>
      </c>
      <c r="B17" s="6" t="n">
        <v>0</v>
      </c>
      <c r="C17" s="6" t="n">
        <v>10</v>
      </c>
      <c r="D17" s="6">
        <f>IF(A17&lt;=C17,B17/C17,0)</f>
        <v/>
      </c>
    </row>
    <row r="18">
      <c r="A18" s="6" t="n">
        <v>11</v>
      </c>
      <c r="B18" s="6" t="n">
        <v>0</v>
      </c>
      <c r="C18" s="6" t="n">
        <v>10</v>
      </c>
      <c r="D18" s="6">
        <f>IF(A18&lt;=C18,B18/C18,0)</f>
        <v/>
      </c>
    </row>
    <row r="19">
      <c r="A19" s="6" t="n">
        <v>12</v>
      </c>
      <c r="B19" s="6" t="n">
        <v>0</v>
      </c>
      <c r="C19" s="6" t="n">
        <v>10</v>
      </c>
      <c r="D19" s="6">
        <f>IF(A19&lt;=C19,B19/C19,0)</f>
        <v/>
      </c>
    </row>
    <row r="20">
      <c r="A20" s="6" t="n">
        <v>13</v>
      </c>
      <c r="B20" s="6" t="n">
        <v>0</v>
      </c>
      <c r="C20" s="6" t="n">
        <v>10</v>
      </c>
      <c r="D20" s="6">
        <f>IF(A20&lt;=C20,B20/C20,0)</f>
        <v/>
      </c>
    </row>
    <row r="21">
      <c r="A21" s="6" t="n">
        <v>14</v>
      </c>
      <c r="B21" s="6" t="n">
        <v>0</v>
      </c>
      <c r="C21" s="6" t="n">
        <v>10</v>
      </c>
      <c r="D21" s="6">
        <f>IF(A21&lt;=C21,B21/C21,0)</f>
        <v/>
      </c>
    </row>
    <row r="22">
      <c r="A22" s="6" t="n">
        <v>15</v>
      </c>
      <c r="B22" s="6" t="n">
        <v>0</v>
      </c>
      <c r="C22" s="6" t="n">
        <v>10</v>
      </c>
      <c r="D22" s="6">
        <f>IF(A22&lt;=C22,B22/C22,0)</f>
        <v/>
      </c>
    </row>
    <row r="23">
      <c r="A23" s="6" t="n">
        <v>16</v>
      </c>
      <c r="B23" s="6" t="n">
        <v>0</v>
      </c>
      <c r="C23" s="6" t="n">
        <v>10</v>
      </c>
      <c r="D23" s="6">
        <f>IF(A23&lt;=C23,B23/C23,0)</f>
        <v/>
      </c>
    </row>
    <row r="24">
      <c r="A24" s="6" t="n">
        <v>17</v>
      </c>
      <c r="B24" s="6" t="n">
        <v>0</v>
      </c>
      <c r="C24" s="6" t="n">
        <v>10</v>
      </c>
      <c r="D24" s="6">
        <f>IF(A24&lt;=C24,B24/C24,0)</f>
        <v/>
      </c>
    </row>
    <row r="25">
      <c r="A25" s="6" t="n">
        <v>18</v>
      </c>
      <c r="B25" s="6" t="n">
        <v>0</v>
      </c>
      <c r="C25" s="6" t="n">
        <v>10</v>
      </c>
      <c r="D25" s="6">
        <f>IF(A25&lt;=C25,B25/C25,0)</f>
        <v/>
      </c>
    </row>
    <row r="26">
      <c r="A26" s="6" t="n">
        <v>19</v>
      </c>
      <c r="B26" s="6" t="n">
        <v>0</v>
      </c>
      <c r="C26" s="6" t="n">
        <v>10</v>
      </c>
      <c r="D26" s="6">
        <f>IF(A26&lt;=C26,B26/C26,0)</f>
        <v/>
      </c>
    </row>
    <row r="27">
      <c r="A27" s="6" t="n">
        <v>20</v>
      </c>
      <c r="B27" s="6" t="n">
        <v>0</v>
      </c>
      <c r="C27" s="6" t="n">
        <v>10</v>
      </c>
      <c r="D27" s="6">
        <f>IF(A27&lt;=C27,B27/C27,0)</f>
        <v/>
      </c>
    </row>
    <row r="28">
      <c r="A28" t="inlineStr">
        <is>
          <t>跨表依赖复核：附表1</t>
        </is>
      </c>
      <c r="B28" s="6">
        <f>'附表1'!J4</f>
        <v/>
      </c>
    </row>
  </sheetData>
  <mergeCells count="1">
    <mergeCell ref="A1:X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附表7 利润与利润分配表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计算期1</t>
        </is>
      </c>
      <c r="E3" s="2" t="inlineStr">
        <is>
          <t>计算期2</t>
        </is>
      </c>
      <c r="F3" s="2" t="inlineStr">
        <is>
          <t>计算期3</t>
        </is>
      </c>
      <c r="G3" s="2" t="inlineStr">
        <is>
          <t>计算期4</t>
        </is>
      </c>
      <c r="H3" s="2" t="inlineStr">
        <is>
          <t>计算期5</t>
        </is>
      </c>
      <c r="I3" s="2" t="inlineStr">
        <is>
          <t>计算期6</t>
        </is>
      </c>
      <c r="J3" s="2" t="inlineStr">
        <is>
          <t>计算期7</t>
        </is>
      </c>
      <c r="K3" s="2" t="inlineStr">
        <is>
          <t>计算期8</t>
        </is>
      </c>
      <c r="L3" s="2" t="inlineStr">
        <is>
          <t>计算期9</t>
        </is>
      </c>
      <c r="M3" s="2" t="inlineStr">
        <is>
          <t>计算期10</t>
        </is>
      </c>
      <c r="N3" s="2" t="inlineStr">
        <is>
          <t>计算期11</t>
        </is>
      </c>
      <c r="O3" s="2" t="inlineStr">
        <is>
          <t>计算期12</t>
        </is>
      </c>
      <c r="P3" s="2" t="inlineStr">
        <is>
          <t>计算期13</t>
        </is>
      </c>
      <c r="Q3" s="2" t="inlineStr">
        <is>
          <t>计算期14</t>
        </is>
      </c>
      <c r="R3" s="2" t="inlineStr">
        <is>
          <t>计算期15</t>
        </is>
      </c>
      <c r="S3" s="2" t="inlineStr">
        <is>
          <t>计算期16</t>
        </is>
      </c>
      <c r="T3" s="2" t="inlineStr">
        <is>
          <t>计算期17</t>
        </is>
      </c>
      <c r="U3" s="2" t="inlineStr">
        <is>
          <t>计算期18</t>
        </is>
      </c>
      <c r="V3" s="2" t="inlineStr">
        <is>
          <t>计算期19</t>
        </is>
      </c>
      <c r="W3" s="2" t="inlineStr">
        <is>
          <t>计算期20</t>
        </is>
      </c>
    </row>
    <row r="4">
      <c r="A4" s="3" t="inlineStr">
        <is>
          <t>1</t>
        </is>
      </c>
      <c r="B4" s="3" t="inlineStr">
        <is>
          <t>营业收入</t>
        </is>
      </c>
      <c r="C4" s="4">
        <f>SUM(D4,E4,F4,G4,H4,I4,J4,K4,L4,M4,N4,O4,P4,Q4,R4,S4,T4,U4,V4,W4)</f>
        <v/>
      </c>
      <c r="D4" s="4">
        <f>B24</f>
        <v/>
      </c>
      <c r="E4" s="4">
        <f>B25</f>
        <v/>
      </c>
      <c r="F4" s="4">
        <f>B26</f>
        <v/>
      </c>
      <c r="G4" s="4">
        <f>B27</f>
        <v/>
      </c>
      <c r="H4" s="4">
        <f>B28</f>
        <v/>
      </c>
      <c r="I4" s="4">
        <f>B29</f>
        <v/>
      </c>
      <c r="J4" s="4">
        <f>B30</f>
        <v/>
      </c>
      <c r="K4" s="4">
        <f>B31</f>
        <v/>
      </c>
      <c r="L4" s="4">
        <f>B32</f>
        <v/>
      </c>
      <c r="M4" s="4">
        <f>B33</f>
        <v/>
      </c>
      <c r="N4" s="4">
        <f>B34</f>
        <v/>
      </c>
      <c r="O4" s="4">
        <f>B35</f>
        <v/>
      </c>
      <c r="P4" s="4">
        <f>B36</f>
        <v/>
      </c>
      <c r="Q4" s="4">
        <f>B37</f>
        <v/>
      </c>
      <c r="R4" s="4">
        <f>B38</f>
        <v/>
      </c>
      <c r="S4" s="4">
        <f>B39</f>
        <v/>
      </c>
      <c r="T4" s="4">
        <f>B40</f>
        <v/>
      </c>
      <c r="U4" s="4">
        <f>B41</f>
        <v/>
      </c>
      <c r="V4" s="4">
        <f>B42</f>
        <v/>
      </c>
      <c r="W4" s="4">
        <f>B43</f>
        <v/>
      </c>
    </row>
    <row r="5">
      <c r="A5" s="3" t="inlineStr">
        <is>
          <t>2</t>
        </is>
      </c>
      <c r="B5" s="3" t="inlineStr">
        <is>
          <t>营业税金及附加</t>
        </is>
      </c>
      <c r="C5" s="4">
        <f>SUM(D5,E5,F5,G5,H5,I5,J5,K5,L5,M5,N5,O5,P5,Q5,R5,S5,T5,U5,V5,W5)</f>
        <v/>
      </c>
      <c r="D5" s="4">
        <f>D24</f>
        <v/>
      </c>
      <c r="E5" s="4">
        <f>D25</f>
        <v/>
      </c>
      <c r="F5" s="4">
        <f>D26</f>
        <v/>
      </c>
      <c r="G5" s="4">
        <f>D27</f>
        <v/>
      </c>
      <c r="H5" s="4">
        <f>D28</f>
        <v/>
      </c>
      <c r="I5" s="4">
        <f>D29</f>
        <v/>
      </c>
      <c r="J5" s="4">
        <f>D30</f>
        <v/>
      </c>
      <c r="K5" s="4">
        <f>D31</f>
        <v/>
      </c>
      <c r="L5" s="4">
        <f>D32</f>
        <v/>
      </c>
      <c r="M5" s="4">
        <f>D33</f>
        <v/>
      </c>
      <c r="N5" s="4">
        <f>D34</f>
        <v/>
      </c>
      <c r="O5" s="4">
        <f>D35</f>
        <v/>
      </c>
      <c r="P5" s="4">
        <f>D36</f>
        <v/>
      </c>
      <c r="Q5" s="4">
        <f>D37</f>
        <v/>
      </c>
      <c r="R5" s="4">
        <f>D38</f>
        <v/>
      </c>
      <c r="S5" s="4">
        <f>D39</f>
        <v/>
      </c>
      <c r="T5" s="4">
        <f>D40</f>
        <v/>
      </c>
      <c r="U5" s="4">
        <f>D41</f>
        <v/>
      </c>
      <c r="V5" s="4">
        <f>D42</f>
        <v/>
      </c>
      <c r="W5" s="4">
        <f>D43</f>
        <v/>
      </c>
    </row>
    <row r="6">
      <c r="A6" s="3" t="inlineStr">
        <is>
          <t>3</t>
        </is>
      </c>
      <c r="B6" s="3" t="inlineStr">
        <is>
          <t>总成本费用</t>
        </is>
      </c>
      <c r="C6" s="4">
        <f>SUM(D6,E6,F6,G6,H6,I6,J6,K6,L6,M6,N6,O6,P6,Q6,R6,S6,T6,U6,V6,W6)</f>
        <v/>
      </c>
      <c r="D6" s="4">
        <f>C24</f>
        <v/>
      </c>
      <c r="E6" s="4">
        <f>C25</f>
        <v/>
      </c>
      <c r="F6" s="4">
        <f>C26</f>
        <v/>
      </c>
      <c r="G6" s="4">
        <f>C27</f>
        <v/>
      </c>
      <c r="H6" s="4">
        <f>C28</f>
        <v/>
      </c>
      <c r="I6" s="4">
        <f>C29</f>
        <v/>
      </c>
      <c r="J6" s="4">
        <f>C30</f>
        <v/>
      </c>
      <c r="K6" s="4">
        <f>C31</f>
        <v/>
      </c>
      <c r="L6" s="4">
        <f>C32</f>
        <v/>
      </c>
      <c r="M6" s="4">
        <f>C33</f>
        <v/>
      </c>
      <c r="N6" s="4">
        <f>C34</f>
        <v/>
      </c>
      <c r="O6" s="4">
        <f>C35</f>
        <v/>
      </c>
      <c r="P6" s="4">
        <f>C36</f>
        <v/>
      </c>
      <c r="Q6" s="4">
        <f>C37</f>
        <v/>
      </c>
      <c r="R6" s="4">
        <f>C38</f>
        <v/>
      </c>
      <c r="S6" s="4">
        <f>C39</f>
        <v/>
      </c>
      <c r="T6" s="4">
        <f>C40</f>
        <v/>
      </c>
      <c r="U6" s="4">
        <f>C41</f>
        <v/>
      </c>
      <c r="V6" s="4">
        <f>C42</f>
        <v/>
      </c>
      <c r="W6" s="4">
        <f>C43</f>
        <v/>
      </c>
    </row>
    <row r="7">
      <c r="A7" s="3" t="inlineStr">
        <is>
          <t>4</t>
        </is>
      </c>
      <c r="B7" s="3" t="inlineStr">
        <is>
          <t>利润总额</t>
        </is>
      </c>
      <c r="C7" s="4">
        <f>SUM(D7,E7,F7,G7,H7,I7,J7,K7,L7,M7,N7,O7,P7,Q7,R7,S7,T7,U7,V7,W7)</f>
        <v/>
      </c>
      <c r="D7" s="4">
        <f>E24</f>
        <v/>
      </c>
      <c r="E7" s="4">
        <f>E25</f>
        <v/>
      </c>
      <c r="F7" s="4">
        <f>E26</f>
        <v/>
      </c>
      <c r="G7" s="4">
        <f>E27</f>
        <v/>
      </c>
      <c r="H7" s="4">
        <f>E28</f>
        <v/>
      </c>
      <c r="I7" s="4">
        <f>E29</f>
        <v/>
      </c>
      <c r="J7" s="4">
        <f>E30</f>
        <v/>
      </c>
      <c r="K7" s="4">
        <f>E31</f>
        <v/>
      </c>
      <c r="L7" s="4">
        <f>E32</f>
        <v/>
      </c>
      <c r="M7" s="4">
        <f>E33</f>
        <v/>
      </c>
      <c r="N7" s="4">
        <f>E34</f>
        <v/>
      </c>
      <c r="O7" s="4">
        <f>E35</f>
        <v/>
      </c>
      <c r="P7" s="4">
        <f>E36</f>
        <v/>
      </c>
      <c r="Q7" s="4">
        <f>E37</f>
        <v/>
      </c>
      <c r="R7" s="4">
        <f>E38</f>
        <v/>
      </c>
      <c r="S7" s="4">
        <f>E39</f>
        <v/>
      </c>
      <c r="T7" s="4">
        <f>E40</f>
        <v/>
      </c>
      <c r="U7" s="4">
        <f>E41</f>
        <v/>
      </c>
      <c r="V7" s="4">
        <f>E42</f>
        <v/>
      </c>
      <c r="W7" s="4">
        <f>E43</f>
        <v/>
      </c>
    </row>
    <row r="8">
      <c r="A8" s="3" t="inlineStr">
        <is>
          <t>5</t>
        </is>
      </c>
      <c r="B8" s="3" t="inlineStr">
        <is>
          <t>弥补以前年度亏损</t>
        </is>
      </c>
      <c r="C8" s="4">
        <f>SUM(D8,E8,F8,G8,H8,I8,J8,K8,L8,M8,N8,O8,P8,Q8,R8,S8,T8,U8,V8,W8)</f>
        <v/>
      </c>
      <c r="D8" s="4">
        <f>H24</f>
        <v/>
      </c>
      <c r="E8" s="4">
        <f>H25</f>
        <v/>
      </c>
      <c r="F8" s="4">
        <f>H26</f>
        <v/>
      </c>
      <c r="G8" s="4">
        <f>H27</f>
        <v/>
      </c>
      <c r="H8" s="4">
        <f>H28</f>
        <v/>
      </c>
      <c r="I8" s="4">
        <f>H29</f>
        <v/>
      </c>
      <c r="J8" s="4">
        <f>H30</f>
        <v/>
      </c>
      <c r="K8" s="4">
        <f>H31</f>
        <v/>
      </c>
      <c r="L8" s="4">
        <f>H32</f>
        <v/>
      </c>
      <c r="M8" s="4">
        <f>H33</f>
        <v/>
      </c>
      <c r="N8" s="4">
        <f>H34</f>
        <v/>
      </c>
      <c r="O8" s="4">
        <f>H35</f>
        <v/>
      </c>
      <c r="P8" s="4">
        <f>H36</f>
        <v/>
      </c>
      <c r="Q8" s="4">
        <f>H37</f>
        <v/>
      </c>
      <c r="R8" s="4">
        <f>H38</f>
        <v/>
      </c>
      <c r="S8" s="4">
        <f>H39</f>
        <v/>
      </c>
      <c r="T8" s="4">
        <f>H40</f>
        <v/>
      </c>
      <c r="U8" s="4">
        <f>H41</f>
        <v/>
      </c>
      <c r="V8" s="4">
        <f>H42</f>
        <v/>
      </c>
      <c r="W8" s="4">
        <f>H43</f>
        <v/>
      </c>
    </row>
    <row r="9">
      <c r="A9" s="3" t="inlineStr">
        <is>
          <t>6</t>
        </is>
      </c>
      <c r="B9" s="3" t="inlineStr">
        <is>
          <t>应纳税所得额</t>
        </is>
      </c>
      <c r="C9" s="4">
        <f>SUM(D9,E9,F9,G9,H9,I9,J9,K9,L9,M9,N9,O9,P9,Q9,R9,S9,T9,U9,V9,W9)</f>
        <v/>
      </c>
      <c r="D9" s="4">
        <f>I24</f>
        <v/>
      </c>
      <c r="E9" s="4">
        <f>I25</f>
        <v/>
      </c>
      <c r="F9" s="4">
        <f>I26</f>
        <v/>
      </c>
      <c r="G9" s="4">
        <f>I27</f>
        <v/>
      </c>
      <c r="H9" s="4">
        <f>I28</f>
        <v/>
      </c>
      <c r="I9" s="4">
        <f>I29</f>
        <v/>
      </c>
      <c r="J9" s="4">
        <f>I30</f>
        <v/>
      </c>
      <c r="K9" s="4">
        <f>I31</f>
        <v/>
      </c>
      <c r="L9" s="4">
        <f>I32</f>
        <v/>
      </c>
      <c r="M9" s="4">
        <f>I33</f>
        <v/>
      </c>
      <c r="N9" s="4">
        <f>I34</f>
        <v/>
      </c>
      <c r="O9" s="4">
        <f>I35</f>
        <v/>
      </c>
      <c r="P9" s="4">
        <f>I36</f>
        <v/>
      </c>
      <c r="Q9" s="4">
        <f>I37</f>
        <v/>
      </c>
      <c r="R9" s="4">
        <f>I38</f>
        <v/>
      </c>
      <c r="S9" s="4">
        <f>I39</f>
        <v/>
      </c>
      <c r="T9" s="4">
        <f>I40</f>
        <v/>
      </c>
      <c r="U9" s="4">
        <f>I41</f>
        <v/>
      </c>
      <c r="V9" s="4">
        <f>I42</f>
        <v/>
      </c>
      <c r="W9" s="4">
        <f>I43</f>
        <v/>
      </c>
    </row>
    <row r="10">
      <c r="A10" s="3" t="inlineStr">
        <is>
          <t>7</t>
        </is>
      </c>
      <c r="B10" s="3" t="inlineStr">
        <is>
          <t>所得税</t>
        </is>
      </c>
      <c r="C10" s="4">
        <f>SUM(D10,E10,F10,G10,H10,I10,J10,K10,L10,M10,N10,O10,P10,Q10,R10,S10,T10,U10,V10,W10)</f>
        <v/>
      </c>
      <c r="D10" s="4">
        <f>J24</f>
        <v/>
      </c>
      <c r="E10" s="4">
        <f>J25</f>
        <v/>
      </c>
      <c r="F10" s="4">
        <f>J26</f>
        <v/>
      </c>
      <c r="G10" s="4">
        <f>J27</f>
        <v/>
      </c>
      <c r="H10" s="4">
        <f>J28</f>
        <v/>
      </c>
      <c r="I10" s="4">
        <f>J29</f>
        <v/>
      </c>
      <c r="J10" s="4">
        <f>J30</f>
        <v/>
      </c>
      <c r="K10" s="4">
        <f>J31</f>
        <v/>
      </c>
      <c r="L10" s="4">
        <f>J32</f>
        <v/>
      </c>
      <c r="M10" s="4">
        <f>J33</f>
        <v/>
      </c>
      <c r="N10" s="4">
        <f>J34</f>
        <v/>
      </c>
      <c r="O10" s="4">
        <f>J35</f>
        <v/>
      </c>
      <c r="P10" s="4">
        <f>J36</f>
        <v/>
      </c>
      <c r="Q10" s="4">
        <f>J37</f>
        <v/>
      </c>
      <c r="R10" s="4">
        <f>J38</f>
        <v/>
      </c>
      <c r="S10" s="4">
        <f>J39</f>
        <v/>
      </c>
      <c r="T10" s="4">
        <f>J40</f>
        <v/>
      </c>
      <c r="U10" s="4">
        <f>J41</f>
        <v/>
      </c>
      <c r="V10" s="4">
        <f>J42</f>
        <v/>
      </c>
      <c r="W10" s="4">
        <f>J43</f>
        <v/>
      </c>
    </row>
    <row r="11">
      <c r="A11" s="3" t="inlineStr">
        <is>
          <t>8</t>
        </is>
      </c>
      <c r="B11" s="3" t="inlineStr">
        <is>
          <t>净利润</t>
        </is>
      </c>
      <c r="C11" s="4">
        <f>SUM(D11,E11,F11,G11,H11,I11,J11,K11,L11,M11,N11,O11,P11,Q11,R11,S11,T11,U11,V11,W11)</f>
        <v/>
      </c>
      <c r="D11" s="4">
        <f>K24</f>
        <v/>
      </c>
      <c r="E11" s="4">
        <f>K25</f>
        <v/>
      </c>
      <c r="F11" s="4">
        <f>K26</f>
        <v/>
      </c>
      <c r="G11" s="4">
        <f>K27</f>
        <v/>
      </c>
      <c r="H11" s="4">
        <f>K28</f>
        <v/>
      </c>
      <c r="I11" s="4">
        <f>K29</f>
        <v/>
      </c>
      <c r="J11" s="4">
        <f>K30</f>
        <v/>
      </c>
      <c r="K11" s="4">
        <f>K31</f>
        <v/>
      </c>
      <c r="L11" s="4">
        <f>K32</f>
        <v/>
      </c>
      <c r="M11" s="4">
        <f>K33</f>
        <v/>
      </c>
      <c r="N11" s="4">
        <f>K34</f>
        <v/>
      </c>
      <c r="O11" s="4">
        <f>K35</f>
        <v/>
      </c>
      <c r="P11" s="4">
        <f>K36</f>
        <v/>
      </c>
      <c r="Q11" s="4">
        <f>K37</f>
        <v/>
      </c>
      <c r="R11" s="4">
        <f>K38</f>
        <v/>
      </c>
      <c r="S11" s="4">
        <f>K39</f>
        <v/>
      </c>
      <c r="T11" s="4">
        <f>K40</f>
        <v/>
      </c>
      <c r="U11" s="4">
        <f>K41</f>
        <v/>
      </c>
      <c r="V11" s="4">
        <f>K42</f>
        <v/>
      </c>
      <c r="W11" s="4">
        <f>K43</f>
        <v/>
      </c>
    </row>
    <row r="12">
      <c r="A12" s="3" t="inlineStr">
        <is>
          <t>9</t>
        </is>
      </c>
      <c r="B12" s="3" t="inlineStr">
        <is>
          <t>期初未分配利润</t>
        </is>
      </c>
      <c r="C12" s="4">
        <f>SUM(D12,E12,F12,G12,H12,I12,J12,K12,L12,M12,N12,O12,P12,Q12,R12,S12,T12,U12,V12,W12)</f>
        <v/>
      </c>
      <c r="D12" s="4">
        <f>L24</f>
        <v/>
      </c>
      <c r="E12" s="4">
        <f>L25</f>
        <v/>
      </c>
      <c r="F12" s="4">
        <f>L26</f>
        <v/>
      </c>
      <c r="G12" s="4">
        <f>L27</f>
        <v/>
      </c>
      <c r="H12" s="4">
        <f>L28</f>
        <v/>
      </c>
      <c r="I12" s="4">
        <f>L29</f>
        <v/>
      </c>
      <c r="J12" s="4">
        <f>L30</f>
        <v/>
      </c>
      <c r="K12" s="4">
        <f>L31</f>
        <v/>
      </c>
      <c r="L12" s="4">
        <f>L32</f>
        <v/>
      </c>
      <c r="M12" s="4">
        <f>L33</f>
        <v/>
      </c>
      <c r="N12" s="4">
        <f>L34</f>
        <v/>
      </c>
      <c r="O12" s="4">
        <f>L35</f>
        <v/>
      </c>
      <c r="P12" s="4">
        <f>L36</f>
        <v/>
      </c>
      <c r="Q12" s="4">
        <f>L37</f>
        <v/>
      </c>
      <c r="R12" s="4">
        <f>L38</f>
        <v/>
      </c>
      <c r="S12" s="4">
        <f>L39</f>
        <v/>
      </c>
      <c r="T12" s="4">
        <f>L40</f>
        <v/>
      </c>
      <c r="U12" s="4">
        <f>L41</f>
        <v/>
      </c>
      <c r="V12" s="4">
        <f>L42</f>
        <v/>
      </c>
      <c r="W12" s="4">
        <f>L43</f>
        <v/>
      </c>
    </row>
    <row r="13">
      <c r="A13" s="3" t="inlineStr">
        <is>
          <t>10</t>
        </is>
      </c>
      <c r="B13" s="3" t="inlineStr">
        <is>
          <t>可供分配的利润</t>
        </is>
      </c>
      <c r="C13" s="4">
        <f>SUM(D13,E13,F13,G13,H13,I13,J13,K13,L13,M13,N13,O13,P13,Q13,R13,S13,T13,U13,V13,W13)</f>
        <v/>
      </c>
      <c r="D13" s="4">
        <f>M24</f>
        <v/>
      </c>
      <c r="E13" s="4">
        <f>M25</f>
        <v/>
      </c>
      <c r="F13" s="4">
        <f>M26</f>
        <v/>
      </c>
      <c r="G13" s="4">
        <f>M27</f>
        <v/>
      </c>
      <c r="H13" s="4">
        <f>M28</f>
        <v/>
      </c>
      <c r="I13" s="4">
        <f>M29</f>
        <v/>
      </c>
      <c r="J13" s="4">
        <f>M30</f>
        <v/>
      </c>
      <c r="K13" s="4">
        <f>M31</f>
        <v/>
      </c>
      <c r="L13" s="4">
        <f>M32</f>
        <v/>
      </c>
      <c r="M13" s="4">
        <f>M33</f>
        <v/>
      </c>
      <c r="N13" s="4">
        <f>M34</f>
        <v/>
      </c>
      <c r="O13" s="4">
        <f>M35</f>
        <v/>
      </c>
      <c r="P13" s="4">
        <f>M36</f>
        <v/>
      </c>
      <c r="Q13" s="4">
        <f>M37</f>
        <v/>
      </c>
      <c r="R13" s="4">
        <f>M38</f>
        <v/>
      </c>
      <c r="S13" s="4">
        <f>M39</f>
        <v/>
      </c>
      <c r="T13" s="4">
        <f>M40</f>
        <v/>
      </c>
      <c r="U13" s="4">
        <f>M41</f>
        <v/>
      </c>
      <c r="V13" s="4">
        <f>M42</f>
        <v/>
      </c>
      <c r="W13" s="4">
        <f>M43</f>
        <v/>
      </c>
    </row>
    <row r="14">
      <c r="A14" s="3" t="inlineStr">
        <is>
          <t>11</t>
        </is>
      </c>
      <c r="B14" s="3" t="inlineStr">
        <is>
          <t>提取法定盈余公积金</t>
        </is>
      </c>
      <c r="C14" s="4">
        <f>SUM(D14,E14,F14,G14,H14,I14,J14,K14,L14,M14,N14,O14,P14,Q14,R14,S14,T14,U14,V14,W14)</f>
        <v/>
      </c>
      <c r="D14" s="4">
        <f>N24</f>
        <v/>
      </c>
      <c r="E14" s="4">
        <f>N25</f>
        <v/>
      </c>
      <c r="F14" s="4">
        <f>N26</f>
        <v/>
      </c>
      <c r="G14" s="4">
        <f>N27</f>
        <v/>
      </c>
      <c r="H14" s="4">
        <f>N28</f>
        <v/>
      </c>
      <c r="I14" s="4">
        <f>N29</f>
        <v/>
      </c>
      <c r="J14" s="4">
        <f>N30</f>
        <v/>
      </c>
      <c r="K14" s="4">
        <f>N31</f>
        <v/>
      </c>
      <c r="L14" s="4">
        <f>N32</f>
        <v/>
      </c>
      <c r="M14" s="4">
        <f>N33</f>
        <v/>
      </c>
      <c r="N14" s="4">
        <f>N34</f>
        <v/>
      </c>
      <c r="O14" s="4">
        <f>N35</f>
        <v/>
      </c>
      <c r="P14" s="4">
        <f>N36</f>
        <v/>
      </c>
      <c r="Q14" s="4">
        <f>N37</f>
        <v/>
      </c>
      <c r="R14" s="4">
        <f>N38</f>
        <v/>
      </c>
      <c r="S14" s="4">
        <f>N39</f>
        <v/>
      </c>
      <c r="T14" s="4">
        <f>N40</f>
        <v/>
      </c>
      <c r="U14" s="4">
        <f>N41</f>
        <v/>
      </c>
      <c r="V14" s="4">
        <f>N42</f>
        <v/>
      </c>
      <c r="W14" s="4">
        <f>N43</f>
        <v/>
      </c>
    </row>
    <row r="15">
      <c r="A15" s="3" t="inlineStr">
        <is>
          <t>12</t>
        </is>
      </c>
      <c r="B15" s="3" t="inlineStr">
        <is>
          <t>可供投资者分配的利润</t>
        </is>
      </c>
      <c r="C15" s="4">
        <f>SUM(D15,E15,F15,G15,H15,I15,J15,K15,L15,M15,N15,O15,P15,Q15,R15,S15,T15,U15,V15,W15)</f>
        <v/>
      </c>
      <c r="D15" s="4">
        <f>O24</f>
        <v/>
      </c>
      <c r="E15" s="4">
        <f>O25</f>
        <v/>
      </c>
      <c r="F15" s="4">
        <f>O26</f>
        <v/>
      </c>
      <c r="G15" s="4">
        <f>O27</f>
        <v/>
      </c>
      <c r="H15" s="4">
        <f>O28</f>
        <v/>
      </c>
      <c r="I15" s="4">
        <f>O29</f>
        <v/>
      </c>
      <c r="J15" s="4">
        <f>O30</f>
        <v/>
      </c>
      <c r="K15" s="4">
        <f>O31</f>
        <v/>
      </c>
      <c r="L15" s="4">
        <f>O32</f>
        <v/>
      </c>
      <c r="M15" s="4">
        <f>O33</f>
        <v/>
      </c>
      <c r="N15" s="4">
        <f>O34</f>
        <v/>
      </c>
      <c r="O15" s="4">
        <f>O35</f>
        <v/>
      </c>
      <c r="P15" s="4">
        <f>O36</f>
        <v/>
      </c>
      <c r="Q15" s="4">
        <f>O37</f>
        <v/>
      </c>
      <c r="R15" s="4">
        <f>O38</f>
        <v/>
      </c>
      <c r="S15" s="4">
        <f>O39</f>
        <v/>
      </c>
      <c r="T15" s="4">
        <f>O40</f>
        <v/>
      </c>
      <c r="U15" s="4">
        <f>O41</f>
        <v/>
      </c>
      <c r="V15" s="4">
        <f>O42</f>
        <v/>
      </c>
      <c r="W15" s="4">
        <f>O43</f>
        <v/>
      </c>
    </row>
    <row r="16">
      <c r="A16" s="3" t="inlineStr">
        <is>
          <t>13</t>
        </is>
      </c>
      <c r="B16" s="3" t="inlineStr">
        <is>
          <t>提取任意盈余公积金</t>
        </is>
      </c>
      <c r="C16" s="4">
        <f>SUM(D16,E16,F16,G16,H16,I16,J16,K16,L16,M16,N16,O16,P16,Q16,R16,S16,T16,U16,V16,W16)</f>
        <v/>
      </c>
      <c r="D16" s="4">
        <f>P24</f>
        <v/>
      </c>
      <c r="E16" s="4">
        <f>P25</f>
        <v/>
      </c>
      <c r="F16" s="4">
        <f>P26</f>
        <v/>
      </c>
      <c r="G16" s="4">
        <f>P27</f>
        <v/>
      </c>
      <c r="H16" s="4">
        <f>P28</f>
        <v/>
      </c>
      <c r="I16" s="4">
        <f>P29</f>
        <v/>
      </c>
      <c r="J16" s="4">
        <f>P30</f>
        <v/>
      </c>
      <c r="K16" s="4">
        <f>P31</f>
        <v/>
      </c>
      <c r="L16" s="4">
        <f>P32</f>
        <v/>
      </c>
      <c r="M16" s="4">
        <f>P33</f>
        <v/>
      </c>
      <c r="N16" s="4">
        <f>P34</f>
        <v/>
      </c>
      <c r="O16" s="4">
        <f>P35</f>
        <v/>
      </c>
      <c r="P16" s="4">
        <f>P36</f>
        <v/>
      </c>
      <c r="Q16" s="4">
        <f>P37</f>
        <v/>
      </c>
      <c r="R16" s="4">
        <f>P38</f>
        <v/>
      </c>
      <c r="S16" s="4">
        <f>P39</f>
        <v/>
      </c>
      <c r="T16" s="4">
        <f>P40</f>
        <v/>
      </c>
      <c r="U16" s="4">
        <f>P41</f>
        <v/>
      </c>
      <c r="V16" s="4">
        <f>P42</f>
        <v/>
      </c>
      <c r="W16" s="4">
        <f>P43</f>
        <v/>
      </c>
    </row>
    <row r="17">
      <c r="A17" s="3" t="inlineStr">
        <is>
          <t>14</t>
        </is>
      </c>
      <c r="B17" s="3" t="inlineStr">
        <is>
          <t>投资各方利润分配</t>
        </is>
      </c>
      <c r="C17" s="4">
        <f>SUM(D17,E17,F17,G17,H17,I17,J17,K17,L17,M17,N17,O17,P17,Q17,R17,S17,T17,U17,V17,W17)</f>
        <v/>
      </c>
      <c r="D17" s="4">
        <f>Q24</f>
        <v/>
      </c>
      <c r="E17" s="4">
        <f>Q25</f>
        <v/>
      </c>
      <c r="F17" s="4">
        <f>Q26</f>
        <v/>
      </c>
      <c r="G17" s="4">
        <f>Q27</f>
        <v/>
      </c>
      <c r="H17" s="4">
        <f>Q28</f>
        <v/>
      </c>
      <c r="I17" s="4">
        <f>Q29</f>
        <v/>
      </c>
      <c r="J17" s="4">
        <f>Q30</f>
        <v/>
      </c>
      <c r="K17" s="4">
        <f>Q31</f>
        <v/>
      </c>
      <c r="L17" s="4">
        <f>Q32</f>
        <v/>
      </c>
      <c r="M17" s="4">
        <f>Q33</f>
        <v/>
      </c>
      <c r="N17" s="4">
        <f>Q34</f>
        <v/>
      </c>
      <c r="O17" s="4">
        <f>Q35</f>
        <v/>
      </c>
      <c r="P17" s="4">
        <f>Q36</f>
        <v/>
      </c>
      <c r="Q17" s="4">
        <f>Q37</f>
        <v/>
      </c>
      <c r="R17" s="4">
        <f>Q38</f>
        <v/>
      </c>
      <c r="S17" s="4">
        <f>Q39</f>
        <v/>
      </c>
      <c r="T17" s="4">
        <f>Q40</f>
        <v/>
      </c>
      <c r="U17" s="4">
        <f>Q41</f>
        <v/>
      </c>
      <c r="V17" s="4">
        <f>Q42</f>
        <v/>
      </c>
      <c r="W17" s="4">
        <f>Q43</f>
        <v/>
      </c>
    </row>
    <row r="18">
      <c r="A18" s="3" t="inlineStr">
        <is>
          <t>15</t>
        </is>
      </c>
      <c r="B18" s="3" t="inlineStr">
        <is>
          <t>未分配利润</t>
        </is>
      </c>
      <c r="C18" s="4">
        <f>SUM(D18,E18,F18,G18,H18,I18,J18,K18,L18,M18,N18,O18,P18,Q18,R18,S18,T18,U18,V18,W18)</f>
        <v/>
      </c>
      <c r="D18" s="4">
        <f>R24</f>
        <v/>
      </c>
      <c r="E18" s="4">
        <f>R25</f>
        <v/>
      </c>
      <c r="F18" s="4">
        <f>R26</f>
        <v/>
      </c>
      <c r="G18" s="4">
        <f>R27</f>
        <v/>
      </c>
      <c r="H18" s="4">
        <f>R28</f>
        <v/>
      </c>
      <c r="I18" s="4">
        <f>R29</f>
        <v/>
      </c>
      <c r="J18" s="4">
        <f>R30</f>
        <v/>
      </c>
      <c r="K18" s="4">
        <f>R31</f>
        <v/>
      </c>
      <c r="L18" s="4">
        <f>R32</f>
        <v/>
      </c>
      <c r="M18" s="4">
        <f>R33</f>
        <v/>
      </c>
      <c r="N18" s="4">
        <f>R34</f>
        <v/>
      </c>
      <c r="O18" s="4">
        <f>R35</f>
        <v/>
      </c>
      <c r="P18" s="4">
        <f>R36</f>
        <v/>
      </c>
      <c r="Q18" s="4">
        <f>R37</f>
        <v/>
      </c>
      <c r="R18" s="4">
        <f>R38</f>
        <v/>
      </c>
      <c r="S18" s="4">
        <f>R39</f>
        <v/>
      </c>
      <c r="T18" s="4">
        <f>R40</f>
        <v/>
      </c>
      <c r="U18" s="4">
        <f>R41</f>
        <v/>
      </c>
      <c r="V18" s="4">
        <f>R42</f>
        <v/>
      </c>
      <c r="W18" s="4">
        <f>R43</f>
        <v/>
      </c>
    </row>
    <row r="19">
      <c r="A19" s="3" t="inlineStr">
        <is>
          <t>16</t>
        </is>
      </c>
      <c r="B19" s="3" t="inlineStr">
        <is>
          <t>息税前利润（EBIT）</t>
        </is>
      </c>
      <c r="C19" s="4">
        <f>SUM(D19,E19,F19,G19,H19,I19,J19,K19,L19,M19,N19,O19,P19,Q19,R19,S19,T19,U19,V19,W19)</f>
        <v/>
      </c>
      <c r="D19" s="4">
        <f>F24</f>
        <v/>
      </c>
      <c r="E19" s="4">
        <f>F25</f>
        <v/>
      </c>
      <c r="F19" s="4">
        <f>F26</f>
        <v/>
      </c>
      <c r="G19" s="4">
        <f>F27</f>
        <v/>
      </c>
      <c r="H19" s="4">
        <f>F28</f>
        <v/>
      </c>
      <c r="I19" s="4">
        <f>F29</f>
        <v/>
      </c>
      <c r="J19" s="4">
        <f>F30</f>
        <v/>
      </c>
      <c r="K19" s="4">
        <f>F31</f>
        <v/>
      </c>
      <c r="L19" s="4">
        <f>F32</f>
        <v/>
      </c>
      <c r="M19" s="4">
        <f>F33</f>
        <v/>
      </c>
      <c r="N19" s="4">
        <f>F34</f>
        <v/>
      </c>
      <c r="O19" s="4">
        <f>F35</f>
        <v/>
      </c>
      <c r="P19" s="4">
        <f>F36</f>
        <v/>
      </c>
      <c r="Q19" s="4">
        <f>F37</f>
        <v/>
      </c>
      <c r="R19" s="4">
        <f>F38</f>
        <v/>
      </c>
      <c r="S19" s="4">
        <f>F39</f>
        <v/>
      </c>
      <c r="T19" s="4">
        <f>F40</f>
        <v/>
      </c>
      <c r="U19" s="4">
        <f>F41</f>
        <v/>
      </c>
      <c r="V19" s="4">
        <f>F42</f>
        <v/>
      </c>
      <c r="W19" s="4">
        <f>F43</f>
        <v/>
      </c>
    </row>
    <row r="20">
      <c r="A20" s="3" t="inlineStr">
        <is>
          <t>17</t>
        </is>
      </c>
      <c r="B20" s="3" t="inlineStr">
        <is>
          <t>息税折旧摊销前利润（EBITDA）</t>
        </is>
      </c>
      <c r="C20" s="4">
        <f>SUM(D20,E20,F20,G20,H20,I20,J20,K20,L20,M20,N20,O20,P20,Q20,R20,S20,T20,U20,V20,W20)</f>
        <v/>
      </c>
      <c r="D20" s="4">
        <f>G24</f>
        <v/>
      </c>
      <c r="E20" s="4">
        <f>G25</f>
        <v/>
      </c>
      <c r="F20" s="4">
        <f>G26</f>
        <v/>
      </c>
      <c r="G20" s="4">
        <f>G27</f>
        <v/>
      </c>
      <c r="H20" s="4">
        <f>G28</f>
        <v/>
      </c>
      <c r="I20" s="4">
        <f>G29</f>
        <v/>
      </c>
      <c r="J20" s="4">
        <f>G30</f>
        <v/>
      </c>
      <c r="K20" s="4">
        <f>G31</f>
        <v/>
      </c>
      <c r="L20" s="4">
        <f>G32</f>
        <v/>
      </c>
      <c r="M20" s="4">
        <f>G33</f>
        <v/>
      </c>
      <c r="N20" s="4">
        <f>G34</f>
        <v/>
      </c>
      <c r="O20" s="4">
        <f>G35</f>
        <v/>
      </c>
      <c r="P20" s="4">
        <f>G36</f>
        <v/>
      </c>
      <c r="Q20" s="4">
        <f>G37</f>
        <v/>
      </c>
      <c r="R20" s="4">
        <f>G38</f>
        <v/>
      </c>
      <c r="S20" s="4">
        <f>G39</f>
        <v/>
      </c>
      <c r="T20" s="4">
        <f>G40</f>
        <v/>
      </c>
      <c r="U20" s="4">
        <f>G41</f>
        <v/>
      </c>
      <c r="V20" s="4">
        <f>G42</f>
        <v/>
      </c>
      <c r="W20" s="4">
        <f>G43</f>
        <v/>
      </c>
    </row>
    <row r="21"/>
    <row r="22">
      <c r="A22" t="inlineStr">
        <is>
          <t>引擎逐年计算区（供公式与跨表追溯）</t>
        </is>
      </c>
    </row>
    <row r="23">
      <c r="A23" s="5" t="inlineStr">
        <is>
          <t>运营年</t>
        </is>
      </c>
      <c r="B23" s="5" t="inlineStr">
        <is>
          <t>营业收入</t>
        </is>
      </c>
      <c r="C23" s="5" t="inlineStr">
        <is>
          <t>总成本费用</t>
        </is>
      </c>
      <c r="D23" s="5" t="inlineStr">
        <is>
          <t>税金及附加</t>
        </is>
      </c>
      <c r="E23" s="5" t="inlineStr">
        <is>
          <t>利润总额</t>
        </is>
      </c>
      <c r="F23" s="5" t="inlineStr">
        <is>
          <t>息税前利润(EBIT)</t>
        </is>
      </c>
      <c r="G23" s="5" t="inlineStr">
        <is>
          <t>息税折旧摊销前利润(EBITDA)</t>
        </is>
      </c>
      <c r="H23" s="5" t="inlineStr">
        <is>
          <t>弥补以前年度亏损</t>
        </is>
      </c>
      <c r="I23" s="5" t="inlineStr">
        <is>
          <t>应纳税所得额</t>
        </is>
      </c>
      <c r="J23" s="5" t="inlineStr">
        <is>
          <t>所得税</t>
        </is>
      </c>
      <c r="K23" s="5" t="inlineStr">
        <is>
          <t>净利润</t>
        </is>
      </c>
      <c r="L23" s="5" t="inlineStr">
        <is>
          <t>期初未分配利润</t>
        </is>
      </c>
      <c r="M23" s="5" t="inlineStr">
        <is>
          <t>可供分配的利润</t>
        </is>
      </c>
      <c r="N23" s="5" t="inlineStr">
        <is>
          <t>提取法定盈余公积金</t>
        </is>
      </c>
      <c r="O23" s="5" t="inlineStr">
        <is>
          <t>可供投资者分配的利润</t>
        </is>
      </c>
      <c r="P23" s="5" t="inlineStr">
        <is>
          <t>提取任意盈余公积金</t>
        </is>
      </c>
      <c r="Q23" s="5" t="inlineStr">
        <is>
          <t>投资各方利润分配</t>
        </is>
      </c>
      <c r="R23" s="5" t="inlineStr">
        <is>
          <t>未分配利润</t>
        </is>
      </c>
    </row>
    <row r="24">
      <c r="A24" s="6" t="n">
        <v>1</v>
      </c>
      <c r="B24" s="6">
        <f>'附表5'!B22</f>
        <v/>
      </c>
      <c r="C24" s="6">
        <f>'附表6'!F17</f>
        <v/>
      </c>
      <c r="D24" s="6">
        <f>'附表5'!E22</f>
        <v/>
      </c>
      <c r="E24" s="6">
        <f>B24-C24-D24</f>
        <v/>
      </c>
      <c r="F24" s="6">
        <f>E24+'附表6'!E17</f>
        <v/>
      </c>
      <c r="G24" s="6">
        <f>F24+'附表6'!C17+'附表6'!D17</f>
        <v/>
      </c>
      <c r="H24" s="6" t="n">
        <v>0</v>
      </c>
      <c r="I24" s="6">
        <f>MAX(E24-H24,0)</f>
        <v/>
      </c>
      <c r="J24" s="6" t="n">
        <v>277.4</v>
      </c>
      <c r="K24" s="6">
        <f>E24-J24</f>
        <v/>
      </c>
      <c r="L24" s="6" t="n">
        <v>0</v>
      </c>
      <c r="M24" s="6">
        <f>L24+K24</f>
        <v/>
      </c>
      <c r="N24" s="6">
        <f>MAX(K24,0)*10%</f>
        <v/>
      </c>
      <c r="O24" s="6">
        <f>M24-N24</f>
        <v/>
      </c>
      <c r="R24" s="6">
        <f>O24-N(P24)-N(Q24)</f>
        <v/>
      </c>
    </row>
    <row r="25">
      <c r="A25" s="6" t="n">
        <v>2</v>
      </c>
      <c r="B25" s="6">
        <f>'附表5'!B23</f>
        <v/>
      </c>
      <c r="C25" s="6">
        <f>'附表6'!F18</f>
        <v/>
      </c>
      <c r="D25" s="6">
        <f>'附表5'!E23</f>
        <v/>
      </c>
      <c r="E25" s="6">
        <f>B25-C25-D25</f>
        <v/>
      </c>
      <c r="F25" s="6">
        <f>E25+'附表6'!E18</f>
        <v/>
      </c>
      <c r="G25" s="6">
        <f>F25+'附表6'!C18+'附表6'!D18</f>
        <v/>
      </c>
      <c r="H25" s="6" t="n">
        <v>0</v>
      </c>
      <c r="I25" s="6">
        <f>MAX(E25-H25,0)</f>
        <v/>
      </c>
      <c r="J25" s="6" t="n">
        <v>588.25</v>
      </c>
      <c r="K25" s="6">
        <f>E25-J25</f>
        <v/>
      </c>
      <c r="L25" s="6">
        <f>R24</f>
        <v/>
      </c>
      <c r="M25" s="6">
        <f>L25+K25</f>
        <v/>
      </c>
      <c r="N25" s="6">
        <f>MAX(K25,0)*10%</f>
        <v/>
      </c>
      <c r="O25" s="6">
        <f>M25-N25</f>
        <v/>
      </c>
      <c r="R25" s="6">
        <f>O25-N(P25)-N(Q25)</f>
        <v/>
      </c>
    </row>
    <row r="26">
      <c r="A26" s="6" t="n">
        <v>3</v>
      </c>
      <c r="B26" s="6">
        <f>'附表5'!B24</f>
        <v/>
      </c>
      <c r="C26" s="6">
        <f>'附表6'!F19</f>
        <v/>
      </c>
      <c r="D26" s="6">
        <f>'附表5'!E24</f>
        <v/>
      </c>
      <c r="E26" s="6">
        <f>B26-C26-D26</f>
        <v/>
      </c>
      <c r="F26" s="6">
        <f>E26+'附表6'!E19</f>
        <v/>
      </c>
      <c r="G26" s="6">
        <f>F26+'附表6'!C19+'附表6'!D19</f>
        <v/>
      </c>
      <c r="H26" s="6" t="n">
        <v>0</v>
      </c>
      <c r="I26" s="6">
        <f>MAX(E26-H26,0)</f>
        <v/>
      </c>
      <c r="J26" s="6" t="n">
        <v>824.77</v>
      </c>
      <c r="K26" s="6">
        <f>E26-J26</f>
        <v/>
      </c>
      <c r="L26" s="6">
        <f>R25</f>
        <v/>
      </c>
      <c r="M26" s="6">
        <f>L26+K26</f>
        <v/>
      </c>
      <c r="N26" s="6">
        <f>MAX(K26,0)*10%</f>
        <v/>
      </c>
      <c r="O26" s="6">
        <f>M26-N26</f>
        <v/>
      </c>
      <c r="R26" s="6">
        <f>O26-N(P26)-N(Q26)</f>
        <v/>
      </c>
    </row>
    <row r="27">
      <c r="A27" s="6" t="n">
        <v>4</v>
      </c>
      <c r="B27" s="6">
        <f>'附表5'!B25</f>
        <v/>
      </c>
      <c r="C27" s="6">
        <f>'附表6'!F20</f>
        <v/>
      </c>
      <c r="D27" s="6">
        <f>'附表5'!E25</f>
        <v/>
      </c>
      <c r="E27" s="6">
        <f>B27-C27-D27</f>
        <v/>
      </c>
      <c r="F27" s="6">
        <f>E27+'附表6'!E20</f>
        <v/>
      </c>
      <c r="G27" s="6">
        <f>F27+'附表6'!C20+'附表6'!D20</f>
        <v/>
      </c>
      <c r="H27" s="6" t="n">
        <v>0</v>
      </c>
      <c r="I27" s="6">
        <f>MAX(E27-H27,0)</f>
        <v/>
      </c>
      <c r="J27" s="6" t="n">
        <v>1061.3</v>
      </c>
      <c r="K27" s="6">
        <f>E27-J27</f>
        <v/>
      </c>
      <c r="L27" s="6">
        <f>R26</f>
        <v/>
      </c>
      <c r="M27" s="6">
        <f>L27+K27</f>
        <v/>
      </c>
      <c r="N27" s="6">
        <f>MAX(K27,0)*10%</f>
        <v/>
      </c>
      <c r="O27" s="6">
        <f>M27-N27</f>
        <v/>
      </c>
      <c r="R27" s="6">
        <f>O27-N(P27)-N(Q27)</f>
        <v/>
      </c>
    </row>
    <row r="28">
      <c r="A28" s="6" t="n">
        <v>5</v>
      </c>
      <c r="B28" s="6">
        <f>'附表5'!B26</f>
        <v/>
      </c>
      <c r="C28" s="6">
        <f>'附表6'!F21</f>
        <v/>
      </c>
      <c r="D28" s="6">
        <f>'附表5'!E26</f>
        <v/>
      </c>
      <c r="E28" s="6">
        <f>B28-C28-D28</f>
        <v/>
      </c>
      <c r="F28" s="6">
        <f>E28+'附表6'!E21</f>
        <v/>
      </c>
      <c r="G28" s="6">
        <f>F28+'附表6'!C21+'附表6'!D21</f>
        <v/>
      </c>
      <c r="H28" s="6" t="n">
        <v>0</v>
      </c>
      <c r="I28" s="6">
        <f>MAX(E28-H28,0)</f>
        <v/>
      </c>
      <c r="J28" s="6" t="n">
        <v>1074.8</v>
      </c>
      <c r="K28" s="6">
        <f>E28-J28</f>
        <v/>
      </c>
      <c r="L28" s="6">
        <f>R27</f>
        <v/>
      </c>
      <c r="M28" s="6">
        <f>L28+K28</f>
        <v/>
      </c>
      <c r="N28" s="6">
        <f>MAX(K28,0)*10%</f>
        <v/>
      </c>
      <c r="O28" s="6">
        <f>M28-N28</f>
        <v/>
      </c>
      <c r="R28" s="6">
        <f>O28-N(P28)-N(Q28)</f>
        <v/>
      </c>
    </row>
    <row r="29">
      <c r="A29" s="6" t="n">
        <v>6</v>
      </c>
      <c r="B29" s="6">
        <f>'附表5'!B27</f>
        <v/>
      </c>
      <c r="C29" s="6">
        <f>'附表6'!F22</f>
        <v/>
      </c>
      <c r="D29" s="6">
        <f>'附表5'!E27</f>
        <v/>
      </c>
      <c r="E29" s="6">
        <f>B29-C29-D29</f>
        <v/>
      </c>
      <c r="F29" s="6">
        <f>E29+'附表6'!E22</f>
        <v/>
      </c>
      <c r="G29" s="6">
        <f>F29+'附表6'!C22+'附表6'!D22</f>
        <v/>
      </c>
      <c r="H29" s="6" t="n">
        <v>0</v>
      </c>
      <c r="I29" s="6">
        <f>MAX(E29-H29,0)</f>
        <v/>
      </c>
      <c r="J29" s="6" t="n">
        <v>1088.3</v>
      </c>
      <c r="K29" s="6">
        <f>E29-J29</f>
        <v/>
      </c>
      <c r="L29" s="6">
        <f>R28</f>
        <v/>
      </c>
      <c r="M29" s="6">
        <f>L29+K29</f>
        <v/>
      </c>
      <c r="N29" s="6">
        <f>MAX(K29,0)*10%</f>
        <v/>
      </c>
      <c r="O29" s="6">
        <f>M29-N29</f>
        <v/>
      </c>
      <c r="R29" s="6">
        <f>O29-N(P29)-N(Q29)</f>
        <v/>
      </c>
    </row>
    <row r="30">
      <c r="A30" s="6" t="n">
        <v>7</v>
      </c>
      <c r="B30" s="6">
        <f>'附表5'!B28</f>
        <v/>
      </c>
      <c r="C30" s="6">
        <f>'附表6'!F23</f>
        <v/>
      </c>
      <c r="D30" s="6">
        <f>'附表5'!E28</f>
        <v/>
      </c>
      <c r="E30" s="6">
        <f>B30-C30-D30</f>
        <v/>
      </c>
      <c r="F30" s="6">
        <f>E30+'附表6'!E23</f>
        <v/>
      </c>
      <c r="G30" s="6">
        <f>F30+'附表6'!C23+'附表6'!D23</f>
        <v/>
      </c>
      <c r="H30" s="6" t="n">
        <v>0</v>
      </c>
      <c r="I30" s="6">
        <f>MAX(E30-H30,0)</f>
        <v/>
      </c>
      <c r="J30" s="6" t="n">
        <v>1101.8</v>
      </c>
      <c r="K30" s="6">
        <f>E30-J30</f>
        <v/>
      </c>
      <c r="L30" s="6">
        <f>R29</f>
        <v/>
      </c>
      <c r="M30" s="6">
        <f>L30+K30</f>
        <v/>
      </c>
      <c r="N30" s="6">
        <f>MAX(K30,0)*10%</f>
        <v/>
      </c>
      <c r="O30" s="6">
        <f>M30-N30</f>
        <v/>
      </c>
      <c r="R30" s="6">
        <f>O30-N(P30)-N(Q30)</f>
        <v/>
      </c>
    </row>
    <row r="31">
      <c r="A31" s="6" t="n">
        <v>8</v>
      </c>
      <c r="B31" s="6">
        <f>'附表5'!B29</f>
        <v/>
      </c>
      <c r="C31" s="6">
        <f>'附表6'!F24</f>
        <v/>
      </c>
      <c r="D31" s="6">
        <f>'附表5'!E29</f>
        <v/>
      </c>
      <c r="E31" s="6">
        <f>B31-C31-D31</f>
        <v/>
      </c>
      <c r="F31" s="6">
        <f>E31+'附表6'!E24</f>
        <v/>
      </c>
      <c r="G31" s="6">
        <f>F31+'附表6'!C24+'附表6'!D24</f>
        <v/>
      </c>
      <c r="H31" s="6" t="n">
        <v>0</v>
      </c>
      <c r="I31" s="6">
        <f>MAX(E31-H31,0)</f>
        <v/>
      </c>
      <c r="J31" s="6" t="n">
        <v>1115.3</v>
      </c>
      <c r="K31" s="6">
        <f>E31-J31</f>
        <v/>
      </c>
      <c r="L31" s="6">
        <f>R30</f>
        <v/>
      </c>
      <c r="M31" s="6">
        <f>L31+K31</f>
        <v/>
      </c>
      <c r="N31" s="6">
        <f>MAX(K31,0)*10%</f>
        <v/>
      </c>
      <c r="O31" s="6">
        <f>M31-N31</f>
        <v/>
      </c>
      <c r="R31" s="6">
        <f>O31-N(P31)-N(Q31)</f>
        <v/>
      </c>
    </row>
    <row r="32">
      <c r="A32" s="6" t="n">
        <v>9</v>
      </c>
      <c r="B32" s="6">
        <f>'附表5'!B30</f>
        <v/>
      </c>
      <c r="C32" s="6">
        <f>'附表6'!F25</f>
        <v/>
      </c>
      <c r="D32" s="6">
        <f>'附表5'!E30</f>
        <v/>
      </c>
      <c r="E32" s="6">
        <f>B32-C32-D32</f>
        <v/>
      </c>
      <c r="F32" s="6">
        <f>E32+'附表6'!E25</f>
        <v/>
      </c>
      <c r="G32" s="6">
        <f>F32+'附表6'!C25+'附表6'!D25</f>
        <v/>
      </c>
      <c r="H32" s="6" t="n">
        <v>0</v>
      </c>
      <c r="I32" s="6">
        <f>MAX(E32-H32,0)</f>
        <v/>
      </c>
      <c r="J32" s="6" t="n">
        <v>1128.8</v>
      </c>
      <c r="K32" s="6">
        <f>E32-J32</f>
        <v/>
      </c>
      <c r="L32" s="6">
        <f>R31</f>
        <v/>
      </c>
      <c r="M32" s="6">
        <f>L32+K32</f>
        <v/>
      </c>
      <c r="N32" s="6">
        <f>MAX(K32,0)*10%</f>
        <v/>
      </c>
      <c r="O32" s="6">
        <f>M32-N32</f>
        <v/>
      </c>
      <c r="R32" s="6">
        <f>O32-N(P32)-N(Q32)</f>
        <v/>
      </c>
    </row>
    <row r="33">
      <c r="A33" s="6" t="n">
        <v>10</v>
      </c>
      <c r="B33" s="6">
        <f>'附表5'!B31</f>
        <v/>
      </c>
      <c r="C33" s="6">
        <f>'附表6'!F26</f>
        <v/>
      </c>
      <c r="D33" s="6">
        <f>'附表5'!E31</f>
        <v/>
      </c>
      <c r="E33" s="6">
        <f>B33-C33-D33</f>
        <v/>
      </c>
      <c r="F33" s="6">
        <f>E33+'附表6'!E26</f>
        <v/>
      </c>
      <c r="G33" s="6">
        <f>F33+'附表6'!C26+'附表6'!D26</f>
        <v/>
      </c>
      <c r="H33" s="6" t="n">
        <v>0</v>
      </c>
      <c r="I33" s="6">
        <f>MAX(E33-H33,0)</f>
        <v/>
      </c>
      <c r="J33" s="6" t="n">
        <v>1142.3</v>
      </c>
      <c r="K33" s="6">
        <f>E33-J33</f>
        <v/>
      </c>
      <c r="L33" s="6">
        <f>R32</f>
        <v/>
      </c>
      <c r="M33" s="6">
        <f>L33+K33</f>
        <v/>
      </c>
      <c r="N33" s="6">
        <f>MAX(K33,0)*10%</f>
        <v/>
      </c>
      <c r="O33" s="6">
        <f>M33-N33</f>
        <v/>
      </c>
      <c r="R33" s="6">
        <f>O33-N(P33)-N(Q33)</f>
        <v/>
      </c>
    </row>
    <row r="34">
      <c r="A34" s="6" t="n">
        <v>11</v>
      </c>
      <c r="B34" s="6">
        <f>'附表5'!B32</f>
        <v/>
      </c>
      <c r="C34" s="6">
        <f>'附表6'!F27</f>
        <v/>
      </c>
      <c r="D34" s="6">
        <f>'附表5'!E32</f>
        <v/>
      </c>
      <c r="E34" s="6">
        <f>B34-C34-D34</f>
        <v/>
      </c>
      <c r="F34" s="6">
        <f>E34+'附表6'!E27</f>
        <v/>
      </c>
      <c r="G34" s="6">
        <f>F34+'附表6'!C27+'附表6'!D27</f>
        <v/>
      </c>
      <c r="H34" s="6" t="n">
        <v>0</v>
      </c>
      <c r="I34" s="6">
        <f>MAX(E34-H34,0)</f>
        <v/>
      </c>
      <c r="J34" s="6" t="n">
        <v>1155.8</v>
      </c>
      <c r="K34" s="6">
        <f>E34-J34</f>
        <v/>
      </c>
      <c r="L34" s="6">
        <f>R33</f>
        <v/>
      </c>
      <c r="M34" s="6">
        <f>L34+K34</f>
        <v/>
      </c>
      <c r="N34" s="6">
        <f>MAX(K34,0)*10%</f>
        <v/>
      </c>
      <c r="O34" s="6">
        <f>M34-N34</f>
        <v/>
      </c>
      <c r="R34" s="6">
        <f>O34-N(P34)-N(Q34)</f>
        <v/>
      </c>
    </row>
    <row r="35">
      <c r="A35" s="6" t="n">
        <v>12</v>
      </c>
      <c r="B35" s="6">
        <f>'附表5'!B33</f>
        <v/>
      </c>
      <c r="C35" s="6">
        <f>'附表6'!F28</f>
        <v/>
      </c>
      <c r="D35" s="6">
        <f>'附表5'!E33</f>
        <v/>
      </c>
      <c r="E35" s="6">
        <f>B35-C35-D35</f>
        <v/>
      </c>
      <c r="F35" s="6">
        <f>E35+'附表6'!E28</f>
        <v/>
      </c>
      <c r="G35" s="6">
        <f>F35+'附表6'!C28+'附表6'!D28</f>
        <v/>
      </c>
      <c r="H35" s="6" t="n">
        <v>0</v>
      </c>
      <c r="I35" s="6">
        <f>MAX(E35-H35,0)</f>
        <v/>
      </c>
      <c r="J35" s="6" t="n">
        <v>1169.3</v>
      </c>
      <c r="K35" s="6">
        <f>E35-J35</f>
        <v/>
      </c>
      <c r="L35" s="6">
        <f>R34</f>
        <v/>
      </c>
      <c r="M35" s="6">
        <f>L35+K35</f>
        <v/>
      </c>
      <c r="N35" s="6">
        <f>MAX(K35,0)*10%</f>
        <v/>
      </c>
      <c r="O35" s="6">
        <f>M35-N35</f>
        <v/>
      </c>
      <c r="R35" s="6">
        <f>O35-N(P35)-N(Q35)</f>
        <v/>
      </c>
    </row>
    <row r="36">
      <c r="A36" s="6" t="n">
        <v>13</v>
      </c>
      <c r="B36" s="6">
        <f>'附表5'!B34</f>
        <v/>
      </c>
      <c r="C36" s="6">
        <f>'附表6'!F29</f>
        <v/>
      </c>
      <c r="D36" s="6">
        <f>'附表5'!E34</f>
        <v/>
      </c>
      <c r="E36" s="6">
        <f>B36-C36-D36</f>
        <v/>
      </c>
      <c r="F36" s="6">
        <f>E36+'附表6'!E29</f>
        <v/>
      </c>
      <c r="G36" s="6">
        <f>F36+'附表6'!C29+'附表6'!D29</f>
        <v/>
      </c>
      <c r="H36" s="6" t="n">
        <v>0</v>
      </c>
      <c r="I36" s="6">
        <f>MAX(E36-H36,0)</f>
        <v/>
      </c>
      <c r="J36" s="6" t="n">
        <v>1182.8</v>
      </c>
      <c r="K36" s="6">
        <f>E36-J36</f>
        <v/>
      </c>
      <c r="L36" s="6">
        <f>R35</f>
        <v/>
      </c>
      <c r="M36" s="6">
        <f>L36+K36</f>
        <v/>
      </c>
      <c r="N36" s="6">
        <f>MAX(K36,0)*10%</f>
        <v/>
      </c>
      <c r="O36" s="6">
        <f>M36-N36</f>
        <v/>
      </c>
      <c r="R36" s="6">
        <f>O36-N(P36)-N(Q36)</f>
        <v/>
      </c>
    </row>
    <row r="37">
      <c r="A37" s="6" t="n">
        <v>14</v>
      </c>
      <c r="B37" s="6">
        <f>'附表5'!B35</f>
        <v/>
      </c>
      <c r="C37" s="6">
        <f>'附表6'!F30</f>
        <v/>
      </c>
      <c r="D37" s="6">
        <f>'附表5'!E35</f>
        <v/>
      </c>
      <c r="E37" s="6">
        <f>B37-C37-D37</f>
        <v/>
      </c>
      <c r="F37" s="6">
        <f>E37+'附表6'!E30</f>
        <v/>
      </c>
      <c r="G37" s="6">
        <f>F37+'附表6'!C30+'附表6'!D30</f>
        <v/>
      </c>
      <c r="H37" s="6" t="n">
        <v>0</v>
      </c>
      <c r="I37" s="6">
        <f>MAX(E37-H37,0)</f>
        <v/>
      </c>
      <c r="J37" s="6" t="n">
        <v>1182.8</v>
      </c>
      <c r="K37" s="6">
        <f>E37-J37</f>
        <v/>
      </c>
      <c r="L37" s="6">
        <f>R36</f>
        <v/>
      </c>
      <c r="M37" s="6">
        <f>L37+K37</f>
        <v/>
      </c>
      <c r="N37" s="6">
        <f>MAX(K37,0)*10%</f>
        <v/>
      </c>
      <c r="O37" s="6">
        <f>M37-N37</f>
        <v/>
      </c>
      <c r="R37" s="6">
        <f>O37-N(P37)-N(Q37)</f>
        <v/>
      </c>
    </row>
    <row r="38">
      <c r="A38" s="6" t="n">
        <v>15</v>
      </c>
      <c r="B38" s="6">
        <f>'附表5'!B36</f>
        <v/>
      </c>
      <c r="C38" s="6">
        <f>'附表6'!F31</f>
        <v/>
      </c>
      <c r="D38" s="6">
        <f>'附表5'!E36</f>
        <v/>
      </c>
      <c r="E38" s="6">
        <f>B38-C38-D38</f>
        <v/>
      </c>
      <c r="F38" s="6">
        <f>E38+'附表6'!E31</f>
        <v/>
      </c>
      <c r="G38" s="6">
        <f>F38+'附表6'!C31+'附表6'!D31</f>
        <v/>
      </c>
      <c r="H38" s="6" t="n">
        <v>0</v>
      </c>
      <c r="I38" s="6">
        <f>MAX(E38-H38,0)</f>
        <v/>
      </c>
      <c r="J38" s="6" t="n">
        <v>1182.8</v>
      </c>
      <c r="K38" s="6">
        <f>E38-J38</f>
        <v/>
      </c>
      <c r="L38" s="6">
        <f>R37</f>
        <v/>
      </c>
      <c r="M38" s="6">
        <f>L38+K38</f>
        <v/>
      </c>
      <c r="N38" s="6">
        <f>MAX(K38,0)*10%</f>
        <v/>
      </c>
      <c r="O38" s="6">
        <f>M38-N38</f>
        <v/>
      </c>
      <c r="R38" s="6">
        <f>O38-N(P38)-N(Q38)</f>
        <v/>
      </c>
    </row>
    <row r="39">
      <c r="A39" s="6" t="n">
        <v>16</v>
      </c>
      <c r="B39" s="6">
        <f>'附表5'!B37</f>
        <v/>
      </c>
      <c r="C39" s="6">
        <f>'附表6'!F32</f>
        <v/>
      </c>
      <c r="D39" s="6">
        <f>'附表5'!E37</f>
        <v/>
      </c>
      <c r="E39" s="6">
        <f>B39-C39-D39</f>
        <v/>
      </c>
      <c r="F39" s="6">
        <f>E39+'附表6'!E32</f>
        <v/>
      </c>
      <c r="G39" s="6">
        <f>F39+'附表6'!C32+'附表6'!D32</f>
        <v/>
      </c>
      <c r="H39" s="6" t="n">
        <v>0</v>
      </c>
      <c r="I39" s="6">
        <f>MAX(E39-H39,0)</f>
        <v/>
      </c>
      <c r="J39" s="6" t="n">
        <v>1182.8</v>
      </c>
      <c r="K39" s="6">
        <f>E39-J39</f>
        <v/>
      </c>
      <c r="L39" s="6">
        <f>R38</f>
        <v/>
      </c>
      <c r="M39" s="6">
        <f>L39+K39</f>
        <v/>
      </c>
      <c r="N39" s="6">
        <f>MAX(K39,0)*10%</f>
        <v/>
      </c>
      <c r="O39" s="6">
        <f>M39-N39</f>
        <v/>
      </c>
      <c r="R39" s="6">
        <f>O39-N(P39)-N(Q39)</f>
        <v/>
      </c>
    </row>
    <row r="40">
      <c r="A40" s="6" t="n">
        <v>17</v>
      </c>
      <c r="B40" s="6">
        <f>'附表5'!B38</f>
        <v/>
      </c>
      <c r="C40" s="6">
        <f>'附表6'!F33</f>
        <v/>
      </c>
      <c r="D40" s="6">
        <f>'附表5'!E38</f>
        <v/>
      </c>
      <c r="E40" s="6">
        <f>B40-C40-D40</f>
        <v/>
      </c>
      <c r="F40" s="6">
        <f>E40+'附表6'!E33</f>
        <v/>
      </c>
      <c r="G40" s="6">
        <f>F40+'附表6'!C33+'附表6'!D33</f>
        <v/>
      </c>
      <c r="H40" s="6" t="n">
        <v>0</v>
      </c>
      <c r="I40" s="6">
        <f>MAX(E40-H40,0)</f>
        <v/>
      </c>
      <c r="J40" s="6" t="n">
        <v>1182.8</v>
      </c>
      <c r="K40" s="6">
        <f>E40-J40</f>
        <v/>
      </c>
      <c r="L40" s="6">
        <f>R39</f>
        <v/>
      </c>
      <c r="M40" s="6">
        <f>L40+K40</f>
        <v/>
      </c>
      <c r="N40" s="6">
        <f>MAX(K40,0)*10%</f>
        <v/>
      </c>
      <c r="O40" s="6">
        <f>M40-N40</f>
        <v/>
      </c>
      <c r="R40" s="6">
        <f>O40-N(P40)-N(Q40)</f>
        <v/>
      </c>
    </row>
    <row r="41">
      <c r="A41" s="6" t="n">
        <v>18</v>
      </c>
      <c r="B41" s="6">
        <f>'附表5'!B39</f>
        <v/>
      </c>
      <c r="C41" s="6">
        <f>'附表6'!F34</f>
        <v/>
      </c>
      <c r="D41" s="6">
        <f>'附表5'!E39</f>
        <v/>
      </c>
      <c r="E41" s="6">
        <f>B41-C41-D41</f>
        <v/>
      </c>
      <c r="F41" s="6">
        <f>E41+'附表6'!E34</f>
        <v/>
      </c>
      <c r="G41" s="6">
        <f>F41+'附表6'!C34+'附表6'!D34</f>
        <v/>
      </c>
      <c r="H41" s="6" t="n">
        <v>0</v>
      </c>
      <c r="I41" s="6">
        <f>MAX(E41-H41,0)</f>
        <v/>
      </c>
      <c r="J41" s="6" t="n">
        <v>1182.8</v>
      </c>
      <c r="K41" s="6">
        <f>E41-J41</f>
        <v/>
      </c>
      <c r="L41" s="6">
        <f>R40</f>
        <v/>
      </c>
      <c r="M41" s="6">
        <f>L41+K41</f>
        <v/>
      </c>
      <c r="N41" s="6">
        <f>MAX(K41,0)*10%</f>
        <v/>
      </c>
      <c r="O41" s="6">
        <f>M41-N41</f>
        <v/>
      </c>
      <c r="R41" s="6">
        <f>O41-N(P41)-N(Q41)</f>
        <v/>
      </c>
    </row>
    <row r="42">
      <c r="A42" s="6" t="n">
        <v>19</v>
      </c>
      <c r="B42" s="6">
        <f>'附表5'!B40</f>
        <v/>
      </c>
      <c r="C42" s="6">
        <f>'附表6'!F35</f>
        <v/>
      </c>
      <c r="D42" s="6">
        <f>'附表5'!E40</f>
        <v/>
      </c>
      <c r="E42" s="6">
        <f>B42-C42-D42</f>
        <v/>
      </c>
      <c r="F42" s="6">
        <f>E42+'附表6'!E35</f>
        <v/>
      </c>
      <c r="G42" s="6">
        <f>F42+'附表6'!C35+'附表6'!D35</f>
        <v/>
      </c>
      <c r="H42" s="6" t="n">
        <v>0</v>
      </c>
      <c r="I42" s="6">
        <f>MAX(E42-H42,0)</f>
        <v/>
      </c>
      <c r="J42" s="6" t="n">
        <v>1182.8</v>
      </c>
      <c r="K42" s="6">
        <f>E42-J42</f>
        <v/>
      </c>
      <c r="L42" s="6">
        <f>R41</f>
        <v/>
      </c>
      <c r="M42" s="6">
        <f>L42+K42</f>
        <v/>
      </c>
      <c r="N42" s="6">
        <f>MAX(K42,0)*10%</f>
        <v/>
      </c>
      <c r="O42" s="6">
        <f>M42-N42</f>
        <v/>
      </c>
      <c r="R42" s="6">
        <f>O42-N(P42)-N(Q42)</f>
        <v/>
      </c>
    </row>
    <row r="43">
      <c r="A43" s="6" t="n">
        <v>20</v>
      </c>
      <c r="B43" s="6">
        <f>'附表5'!B41</f>
        <v/>
      </c>
      <c r="C43" s="6">
        <f>'附表6'!F36</f>
        <v/>
      </c>
      <c r="D43" s="6">
        <f>'附表5'!E41</f>
        <v/>
      </c>
      <c r="E43" s="6">
        <f>B43-C43-D43</f>
        <v/>
      </c>
      <c r="F43" s="6">
        <f>E43+'附表6'!E36</f>
        <v/>
      </c>
      <c r="G43" s="6">
        <f>F43+'附表6'!C36+'附表6'!D36</f>
        <v/>
      </c>
      <c r="H43" s="6" t="n">
        <v>0</v>
      </c>
      <c r="I43" s="6">
        <f>MAX(E43-H43,0)</f>
        <v/>
      </c>
      <c r="J43" s="6" t="n">
        <v>1182.8</v>
      </c>
      <c r="K43" s="6">
        <f>E43-J43</f>
        <v/>
      </c>
      <c r="L43" s="6">
        <f>R42</f>
        <v/>
      </c>
      <c r="M43" s="6">
        <f>L43+K43</f>
        <v/>
      </c>
      <c r="N43" s="6">
        <f>MAX(K43,0)*10%</f>
        <v/>
      </c>
      <c r="O43" s="6">
        <f>M43-N43</f>
        <v/>
      </c>
      <c r="R43" s="6">
        <f>O43-N(P43)-N(Q43)</f>
        <v/>
      </c>
    </row>
    <row r="44">
      <c r="A44" t="inlineStr">
        <is>
          <t>说明1：structure_gaps: 行业变体未冻结(variant=tourism, model=tourism)</t>
        </is>
      </c>
    </row>
    <row r="45">
      <c r="A45" t="inlineStr">
        <is>
          <t>跨表依赖复核：附表5</t>
        </is>
      </c>
      <c r="B45" s="6">
        <f>'附表5'!A22</f>
        <v/>
      </c>
    </row>
    <row r="46">
      <c r="A46" t="inlineStr">
        <is>
          <t>跨表依赖复核：附表6</t>
        </is>
      </c>
      <c r="B46" s="6">
        <f>'附表6'!A17</f>
        <v/>
      </c>
    </row>
    <row r="47">
      <c r="A47" t="inlineStr">
        <is>
          <t>跨表依赖复核：附表6-2</t>
        </is>
      </c>
      <c r="B47" s="6">
        <f>'附表6-2'!A8</f>
        <v/>
      </c>
    </row>
    <row r="48">
      <c r="A48" t="inlineStr">
        <is>
          <t>跨表依赖复核：附表6-3</t>
        </is>
      </c>
      <c r="B48" s="6">
        <f>'附表6-3'!A8</f>
        <v/>
      </c>
    </row>
  </sheetData>
  <mergeCells count="1"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附表8 还款付息测算表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分年1</t>
        </is>
      </c>
      <c r="E3" s="2" t="inlineStr">
        <is>
          <t>分年2</t>
        </is>
      </c>
      <c r="F3" s="2" t="inlineStr">
        <is>
          <t>分年3</t>
        </is>
      </c>
      <c r="G3" s="2" t="inlineStr">
        <is>
          <t>分年4</t>
        </is>
      </c>
      <c r="H3" s="2" t="inlineStr">
        <is>
          <t>分年5</t>
        </is>
      </c>
      <c r="I3" s="2" t="inlineStr">
        <is>
          <t>分年6</t>
        </is>
      </c>
      <c r="J3" s="2" t="inlineStr">
        <is>
          <t>分年7</t>
        </is>
      </c>
      <c r="K3" s="2" t="inlineStr">
        <is>
          <t>分年8</t>
        </is>
      </c>
      <c r="L3" s="2" t="inlineStr">
        <is>
          <t>分年9</t>
        </is>
      </c>
      <c r="M3" s="2" t="inlineStr">
        <is>
          <t>分年10</t>
        </is>
      </c>
      <c r="N3" s="2" t="inlineStr">
        <is>
          <t>分年11</t>
        </is>
      </c>
      <c r="O3" s="2" t="inlineStr">
        <is>
          <t>分年12</t>
        </is>
      </c>
      <c r="P3" s="2" t="inlineStr">
        <is>
          <t>分年13</t>
        </is>
      </c>
      <c r="Q3" s="2" t="inlineStr">
        <is>
          <t>分年14</t>
        </is>
      </c>
      <c r="R3" s="2" t="inlineStr">
        <is>
          <t>分年15</t>
        </is>
      </c>
      <c r="S3" s="2" t="inlineStr">
        <is>
          <t>分年16</t>
        </is>
      </c>
      <c r="T3" s="2" t="inlineStr">
        <is>
          <t>分年17</t>
        </is>
      </c>
      <c r="U3" s="2" t="inlineStr">
        <is>
          <t>分年18</t>
        </is>
      </c>
      <c r="V3" s="2" t="inlineStr">
        <is>
          <t>分年19</t>
        </is>
      </c>
      <c r="W3" s="2" t="inlineStr">
        <is>
          <t>分年20</t>
        </is>
      </c>
    </row>
    <row r="4">
      <c r="A4" s="3" t="inlineStr">
        <is>
          <t>1</t>
        </is>
      </c>
      <c r="B4" s="3" t="inlineStr">
        <is>
          <t>期初借款余额</t>
        </is>
      </c>
      <c r="C4" s="4">
        <f>W4</f>
        <v/>
      </c>
      <c r="D4" s="4">
        <f>B24</f>
        <v/>
      </c>
      <c r="E4" s="4">
        <f>B25</f>
        <v/>
      </c>
      <c r="F4" s="4">
        <f>B26</f>
        <v/>
      </c>
      <c r="G4" s="4">
        <f>B27</f>
        <v/>
      </c>
      <c r="H4" s="4">
        <f>B28</f>
        <v/>
      </c>
      <c r="I4" s="4">
        <f>B29</f>
        <v/>
      </c>
      <c r="J4" s="4">
        <f>B30</f>
        <v/>
      </c>
      <c r="K4" s="4">
        <f>B31</f>
        <v/>
      </c>
      <c r="L4" s="4">
        <f>B32</f>
        <v/>
      </c>
      <c r="M4" s="4">
        <f>B33</f>
        <v/>
      </c>
      <c r="N4" s="4">
        <f>B34</f>
        <v/>
      </c>
      <c r="O4" s="4">
        <f>B35</f>
        <v/>
      </c>
      <c r="P4" s="4">
        <f>B36</f>
        <v/>
      </c>
      <c r="Q4" s="4">
        <f>B37</f>
        <v/>
      </c>
      <c r="R4" s="4">
        <f>B38</f>
        <v/>
      </c>
      <c r="S4" s="4">
        <f>B39</f>
        <v/>
      </c>
      <c r="T4" s="4">
        <f>B40</f>
        <v/>
      </c>
      <c r="U4" s="4">
        <f>B41</f>
        <v/>
      </c>
      <c r="V4" s="4">
        <f>B42</f>
        <v/>
      </c>
      <c r="W4" s="4">
        <f>B43</f>
        <v/>
      </c>
    </row>
    <row r="5">
      <c r="A5" s="3" t="inlineStr">
        <is>
          <t>2</t>
        </is>
      </c>
      <c r="B5" s="3" t="inlineStr">
        <is>
          <t>本年借款</t>
        </is>
      </c>
      <c r="C5" s="4">
        <f>SUM(D5,E5,F5,G5,H5,I5,J5,K5,L5,M5,N5,O5,P5,Q5,R5,S5,T5,U5,V5,W5)</f>
        <v/>
      </c>
      <c r="D5" s="4">
        <f>C24</f>
        <v/>
      </c>
      <c r="E5" s="4">
        <f>C25</f>
        <v/>
      </c>
      <c r="F5" s="4">
        <f>C26</f>
        <v/>
      </c>
      <c r="G5" s="4">
        <f>C27</f>
        <v/>
      </c>
      <c r="H5" s="4">
        <f>C28</f>
        <v/>
      </c>
      <c r="I5" s="4">
        <f>C29</f>
        <v/>
      </c>
      <c r="J5" s="4">
        <f>C30</f>
        <v/>
      </c>
      <c r="K5" s="4">
        <f>C31</f>
        <v/>
      </c>
      <c r="L5" s="4">
        <f>C32</f>
        <v/>
      </c>
      <c r="M5" s="4">
        <f>C33</f>
        <v/>
      </c>
      <c r="N5" s="4">
        <f>C34</f>
        <v/>
      </c>
      <c r="O5" s="4">
        <f>C35</f>
        <v/>
      </c>
      <c r="P5" s="4">
        <f>C36</f>
        <v/>
      </c>
      <c r="Q5" s="4">
        <f>C37</f>
        <v/>
      </c>
      <c r="R5" s="4">
        <f>C38</f>
        <v/>
      </c>
      <c r="S5" s="4">
        <f>C39</f>
        <v/>
      </c>
      <c r="T5" s="4">
        <f>C40</f>
        <v/>
      </c>
      <c r="U5" s="4">
        <f>C41</f>
        <v/>
      </c>
      <c r="V5" s="4">
        <f>C42</f>
        <v/>
      </c>
      <c r="W5" s="4">
        <f>C43</f>
        <v/>
      </c>
    </row>
    <row r="6">
      <c r="A6" s="3" t="inlineStr">
        <is>
          <t>3</t>
        </is>
      </c>
      <c r="B6" s="3" t="inlineStr">
        <is>
          <t>当期还本付息</t>
        </is>
      </c>
      <c r="C6" s="4">
        <f>SUM(D6,E6,F6,G6,H6,I6,J6,K6,L6,M6,N6,O6,P6,Q6,R6,S6,T6,U6,V6,W6)</f>
        <v/>
      </c>
      <c r="D6" s="4">
        <f>G24</f>
        <v/>
      </c>
      <c r="E6" s="4">
        <f>G25</f>
        <v/>
      </c>
      <c r="F6" s="4">
        <f>G26</f>
        <v/>
      </c>
      <c r="G6" s="4">
        <f>G27</f>
        <v/>
      </c>
      <c r="H6" s="4">
        <f>G28</f>
        <v/>
      </c>
      <c r="I6" s="4">
        <f>G29</f>
        <v/>
      </c>
      <c r="J6" s="4">
        <f>G30</f>
        <v/>
      </c>
      <c r="K6" s="4">
        <f>G31</f>
        <v/>
      </c>
      <c r="L6" s="4">
        <f>G32</f>
        <v/>
      </c>
      <c r="M6" s="4">
        <f>G33</f>
        <v/>
      </c>
      <c r="N6" s="4">
        <f>G34</f>
        <v/>
      </c>
      <c r="O6" s="4">
        <f>G35</f>
        <v/>
      </c>
      <c r="P6" s="4">
        <f>G36</f>
        <v/>
      </c>
      <c r="Q6" s="4">
        <f>G37</f>
        <v/>
      </c>
      <c r="R6" s="4">
        <f>G38</f>
        <v/>
      </c>
      <c r="S6" s="4">
        <f>G39</f>
        <v/>
      </c>
      <c r="T6" s="4">
        <f>G40</f>
        <v/>
      </c>
      <c r="U6" s="4">
        <f>G41</f>
        <v/>
      </c>
      <c r="V6" s="4">
        <f>G42</f>
        <v/>
      </c>
      <c r="W6" s="4">
        <f>G43</f>
        <v/>
      </c>
    </row>
    <row r="7">
      <c r="A7" s="3" t="inlineStr">
        <is>
          <t>3.1</t>
        </is>
      </c>
      <c r="B7" s="3" t="inlineStr">
        <is>
          <t>还本</t>
        </is>
      </c>
      <c r="C7" s="4">
        <f>SUM(D7,E7,F7,G7,H7,I7,J7,K7,L7,M7,N7,O7,P7,Q7,R7,S7,T7,U7,V7,W7)</f>
        <v/>
      </c>
      <c r="D7" s="4">
        <f>E24</f>
        <v/>
      </c>
      <c r="E7" s="4">
        <f>E25</f>
        <v/>
      </c>
      <c r="F7" s="4">
        <f>E26</f>
        <v/>
      </c>
      <c r="G7" s="4">
        <f>E27</f>
        <v/>
      </c>
      <c r="H7" s="4">
        <f>E28</f>
        <v/>
      </c>
      <c r="I7" s="4">
        <f>E29</f>
        <v/>
      </c>
      <c r="J7" s="4">
        <f>E30</f>
        <v/>
      </c>
      <c r="K7" s="4">
        <f>E31</f>
        <v/>
      </c>
      <c r="L7" s="4">
        <f>E32</f>
        <v/>
      </c>
      <c r="M7" s="4">
        <f>E33</f>
        <v/>
      </c>
      <c r="N7" s="4">
        <f>E34</f>
        <v/>
      </c>
      <c r="O7" s="4">
        <f>E35</f>
        <v/>
      </c>
      <c r="P7" s="4">
        <f>E36</f>
        <v/>
      </c>
      <c r="Q7" s="4">
        <f>E37</f>
        <v/>
      </c>
      <c r="R7" s="4">
        <f>E38</f>
        <v/>
      </c>
      <c r="S7" s="4">
        <f>E39</f>
        <v/>
      </c>
      <c r="T7" s="4">
        <f>E40</f>
        <v/>
      </c>
      <c r="U7" s="4">
        <f>E41</f>
        <v/>
      </c>
      <c r="V7" s="4">
        <f>E42</f>
        <v/>
      </c>
      <c r="W7" s="4">
        <f>E43</f>
        <v/>
      </c>
    </row>
    <row r="8">
      <c r="A8" s="3" t="inlineStr">
        <is>
          <t>3.2</t>
        </is>
      </c>
      <c r="B8" s="3" t="inlineStr">
        <is>
          <t>付息</t>
        </is>
      </c>
      <c r="C8" s="4">
        <f>SUM(D8,E8,F8,G8,H8,I8,J8,K8,L8,M8,N8,O8,P8,Q8,R8,S8,T8,U8,V8,W8)</f>
        <v/>
      </c>
      <c r="D8" s="4">
        <f>F24</f>
        <v/>
      </c>
      <c r="E8" s="4">
        <f>F25</f>
        <v/>
      </c>
      <c r="F8" s="4">
        <f>F26</f>
        <v/>
      </c>
      <c r="G8" s="4">
        <f>F27</f>
        <v/>
      </c>
      <c r="H8" s="4">
        <f>F28</f>
        <v/>
      </c>
      <c r="I8" s="4">
        <f>F29</f>
        <v/>
      </c>
      <c r="J8" s="4">
        <f>F30</f>
        <v/>
      </c>
      <c r="K8" s="4">
        <f>F31</f>
        <v/>
      </c>
      <c r="L8" s="4">
        <f>F32</f>
        <v/>
      </c>
      <c r="M8" s="4">
        <f>F33</f>
        <v/>
      </c>
      <c r="N8" s="4">
        <f>F34</f>
        <v/>
      </c>
      <c r="O8" s="4">
        <f>F35</f>
        <v/>
      </c>
      <c r="P8" s="4">
        <f>F36</f>
        <v/>
      </c>
      <c r="Q8" s="4">
        <f>F37</f>
        <v/>
      </c>
      <c r="R8" s="4">
        <f>F38</f>
        <v/>
      </c>
      <c r="S8" s="4">
        <f>F39</f>
        <v/>
      </c>
      <c r="T8" s="4">
        <f>F40</f>
        <v/>
      </c>
      <c r="U8" s="4">
        <f>F41</f>
        <v/>
      </c>
      <c r="V8" s="4">
        <f>F42</f>
        <v/>
      </c>
      <c r="W8" s="4">
        <f>F43</f>
        <v/>
      </c>
    </row>
    <row r="9">
      <c r="A9" s="3" t="inlineStr">
        <is>
          <t>4</t>
        </is>
      </c>
      <c r="B9" s="3" t="inlineStr">
        <is>
          <t>期末借款余额</t>
        </is>
      </c>
      <c r="C9" s="4">
        <f>W9</f>
        <v/>
      </c>
      <c r="D9" s="4">
        <f>H24</f>
        <v/>
      </c>
      <c r="E9" s="4">
        <f>H25</f>
        <v/>
      </c>
      <c r="F9" s="4">
        <f>H26</f>
        <v/>
      </c>
      <c r="G9" s="4">
        <f>H27</f>
        <v/>
      </c>
      <c r="H9" s="4">
        <f>H28</f>
        <v/>
      </c>
      <c r="I9" s="4">
        <f>H29</f>
        <v/>
      </c>
      <c r="J9" s="4">
        <f>H30</f>
        <v/>
      </c>
      <c r="K9" s="4">
        <f>H31</f>
        <v/>
      </c>
      <c r="L9" s="4">
        <f>H32</f>
        <v/>
      </c>
      <c r="M9" s="4">
        <f>H33</f>
        <v/>
      </c>
      <c r="N9" s="4">
        <f>H34</f>
        <v/>
      </c>
      <c r="O9" s="4">
        <f>H35</f>
        <v/>
      </c>
      <c r="P9" s="4">
        <f>H36</f>
        <v/>
      </c>
      <c r="Q9" s="4">
        <f>H37</f>
        <v/>
      </c>
      <c r="R9" s="4">
        <f>H38</f>
        <v/>
      </c>
      <c r="S9" s="4">
        <f>H39</f>
        <v/>
      </c>
      <c r="T9" s="4">
        <f>H40</f>
        <v/>
      </c>
      <c r="U9" s="4">
        <f>H41</f>
        <v/>
      </c>
      <c r="V9" s="4">
        <f>H42</f>
        <v/>
      </c>
      <c r="W9" s="4">
        <f>H43</f>
        <v/>
      </c>
    </row>
    <row r="10">
      <c r="A10" s="3" t="inlineStr">
        <is>
          <t>5</t>
        </is>
      </c>
      <c r="B10" s="3" t="inlineStr">
        <is>
          <t>偿债资金来源（可用）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</row>
    <row r="11">
      <c r="A11" s="3" t="inlineStr">
        <is>
          <t>5.1</t>
        </is>
      </c>
      <c r="B11" s="3" t="inlineStr">
        <is>
          <t>可供投资者分配的利润</t>
        </is>
      </c>
      <c r="C11" s="4">
        <f>SUM(D11,E11,F11,G11,H11,I11,J11,K11,L11,M11,N11,O11,P11,Q11,R11,S11,T11,U11,V11,W11)</f>
        <v/>
      </c>
      <c r="D11" s="4">
        <f>I24</f>
        <v/>
      </c>
      <c r="E11" s="4">
        <f>I25</f>
        <v/>
      </c>
      <c r="F11" s="4">
        <f>I26</f>
        <v/>
      </c>
      <c r="G11" s="4">
        <f>I27</f>
        <v/>
      </c>
      <c r="H11" s="4">
        <f>I28</f>
        <v/>
      </c>
      <c r="I11" s="4">
        <f>I29</f>
        <v/>
      </c>
      <c r="J11" s="4">
        <f>I30</f>
        <v/>
      </c>
      <c r="K11" s="4">
        <f>I31</f>
        <v/>
      </c>
      <c r="L11" s="4">
        <f>I32</f>
        <v/>
      </c>
      <c r="M11" s="4">
        <f>I33</f>
        <v/>
      </c>
      <c r="N11" s="4">
        <f>I34</f>
        <v/>
      </c>
      <c r="O11" s="4">
        <f>I35</f>
        <v/>
      </c>
      <c r="P11" s="4">
        <f>I36</f>
        <v/>
      </c>
      <c r="Q11" s="4">
        <f>I37</f>
        <v/>
      </c>
      <c r="R11" s="4">
        <f>I38</f>
        <v/>
      </c>
      <c r="S11" s="4">
        <f>I39</f>
        <v/>
      </c>
      <c r="T11" s="4">
        <f>I40</f>
        <v/>
      </c>
      <c r="U11" s="4">
        <f>I41</f>
        <v/>
      </c>
      <c r="V11" s="4">
        <f>I42</f>
        <v/>
      </c>
      <c r="W11" s="4">
        <f>I43</f>
        <v/>
      </c>
    </row>
    <row r="12">
      <c r="A12" s="3" t="inlineStr">
        <is>
          <t>5.2</t>
        </is>
      </c>
      <c r="B12" s="3" t="inlineStr">
        <is>
          <t>折旧费</t>
        </is>
      </c>
      <c r="C12" s="4">
        <f>SUM(D12,E12,F12,G12,H12,I12,J12,K12,L12,M12,N12,O12,P12,Q12,R12,S12,T12,U12,V12,W12)</f>
        <v/>
      </c>
      <c r="D12" s="4">
        <f>J24</f>
        <v/>
      </c>
      <c r="E12" s="4">
        <f>J25</f>
        <v/>
      </c>
      <c r="F12" s="4">
        <f>J26</f>
        <v/>
      </c>
      <c r="G12" s="4">
        <f>J27</f>
        <v/>
      </c>
      <c r="H12" s="4">
        <f>J28</f>
        <v/>
      </c>
      <c r="I12" s="4">
        <f>J29</f>
        <v/>
      </c>
      <c r="J12" s="4">
        <f>J30</f>
        <v/>
      </c>
      <c r="K12" s="4">
        <f>J31</f>
        <v/>
      </c>
      <c r="L12" s="4">
        <f>J32</f>
        <v/>
      </c>
      <c r="M12" s="4">
        <f>J33</f>
        <v/>
      </c>
      <c r="N12" s="4">
        <f>J34</f>
        <v/>
      </c>
      <c r="O12" s="4">
        <f>J35</f>
        <v/>
      </c>
      <c r="P12" s="4">
        <f>J36</f>
        <v/>
      </c>
      <c r="Q12" s="4">
        <f>J37</f>
        <v/>
      </c>
      <c r="R12" s="4">
        <f>J38</f>
        <v/>
      </c>
      <c r="S12" s="4">
        <f>J39</f>
        <v/>
      </c>
      <c r="T12" s="4">
        <f>J40</f>
        <v/>
      </c>
      <c r="U12" s="4">
        <f>J41</f>
        <v/>
      </c>
      <c r="V12" s="4">
        <f>J42</f>
        <v/>
      </c>
      <c r="W12" s="4">
        <f>J43</f>
        <v/>
      </c>
    </row>
    <row r="13">
      <c r="A13" s="3" t="inlineStr">
        <is>
          <t>5.3</t>
        </is>
      </c>
      <c r="B13" s="3" t="inlineStr">
        <is>
          <t>摊销费</t>
        </is>
      </c>
      <c r="C13" s="4">
        <f>SUM(D13,E13,F13,G13,H13,I13,J13,K13,L13,M13,N13,O13,P13,Q13,R13,S13,T13,U13,V13,W13)</f>
        <v/>
      </c>
      <c r="D13" s="4">
        <f>K24</f>
        <v/>
      </c>
      <c r="E13" s="4">
        <f>K25</f>
        <v/>
      </c>
      <c r="F13" s="4">
        <f>K26</f>
        <v/>
      </c>
      <c r="G13" s="4">
        <f>K27</f>
        <v/>
      </c>
      <c r="H13" s="4">
        <f>K28</f>
        <v/>
      </c>
      <c r="I13" s="4">
        <f>K29</f>
        <v/>
      </c>
      <c r="J13" s="4">
        <f>K30</f>
        <v/>
      </c>
      <c r="K13" s="4">
        <f>K31</f>
        <v/>
      </c>
      <c r="L13" s="4">
        <f>K32</f>
        <v/>
      </c>
      <c r="M13" s="4">
        <f>K33</f>
        <v/>
      </c>
      <c r="N13" s="4">
        <f>K34</f>
        <v/>
      </c>
      <c r="O13" s="4">
        <f>K35</f>
        <v/>
      </c>
      <c r="P13" s="4">
        <f>K36</f>
        <v/>
      </c>
      <c r="Q13" s="4">
        <f>K37</f>
        <v/>
      </c>
      <c r="R13" s="4">
        <f>K38</f>
        <v/>
      </c>
      <c r="S13" s="4">
        <f>K39</f>
        <v/>
      </c>
      <c r="T13" s="4">
        <f>K40</f>
        <v/>
      </c>
      <c r="U13" s="4">
        <f>K41</f>
        <v/>
      </c>
      <c r="V13" s="4">
        <f>K42</f>
        <v/>
      </c>
      <c r="W13" s="4">
        <f>K43</f>
        <v/>
      </c>
    </row>
    <row r="14">
      <c r="A14" s="3" t="inlineStr">
        <is>
          <t>6</t>
        </is>
      </c>
      <c r="B14" s="3" t="inlineStr">
        <is>
          <t>实际用于偿债的资金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</row>
    <row r="15">
      <c r="A15" s="3" t="inlineStr">
        <is>
          <t>6.1</t>
        </is>
      </c>
      <c r="B15" s="3" t="inlineStr">
        <is>
          <t>实际使用利润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</row>
    <row r="16">
      <c r="A16" s="3" t="inlineStr">
        <is>
          <t>6.2</t>
        </is>
      </c>
      <c r="B16" s="3" t="inlineStr">
        <is>
          <t>实际使用折旧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</row>
    <row r="17">
      <c r="A17" s="3" t="inlineStr">
        <is>
          <t>6.3</t>
        </is>
      </c>
      <c r="B17" s="3" t="inlineStr">
        <is>
          <t>实际使用摊销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</row>
    <row r="18">
      <c r="A18" s="3" t="inlineStr">
        <is>
          <t>7</t>
        </is>
      </c>
      <c r="B18" s="3" t="inlineStr">
        <is>
          <t>偿债后剩余资金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</row>
    <row r="19">
      <c r="A19" s="3" t="inlineStr">
        <is>
          <t>8</t>
        </is>
      </c>
      <c r="B19" s="3" t="inlineStr">
        <is>
          <t>利息备付率（ICR）</t>
        </is>
      </c>
      <c r="C19" s="4">
        <f>W19</f>
        <v/>
      </c>
      <c r="D19" s="4">
        <f>M24</f>
        <v/>
      </c>
      <c r="E19" s="4">
        <f>M25</f>
        <v/>
      </c>
      <c r="F19" s="4">
        <f>M26</f>
        <v/>
      </c>
      <c r="G19" s="4">
        <f>M27</f>
        <v/>
      </c>
      <c r="H19" s="4">
        <f>M28</f>
        <v/>
      </c>
      <c r="I19" s="4">
        <f>M29</f>
        <v/>
      </c>
      <c r="J19" s="4">
        <f>M30</f>
        <v/>
      </c>
      <c r="K19" s="4">
        <f>M31</f>
        <v/>
      </c>
      <c r="L19" s="4">
        <f>M32</f>
        <v/>
      </c>
      <c r="M19" s="4">
        <f>M33</f>
        <v/>
      </c>
      <c r="N19" s="4">
        <f>M34</f>
        <v/>
      </c>
      <c r="O19" s="4">
        <f>M35</f>
        <v/>
      </c>
      <c r="P19" s="4">
        <f>M36</f>
        <v/>
      </c>
      <c r="Q19" s="4">
        <f>M37</f>
        <v/>
      </c>
      <c r="R19" s="4">
        <f>M38</f>
        <v/>
      </c>
      <c r="S19" s="4">
        <f>M39</f>
        <v/>
      </c>
      <c r="T19" s="4">
        <f>M40</f>
        <v/>
      </c>
      <c r="U19" s="4">
        <f>M41</f>
        <v/>
      </c>
      <c r="V19" s="4">
        <f>M42</f>
        <v/>
      </c>
      <c r="W19" s="4">
        <f>M43</f>
        <v/>
      </c>
    </row>
    <row r="20">
      <c r="A20" s="3" t="inlineStr">
        <is>
          <t>9</t>
        </is>
      </c>
      <c r="B20" s="3" t="inlineStr">
        <is>
          <t>偿债备付率（DSCR）</t>
        </is>
      </c>
      <c r="C20" s="4">
        <f>W20</f>
        <v/>
      </c>
      <c r="D20" s="4">
        <f>L24</f>
        <v/>
      </c>
      <c r="E20" s="4">
        <f>L25</f>
        <v/>
      </c>
      <c r="F20" s="4">
        <f>L26</f>
        <v/>
      </c>
      <c r="G20" s="4">
        <f>L27</f>
        <v/>
      </c>
      <c r="H20" s="4">
        <f>L28</f>
        <v/>
      </c>
      <c r="I20" s="4">
        <f>L29</f>
        <v/>
      </c>
      <c r="J20" s="4">
        <f>L30</f>
        <v/>
      </c>
      <c r="K20" s="4">
        <f>L31</f>
        <v/>
      </c>
      <c r="L20" s="4">
        <f>L32</f>
        <v/>
      </c>
      <c r="M20" s="4">
        <f>L33</f>
        <v/>
      </c>
      <c r="N20" s="4">
        <f>L34</f>
        <v/>
      </c>
      <c r="O20" s="4">
        <f>L35</f>
        <v/>
      </c>
      <c r="P20" s="4">
        <f>L36</f>
        <v/>
      </c>
      <c r="Q20" s="4">
        <f>L37</f>
        <v/>
      </c>
      <c r="R20" s="4">
        <f>L38</f>
        <v/>
      </c>
      <c r="S20" s="4">
        <f>L39</f>
        <v/>
      </c>
      <c r="T20" s="4">
        <f>L40</f>
        <v/>
      </c>
      <c r="U20" s="4">
        <f>L41</f>
        <v/>
      </c>
      <c r="V20" s="4">
        <f>L42</f>
        <v/>
      </c>
      <c r="W20" s="4">
        <f>L43</f>
        <v/>
      </c>
    </row>
    <row r="21"/>
    <row r="22">
      <c r="A22" t="inlineStr">
        <is>
          <t>引擎逐年计算区（供公式与跨表追溯）</t>
        </is>
      </c>
    </row>
    <row r="23">
      <c r="A23" s="5" t="inlineStr">
        <is>
          <t>运营年</t>
        </is>
      </c>
      <c r="B23" s="5" t="inlineStr">
        <is>
          <t>期初借款余额</t>
        </is>
      </c>
      <c r="C23" s="5" t="inlineStr">
        <is>
          <t>本年借款</t>
        </is>
      </c>
      <c r="D23" s="5" t="inlineStr">
        <is>
          <t>年利率(%)</t>
        </is>
      </c>
      <c r="E23" s="5" t="inlineStr">
        <is>
          <t>当期还本</t>
        </is>
      </c>
      <c r="F23" s="5" t="inlineStr">
        <is>
          <t>当期付息</t>
        </is>
      </c>
      <c r="G23" s="5" t="inlineStr">
        <is>
          <t>当期还本付息</t>
        </is>
      </c>
      <c r="H23" s="5" t="inlineStr">
        <is>
          <t>期末借款余额</t>
        </is>
      </c>
      <c r="I23" s="5" t="inlineStr">
        <is>
          <t>偿债资金来源-利润</t>
        </is>
      </c>
      <c r="J23" s="5" t="inlineStr">
        <is>
          <t>偿债资金来源-折旧费</t>
        </is>
      </c>
      <c r="K23" s="5" t="inlineStr">
        <is>
          <t>偿债资金来源-摊销费</t>
        </is>
      </c>
      <c r="L23" s="5" t="inlineStr">
        <is>
          <t>偿债备付率(DSCR)</t>
        </is>
      </c>
      <c r="M23" s="5" t="inlineStr">
        <is>
          <t>利息备付率(ICR)</t>
        </is>
      </c>
    </row>
    <row r="24">
      <c r="A24" s="6" t="n">
        <v>1</v>
      </c>
      <c r="B24" s="6" t="n">
        <v>14400</v>
      </c>
      <c r="D24" s="6" t="n">
        <v>0.045</v>
      </c>
      <c r="E24" s="6" t="n">
        <v>1200</v>
      </c>
      <c r="F24" s="6">
        <f>B24*D24</f>
        <v/>
      </c>
      <c r="G24" s="6">
        <f>E24+F24</f>
        <v/>
      </c>
      <c r="H24" s="6">
        <f>MAX(B24-E24,0)</f>
        <v/>
      </c>
      <c r="L24" s="6">
        <f>IF(G24&gt;0,SUM(I24,J24,K24)/G24,"")</f>
        <v/>
      </c>
      <c r="M24" s="6">
        <f>IF(F24&gt;0,'附表7'!F24/F24,"")</f>
        <v/>
      </c>
    </row>
    <row r="25">
      <c r="A25" s="6" t="n">
        <v>2</v>
      </c>
      <c r="B25" s="6">
        <f>H24</f>
        <v/>
      </c>
      <c r="D25" s="6" t="n">
        <v>0.045</v>
      </c>
      <c r="E25" s="6" t="n">
        <v>1200</v>
      </c>
      <c r="F25" s="6">
        <f>B25*D25</f>
        <v/>
      </c>
      <c r="G25" s="6">
        <f>E25+F25</f>
        <v/>
      </c>
      <c r="H25" s="6">
        <f>MAX(B25-E25,0)</f>
        <v/>
      </c>
      <c r="L25" s="6">
        <f>IF(G25&gt;0,SUM(I25,J25,K25)/G25,"")</f>
        <v/>
      </c>
      <c r="M25" s="6">
        <f>IF(F25&gt;0,'附表7'!F25/F25,"")</f>
        <v/>
      </c>
    </row>
    <row r="26">
      <c r="A26" s="6" t="n">
        <v>3</v>
      </c>
      <c r="B26" s="6">
        <f>H25</f>
        <v/>
      </c>
      <c r="D26" s="6" t="n">
        <v>0.045</v>
      </c>
      <c r="E26" s="6" t="n">
        <v>1200</v>
      </c>
      <c r="F26" s="6">
        <f>B26*D26</f>
        <v/>
      </c>
      <c r="G26" s="6">
        <f>E26+F26</f>
        <v/>
      </c>
      <c r="H26" s="6">
        <f>MAX(B26-E26,0)</f>
        <v/>
      </c>
      <c r="L26" s="6">
        <f>IF(G26&gt;0,SUM(I26,J26,K26)/G26,"")</f>
        <v/>
      </c>
      <c r="M26" s="6">
        <f>IF(F26&gt;0,'附表7'!F26/F26,"")</f>
        <v/>
      </c>
    </row>
    <row r="27">
      <c r="A27" s="6" t="n">
        <v>4</v>
      </c>
      <c r="B27" s="6">
        <f>H26</f>
        <v/>
      </c>
      <c r="D27" s="6" t="n">
        <v>0.045</v>
      </c>
      <c r="E27" s="6" t="n">
        <v>1200</v>
      </c>
      <c r="F27" s="6">
        <f>B27*D27</f>
        <v/>
      </c>
      <c r="G27" s="6">
        <f>E27+F27</f>
        <v/>
      </c>
      <c r="H27" s="6">
        <f>MAX(B27-E27,0)</f>
        <v/>
      </c>
      <c r="L27" s="6">
        <f>IF(G27&gt;0,SUM(I27,J27,K27)/G27,"")</f>
        <v/>
      </c>
      <c r="M27" s="6">
        <f>IF(F27&gt;0,'附表7'!F27/F27,"")</f>
        <v/>
      </c>
    </row>
    <row r="28">
      <c r="A28" s="6" t="n">
        <v>5</v>
      </c>
      <c r="B28" s="6">
        <f>H27</f>
        <v/>
      </c>
      <c r="D28" s="6" t="n">
        <v>0.045</v>
      </c>
      <c r="E28" s="6" t="n">
        <v>1200</v>
      </c>
      <c r="F28" s="6">
        <f>B28*D28</f>
        <v/>
      </c>
      <c r="G28" s="6">
        <f>E28+F28</f>
        <v/>
      </c>
      <c r="H28" s="6">
        <f>MAX(B28-E28,0)</f>
        <v/>
      </c>
      <c r="L28" s="6">
        <f>IF(G28&gt;0,SUM(I28,J28,K28)/G28,"")</f>
        <v/>
      </c>
      <c r="M28" s="6">
        <f>IF(F28&gt;0,'附表7'!F28/F28,"")</f>
        <v/>
      </c>
    </row>
    <row r="29">
      <c r="A29" s="6" t="n">
        <v>6</v>
      </c>
      <c r="B29" s="6">
        <f>H28</f>
        <v/>
      </c>
      <c r="D29" s="6" t="n">
        <v>0.045</v>
      </c>
      <c r="E29" s="6" t="n">
        <v>1200</v>
      </c>
      <c r="F29" s="6">
        <f>B29*D29</f>
        <v/>
      </c>
      <c r="G29" s="6">
        <f>E29+F29</f>
        <v/>
      </c>
      <c r="H29" s="6">
        <f>MAX(B29-E29,0)</f>
        <v/>
      </c>
      <c r="L29" s="6">
        <f>IF(G29&gt;0,SUM(I29,J29,K29)/G29,"")</f>
        <v/>
      </c>
      <c r="M29" s="6">
        <f>IF(F29&gt;0,'附表7'!F29/F29,"")</f>
        <v/>
      </c>
    </row>
    <row r="30">
      <c r="A30" s="6" t="n">
        <v>7</v>
      </c>
      <c r="B30" s="6">
        <f>H29</f>
        <v/>
      </c>
      <c r="D30" s="6" t="n">
        <v>0.045</v>
      </c>
      <c r="E30" s="6" t="n">
        <v>1200</v>
      </c>
      <c r="F30" s="6">
        <f>B30*D30</f>
        <v/>
      </c>
      <c r="G30" s="6">
        <f>E30+F30</f>
        <v/>
      </c>
      <c r="H30" s="6">
        <f>MAX(B30-E30,0)</f>
        <v/>
      </c>
      <c r="L30" s="6">
        <f>IF(G30&gt;0,SUM(I30,J30,K30)/G30,"")</f>
        <v/>
      </c>
      <c r="M30" s="6">
        <f>IF(F30&gt;0,'附表7'!F30/F30,"")</f>
        <v/>
      </c>
    </row>
    <row r="31">
      <c r="A31" s="6" t="n">
        <v>8</v>
      </c>
      <c r="B31" s="6">
        <f>H30</f>
        <v/>
      </c>
      <c r="D31" s="6" t="n">
        <v>0.045</v>
      </c>
      <c r="E31" s="6" t="n">
        <v>1200</v>
      </c>
      <c r="F31" s="6">
        <f>B31*D31</f>
        <v/>
      </c>
      <c r="G31" s="6">
        <f>E31+F31</f>
        <v/>
      </c>
      <c r="H31" s="6">
        <f>MAX(B31-E31,0)</f>
        <v/>
      </c>
      <c r="L31" s="6">
        <f>IF(G31&gt;0,SUM(I31,J31,K31)/G31,"")</f>
        <v/>
      </c>
      <c r="M31" s="6">
        <f>IF(F31&gt;0,'附表7'!F31/F31,"")</f>
        <v/>
      </c>
    </row>
    <row r="32">
      <c r="A32" s="6" t="n">
        <v>9</v>
      </c>
      <c r="B32" s="6">
        <f>H31</f>
        <v/>
      </c>
      <c r="D32" s="6" t="n">
        <v>0.045</v>
      </c>
      <c r="E32" s="6" t="n">
        <v>1200</v>
      </c>
      <c r="F32" s="6">
        <f>B32*D32</f>
        <v/>
      </c>
      <c r="G32" s="6">
        <f>E32+F32</f>
        <v/>
      </c>
      <c r="H32" s="6">
        <f>MAX(B32-E32,0)</f>
        <v/>
      </c>
      <c r="L32" s="6">
        <f>IF(G32&gt;0,SUM(I32,J32,K32)/G32,"")</f>
        <v/>
      </c>
      <c r="M32" s="6">
        <f>IF(F32&gt;0,'附表7'!F32/F32,"")</f>
        <v/>
      </c>
    </row>
    <row r="33">
      <c r="A33" s="6" t="n">
        <v>10</v>
      </c>
      <c r="B33" s="6">
        <f>H32</f>
        <v/>
      </c>
      <c r="D33" s="6" t="n">
        <v>0.045</v>
      </c>
      <c r="E33" s="6" t="n">
        <v>1200</v>
      </c>
      <c r="F33" s="6">
        <f>B33*D33</f>
        <v/>
      </c>
      <c r="G33" s="6">
        <f>E33+F33</f>
        <v/>
      </c>
      <c r="H33" s="6">
        <f>MAX(B33-E33,0)</f>
        <v/>
      </c>
      <c r="L33" s="6">
        <f>IF(G33&gt;0,SUM(I33,J33,K33)/G33,"")</f>
        <v/>
      </c>
      <c r="M33" s="6">
        <f>IF(F33&gt;0,'附表7'!F33/F33,"")</f>
        <v/>
      </c>
    </row>
    <row r="34">
      <c r="A34" s="6" t="n">
        <v>11</v>
      </c>
      <c r="B34" s="6">
        <f>H33</f>
        <v/>
      </c>
      <c r="D34" s="6" t="n">
        <v>0.045</v>
      </c>
      <c r="E34" s="6" t="n">
        <v>1200</v>
      </c>
      <c r="F34" s="6">
        <f>B34*D34</f>
        <v/>
      </c>
      <c r="G34" s="6">
        <f>E34+F34</f>
        <v/>
      </c>
      <c r="H34" s="6">
        <f>MAX(B34-E34,0)</f>
        <v/>
      </c>
      <c r="L34" s="6">
        <f>IF(G34&gt;0,SUM(I34,J34,K34)/G34,"")</f>
        <v/>
      </c>
      <c r="M34" s="6">
        <f>IF(F34&gt;0,'附表7'!F34/F34,"")</f>
        <v/>
      </c>
    </row>
    <row r="35">
      <c r="A35" s="6" t="n">
        <v>12</v>
      </c>
      <c r="B35" s="6">
        <f>H34</f>
        <v/>
      </c>
      <c r="D35" s="6" t="n">
        <v>0.045</v>
      </c>
      <c r="E35" s="6" t="n">
        <v>1200</v>
      </c>
      <c r="F35" s="6">
        <f>B35*D35</f>
        <v/>
      </c>
      <c r="G35" s="6">
        <f>E35+F35</f>
        <v/>
      </c>
      <c r="H35" s="6">
        <f>MAX(B35-E35,0)</f>
        <v/>
      </c>
      <c r="L35" s="6">
        <f>IF(G35&gt;0,SUM(I35,J35,K35)/G35,"")</f>
        <v/>
      </c>
      <c r="M35" s="6">
        <f>IF(F35&gt;0,'附表7'!F35/F35,"")</f>
        <v/>
      </c>
    </row>
    <row r="36">
      <c r="A36" s="6" t="n">
        <v>13</v>
      </c>
      <c r="B36" s="6">
        <f>H35</f>
        <v/>
      </c>
      <c r="D36" s="6" t="n">
        <v>0.045</v>
      </c>
      <c r="E36" s="6" t="n">
        <v>0</v>
      </c>
      <c r="F36" s="6">
        <f>B36*D36</f>
        <v/>
      </c>
      <c r="G36" s="6">
        <f>E36+F36</f>
        <v/>
      </c>
      <c r="H36" s="6">
        <f>MAX(B36-E36,0)</f>
        <v/>
      </c>
      <c r="L36">
        <f>IF(G36&gt;0,SUM(I36,J36,K36)/G36,"")</f>
        <v/>
      </c>
      <c r="M36">
        <f>IF(F36&gt;0,'附表7'!F36/F36,"")</f>
        <v/>
      </c>
    </row>
    <row r="37">
      <c r="A37" s="6" t="n">
        <v>14</v>
      </c>
      <c r="B37" s="6">
        <f>H36</f>
        <v/>
      </c>
      <c r="D37" s="6" t="n">
        <v>0.045</v>
      </c>
      <c r="E37" s="6" t="n">
        <v>0</v>
      </c>
      <c r="F37" s="6">
        <f>B37*D37</f>
        <v/>
      </c>
      <c r="G37" s="6">
        <f>E37+F37</f>
        <v/>
      </c>
      <c r="H37" s="6">
        <f>MAX(B37-E37,0)</f>
        <v/>
      </c>
      <c r="L37">
        <f>IF(G37&gt;0,SUM(I37,J37,K37)/G37,"")</f>
        <v/>
      </c>
      <c r="M37">
        <f>IF(F37&gt;0,'附表7'!F37/F37,"")</f>
        <v/>
      </c>
    </row>
    <row r="38">
      <c r="A38" s="6" t="n">
        <v>15</v>
      </c>
      <c r="B38" s="6">
        <f>H37</f>
        <v/>
      </c>
      <c r="D38" s="6" t="n">
        <v>0.045</v>
      </c>
      <c r="E38" s="6" t="n">
        <v>0</v>
      </c>
      <c r="F38" s="6">
        <f>B38*D38</f>
        <v/>
      </c>
      <c r="G38" s="6">
        <f>E38+F38</f>
        <v/>
      </c>
      <c r="H38" s="6">
        <f>MAX(B38-E38,0)</f>
        <v/>
      </c>
      <c r="L38">
        <f>IF(G38&gt;0,SUM(I38,J38,K38)/G38,"")</f>
        <v/>
      </c>
      <c r="M38">
        <f>IF(F38&gt;0,'附表7'!F38/F38,"")</f>
        <v/>
      </c>
    </row>
    <row r="39">
      <c r="A39" s="6" t="n">
        <v>16</v>
      </c>
      <c r="B39" s="6">
        <f>H38</f>
        <v/>
      </c>
      <c r="D39" s="6" t="n">
        <v>0.045</v>
      </c>
      <c r="E39" s="6" t="n">
        <v>0</v>
      </c>
      <c r="F39" s="6">
        <f>B39*D39</f>
        <v/>
      </c>
      <c r="G39" s="6">
        <f>E39+F39</f>
        <v/>
      </c>
      <c r="H39" s="6">
        <f>MAX(B39-E39,0)</f>
        <v/>
      </c>
      <c r="L39">
        <f>IF(G39&gt;0,SUM(I39,J39,K39)/G39,"")</f>
        <v/>
      </c>
      <c r="M39">
        <f>IF(F39&gt;0,'附表7'!F39/F39,"")</f>
        <v/>
      </c>
    </row>
    <row r="40">
      <c r="A40" s="6" t="n">
        <v>17</v>
      </c>
      <c r="B40" s="6">
        <f>H39</f>
        <v/>
      </c>
      <c r="D40" s="6" t="n">
        <v>0.045</v>
      </c>
      <c r="E40" s="6" t="n">
        <v>0</v>
      </c>
      <c r="F40" s="6">
        <f>B40*D40</f>
        <v/>
      </c>
      <c r="G40" s="6">
        <f>E40+F40</f>
        <v/>
      </c>
      <c r="H40" s="6">
        <f>MAX(B40-E40,0)</f>
        <v/>
      </c>
      <c r="L40">
        <f>IF(G40&gt;0,SUM(I40,J40,K40)/G40,"")</f>
        <v/>
      </c>
      <c r="M40">
        <f>IF(F40&gt;0,'附表7'!F40/F40,"")</f>
        <v/>
      </c>
    </row>
    <row r="41">
      <c r="A41" s="6" t="n">
        <v>18</v>
      </c>
      <c r="B41" s="6">
        <f>H40</f>
        <v/>
      </c>
      <c r="D41" s="6" t="n">
        <v>0.045</v>
      </c>
      <c r="E41" s="6" t="n">
        <v>0</v>
      </c>
      <c r="F41" s="6">
        <f>B41*D41</f>
        <v/>
      </c>
      <c r="G41" s="6">
        <f>E41+F41</f>
        <v/>
      </c>
      <c r="H41" s="6">
        <f>MAX(B41-E41,0)</f>
        <v/>
      </c>
      <c r="L41">
        <f>IF(G41&gt;0,SUM(I41,J41,K41)/G41,"")</f>
        <v/>
      </c>
      <c r="M41">
        <f>IF(F41&gt;0,'附表7'!F41/F41,"")</f>
        <v/>
      </c>
    </row>
    <row r="42">
      <c r="A42" s="6" t="n">
        <v>19</v>
      </c>
      <c r="B42" s="6">
        <f>H41</f>
        <v/>
      </c>
      <c r="D42" s="6" t="n">
        <v>0.045</v>
      </c>
      <c r="E42" s="6" t="n">
        <v>0</v>
      </c>
      <c r="F42" s="6">
        <f>B42*D42</f>
        <v/>
      </c>
      <c r="G42" s="6">
        <f>E42+F42</f>
        <v/>
      </c>
      <c r="H42" s="6">
        <f>MAX(B42-E42,0)</f>
        <v/>
      </c>
      <c r="L42">
        <f>IF(G42&gt;0,SUM(I42,J42,K42)/G42,"")</f>
        <v/>
      </c>
      <c r="M42">
        <f>IF(F42&gt;0,'附表7'!F42/F42,"")</f>
        <v/>
      </c>
    </row>
    <row r="43">
      <c r="A43" s="6" t="n">
        <v>20</v>
      </c>
      <c r="B43" s="6">
        <f>H42</f>
        <v/>
      </c>
      <c r="D43" s="6" t="n">
        <v>0.045</v>
      </c>
      <c r="E43" s="6" t="n">
        <v>0</v>
      </c>
      <c r="F43" s="6">
        <f>B43*D43</f>
        <v/>
      </c>
      <c r="G43" s="6">
        <f>E43+F43</f>
        <v/>
      </c>
      <c r="H43" s="6">
        <f>MAX(B43-E43,0)</f>
        <v/>
      </c>
      <c r="L43">
        <f>IF(G43&gt;0,SUM(I43,J43,K43)/G43,"")</f>
        <v/>
      </c>
      <c r="M43">
        <f>IF(F43&gt;0,'附表7'!F43/F43,"")</f>
        <v/>
      </c>
    </row>
    <row r="44">
      <c r="A44" t="inlineStr">
        <is>
          <t>说明1：structure_gaps: 偿债资金来源未绑定 confirmed fact_pack 明细；禁止默认 75% 伪造；偿债资金来源的利润/折旧/摊销年度金额不完整；可用偿债资金合计不足以覆盖各年还本额；偿债来源父子不勾稽：可用/实际/剩余三组父子恒等式失败</t>
        </is>
      </c>
    </row>
    <row r="45">
      <c r="A45" t="inlineStr">
        <is>
          <t>跨表依赖复核：附表2</t>
        </is>
      </c>
      <c r="B45" s="6">
        <f>'附表2'!A14</f>
        <v/>
      </c>
    </row>
    <row r="46">
      <c r="A46" t="inlineStr">
        <is>
          <t>跨表依赖复核：附表6</t>
        </is>
      </c>
      <c r="B46" s="6">
        <f>'附表6'!A17</f>
        <v/>
      </c>
    </row>
    <row r="47">
      <c r="A47" t="inlineStr">
        <is>
          <t>跨表依赖复核：附表7</t>
        </is>
      </c>
      <c r="B47" s="6">
        <f>'附表7'!A24</f>
        <v/>
      </c>
    </row>
  </sheetData>
  <mergeCells count="1"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附表9 项目投资现金流量表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计算期0</t>
        </is>
      </c>
      <c r="E3" s="2" t="inlineStr">
        <is>
          <t>计算期1</t>
        </is>
      </c>
      <c r="F3" s="2" t="inlineStr">
        <is>
          <t>计算期2</t>
        </is>
      </c>
      <c r="G3" s="2" t="inlineStr">
        <is>
          <t>计算期3</t>
        </is>
      </c>
      <c r="H3" s="2" t="inlineStr">
        <is>
          <t>计算期4</t>
        </is>
      </c>
      <c r="I3" s="2" t="inlineStr">
        <is>
          <t>计算期5</t>
        </is>
      </c>
      <c r="J3" s="2" t="inlineStr">
        <is>
          <t>计算期6</t>
        </is>
      </c>
      <c r="K3" s="2" t="inlineStr">
        <is>
          <t>计算期7</t>
        </is>
      </c>
      <c r="L3" s="2" t="inlineStr">
        <is>
          <t>计算期8</t>
        </is>
      </c>
      <c r="M3" s="2" t="inlineStr">
        <is>
          <t>计算期9</t>
        </is>
      </c>
      <c r="N3" s="2" t="inlineStr">
        <is>
          <t>计算期10</t>
        </is>
      </c>
      <c r="O3" s="2" t="inlineStr">
        <is>
          <t>计算期11</t>
        </is>
      </c>
      <c r="P3" s="2" t="inlineStr">
        <is>
          <t>计算期12</t>
        </is>
      </c>
      <c r="Q3" s="2" t="inlineStr">
        <is>
          <t>计算期13</t>
        </is>
      </c>
      <c r="R3" s="2" t="inlineStr">
        <is>
          <t>计算期14</t>
        </is>
      </c>
      <c r="S3" s="2" t="inlineStr">
        <is>
          <t>计算期15</t>
        </is>
      </c>
      <c r="T3" s="2" t="inlineStr">
        <is>
          <t>计算期16</t>
        </is>
      </c>
      <c r="U3" s="2" t="inlineStr">
        <is>
          <t>计算期17</t>
        </is>
      </c>
      <c r="V3" s="2" t="inlineStr">
        <is>
          <t>计算期18</t>
        </is>
      </c>
      <c r="W3" s="2" t="inlineStr">
        <is>
          <t>计算期19</t>
        </is>
      </c>
      <c r="X3" s="2" t="inlineStr">
        <is>
          <t>计算期20</t>
        </is>
      </c>
      <c r="Y3" s="2" t="inlineStr">
        <is>
          <t>计算期21</t>
        </is>
      </c>
    </row>
    <row r="4">
      <c r="A4" s="3" t="inlineStr">
        <is>
          <t>1</t>
        </is>
      </c>
      <c r="B4" s="3" t="inlineStr">
        <is>
          <t>现金流入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" t="inlineStr">
        <is>
          <t>1.1</t>
        </is>
      </c>
      <c r="B5" s="3" t="inlineStr">
        <is>
          <t>营业收入</t>
        </is>
      </c>
      <c r="C5" s="4">
        <f>SUM(D5,E5,F5,G5,H5,I5,J5,K5,L5,M5,N5,O5,P5,Q5,R5,S5,T5,U5,V5,W5,X5,Y5)</f>
        <v/>
      </c>
      <c r="D5" s="4">
        <f>C20</f>
        <v/>
      </c>
      <c r="E5" s="4">
        <f>C21</f>
        <v/>
      </c>
      <c r="F5" s="4">
        <f>C22</f>
        <v/>
      </c>
      <c r="G5" s="4">
        <f>C23</f>
        <v/>
      </c>
      <c r="H5" s="4">
        <f>C24</f>
        <v/>
      </c>
      <c r="I5" s="4">
        <f>C25</f>
        <v/>
      </c>
      <c r="J5" s="4">
        <f>C26</f>
        <v/>
      </c>
      <c r="K5" s="4">
        <f>C27</f>
        <v/>
      </c>
      <c r="L5" s="4">
        <f>C28</f>
        <v/>
      </c>
      <c r="M5" s="4">
        <f>C29</f>
        <v/>
      </c>
      <c r="N5" s="4">
        <f>C30</f>
        <v/>
      </c>
      <c r="O5" s="4">
        <f>C31</f>
        <v/>
      </c>
      <c r="P5" s="4">
        <f>C32</f>
        <v/>
      </c>
      <c r="Q5" s="4">
        <f>C33</f>
        <v/>
      </c>
      <c r="R5" s="4">
        <f>C34</f>
        <v/>
      </c>
      <c r="S5" s="4">
        <f>C35</f>
        <v/>
      </c>
      <c r="T5" s="4">
        <f>C36</f>
        <v/>
      </c>
      <c r="U5" s="4">
        <f>C37</f>
        <v/>
      </c>
      <c r="V5" s="4">
        <f>C38</f>
        <v/>
      </c>
      <c r="W5" s="4">
        <f>C39</f>
        <v/>
      </c>
      <c r="X5" s="4">
        <f>C40</f>
        <v/>
      </c>
      <c r="Y5" s="4">
        <f>C41</f>
        <v/>
      </c>
    </row>
    <row r="6">
      <c r="A6" s="3" t="inlineStr">
        <is>
          <t>1.2</t>
        </is>
      </c>
      <c r="B6" s="3" t="inlineStr">
        <is>
          <t>回收固定资产余值</t>
        </is>
      </c>
      <c r="C6" s="4" t="n">
        <v>7680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7680</v>
      </c>
    </row>
    <row r="7">
      <c r="A7" s="3" t="inlineStr">
        <is>
          <t>1.3</t>
        </is>
      </c>
      <c r="B7" s="3" t="inlineStr">
        <is>
          <t>回收新增流动资金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</row>
    <row r="8">
      <c r="A8" s="3" t="inlineStr">
        <is>
          <t>2</t>
        </is>
      </c>
      <c r="B8" s="3" t="inlineStr">
        <is>
          <t>现金流出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inlineStr">
        <is>
          <t>2.1</t>
        </is>
      </c>
      <c r="B9" s="3" t="inlineStr">
        <is>
          <t>固定资产投资</t>
        </is>
      </c>
      <c r="C9" s="4">
        <f>SUM(D9,E9,F9,G9,H9,I9,J9,K9,L9,M9,N9,O9,P9,Q9,R9,S9,T9,U9,V9,W9,X9,Y9)</f>
        <v/>
      </c>
      <c r="D9" s="4">
        <f>G20</f>
        <v/>
      </c>
      <c r="E9" s="4">
        <f>G21</f>
        <v/>
      </c>
      <c r="F9" s="4">
        <f>G22</f>
        <v/>
      </c>
      <c r="G9" s="4">
        <f>G23</f>
        <v/>
      </c>
      <c r="H9" s="4">
        <f>G24</f>
        <v/>
      </c>
      <c r="I9" s="4">
        <f>G25</f>
        <v/>
      </c>
      <c r="J9" s="4">
        <f>G26</f>
        <v/>
      </c>
      <c r="K9" s="4">
        <f>G27</f>
        <v/>
      </c>
      <c r="L9" s="4">
        <f>G28</f>
        <v/>
      </c>
      <c r="M9" s="4">
        <f>G29</f>
        <v/>
      </c>
      <c r="N9" s="4">
        <f>G30</f>
        <v/>
      </c>
      <c r="O9" s="4">
        <f>G31</f>
        <v/>
      </c>
      <c r="P9" s="4">
        <f>G32</f>
        <v/>
      </c>
      <c r="Q9" s="4">
        <f>G33</f>
        <v/>
      </c>
      <c r="R9" s="4">
        <f>G34</f>
        <v/>
      </c>
      <c r="S9" s="4">
        <f>G35</f>
        <v/>
      </c>
      <c r="T9" s="4">
        <f>G36</f>
        <v/>
      </c>
      <c r="U9" s="4">
        <f>G37</f>
        <v/>
      </c>
      <c r="V9" s="4">
        <f>G38</f>
        <v/>
      </c>
      <c r="W9" s="4">
        <f>G39</f>
        <v/>
      </c>
      <c r="X9" s="4">
        <f>G40</f>
        <v/>
      </c>
      <c r="Y9" s="4">
        <f>G41</f>
        <v/>
      </c>
    </row>
    <row r="10">
      <c r="A10" s="3" t="inlineStr">
        <is>
          <t>2.2</t>
        </is>
      </c>
      <c r="B10" s="3" t="inlineStr">
        <is>
          <t>新增铺底流动资金</t>
        </is>
      </c>
      <c r="C10" s="4">
        <f>SUM(D10,E10,F10,G10,H10,I10,J10,K10,L10,M10,N10,O10,P10,Q10,R10,S10,T10,U10,V10,W10,X10,Y10)</f>
        <v/>
      </c>
      <c r="D10" s="4">
        <f>H20</f>
        <v/>
      </c>
      <c r="E10" s="4">
        <f>H21</f>
        <v/>
      </c>
      <c r="F10" s="4">
        <f>H22</f>
        <v/>
      </c>
      <c r="G10" s="4">
        <f>H23</f>
        <v/>
      </c>
      <c r="H10" s="4">
        <f>H24</f>
        <v/>
      </c>
      <c r="I10" s="4">
        <f>H25</f>
        <v/>
      </c>
      <c r="J10" s="4">
        <f>H26</f>
        <v/>
      </c>
      <c r="K10" s="4">
        <f>H27</f>
        <v/>
      </c>
      <c r="L10" s="4">
        <f>H28</f>
        <v/>
      </c>
      <c r="M10" s="4">
        <f>H29</f>
        <v/>
      </c>
      <c r="N10" s="4">
        <f>H30</f>
        <v/>
      </c>
      <c r="O10" s="4">
        <f>H31</f>
        <v/>
      </c>
      <c r="P10" s="4">
        <f>H32</f>
        <v/>
      </c>
      <c r="Q10" s="4">
        <f>H33</f>
        <v/>
      </c>
      <c r="R10" s="4">
        <f>H34</f>
        <v/>
      </c>
      <c r="S10" s="4">
        <f>H35</f>
        <v/>
      </c>
      <c r="T10" s="4">
        <f>H36</f>
        <v/>
      </c>
      <c r="U10" s="4">
        <f>H37</f>
        <v/>
      </c>
      <c r="V10" s="4">
        <f>H38</f>
        <v/>
      </c>
      <c r="W10" s="4">
        <f>H39</f>
        <v/>
      </c>
      <c r="X10" s="4">
        <f>H40</f>
        <v/>
      </c>
      <c r="Y10" s="4">
        <f>H41</f>
        <v/>
      </c>
    </row>
    <row r="11">
      <c r="A11" s="3" t="inlineStr">
        <is>
          <t>2.3</t>
        </is>
      </c>
      <c r="B11" s="3" t="inlineStr">
        <is>
          <t>经营成本</t>
        </is>
      </c>
      <c r="C11" s="4">
        <f>SUM(D11,E11,F11,G11,H11,I11,J11,K11,L11,M11,N11,O11,P11,Q11,R11,S11,T11,U11,V11,W11,X11,Y11)</f>
        <v/>
      </c>
      <c r="D11" s="4">
        <f>D20</f>
        <v/>
      </c>
      <c r="E11" s="4">
        <f>D21</f>
        <v/>
      </c>
      <c r="F11" s="4">
        <f>D22</f>
        <v/>
      </c>
      <c r="G11" s="4">
        <f>D23</f>
        <v/>
      </c>
      <c r="H11" s="4">
        <f>D24</f>
        <v/>
      </c>
      <c r="I11" s="4">
        <f>D25</f>
        <v/>
      </c>
      <c r="J11" s="4">
        <f>D26</f>
        <v/>
      </c>
      <c r="K11" s="4">
        <f>D27</f>
        <v/>
      </c>
      <c r="L11" s="4">
        <f>D28</f>
        <v/>
      </c>
      <c r="M11" s="4">
        <f>D29</f>
        <v/>
      </c>
      <c r="N11" s="4">
        <f>D30</f>
        <v/>
      </c>
      <c r="O11" s="4">
        <f>D31</f>
        <v/>
      </c>
      <c r="P11" s="4">
        <f>D32</f>
        <v/>
      </c>
      <c r="Q11" s="4">
        <f>D33</f>
        <v/>
      </c>
      <c r="R11" s="4">
        <f>D34</f>
        <v/>
      </c>
      <c r="S11" s="4">
        <f>D35</f>
        <v/>
      </c>
      <c r="T11" s="4">
        <f>D36</f>
        <v/>
      </c>
      <c r="U11" s="4">
        <f>D37</f>
        <v/>
      </c>
      <c r="V11" s="4">
        <f>D38</f>
        <v/>
      </c>
      <c r="W11" s="4">
        <f>D39</f>
        <v/>
      </c>
      <c r="X11" s="4">
        <f>D40</f>
        <v/>
      </c>
      <c r="Y11" s="4">
        <f>D41</f>
        <v/>
      </c>
    </row>
    <row r="12">
      <c r="A12" s="3" t="inlineStr">
        <is>
          <t>2.4</t>
        </is>
      </c>
      <c r="B12" s="3" t="inlineStr">
        <is>
          <t>营业税金及附加</t>
        </is>
      </c>
      <c r="C12" s="4">
        <f>SUM(D12,E12,F12,G12,H12,I12,J12,K12,L12,M12,N12,O12,P12,Q12,R12,S12,T12,U12,V12,W12,X12,Y12)</f>
        <v/>
      </c>
      <c r="D12" s="4">
        <f>E20</f>
        <v/>
      </c>
      <c r="E12" s="4">
        <f>E21</f>
        <v/>
      </c>
      <c r="F12" s="4">
        <f>E22</f>
        <v/>
      </c>
      <c r="G12" s="4">
        <f>E23</f>
        <v/>
      </c>
      <c r="H12" s="4">
        <f>E24</f>
        <v/>
      </c>
      <c r="I12" s="4">
        <f>E25</f>
        <v/>
      </c>
      <c r="J12" s="4">
        <f>E26</f>
        <v/>
      </c>
      <c r="K12" s="4">
        <f>E27</f>
        <v/>
      </c>
      <c r="L12" s="4">
        <f>E28</f>
        <v/>
      </c>
      <c r="M12" s="4">
        <f>E29</f>
        <v/>
      </c>
      <c r="N12" s="4">
        <f>E30</f>
        <v/>
      </c>
      <c r="O12" s="4">
        <f>E31</f>
        <v/>
      </c>
      <c r="P12" s="4">
        <f>E32</f>
        <v/>
      </c>
      <c r="Q12" s="4">
        <f>E33</f>
        <v/>
      </c>
      <c r="R12" s="4">
        <f>E34</f>
        <v/>
      </c>
      <c r="S12" s="4">
        <f>E35</f>
        <v/>
      </c>
      <c r="T12" s="4">
        <f>E36</f>
        <v/>
      </c>
      <c r="U12" s="4">
        <f>E37</f>
        <v/>
      </c>
      <c r="V12" s="4">
        <f>E38</f>
        <v/>
      </c>
      <c r="W12" s="4">
        <f>E39</f>
        <v/>
      </c>
      <c r="X12" s="4">
        <f>E40</f>
        <v/>
      </c>
      <c r="Y12" s="4">
        <f>E41</f>
        <v/>
      </c>
    </row>
    <row r="13">
      <c r="A13" s="3" t="inlineStr">
        <is>
          <t>2.5</t>
        </is>
      </c>
      <c r="B13" s="3" t="inlineStr">
        <is>
          <t>所得税</t>
        </is>
      </c>
      <c r="C13" s="4">
        <f>SUM(D13,E13,F13,G13,H13,I13,J13,K13,L13,M13,N13,O13,P13,Q13,R13,S13,T13,U13,V13,W13,X13,Y13)</f>
        <v/>
      </c>
      <c r="D13" s="4">
        <f>F20</f>
        <v/>
      </c>
      <c r="E13" s="4">
        <f>F21</f>
        <v/>
      </c>
      <c r="F13" s="4">
        <f>F22</f>
        <v/>
      </c>
      <c r="G13" s="4">
        <f>F23</f>
        <v/>
      </c>
      <c r="H13" s="4">
        <f>F24</f>
        <v/>
      </c>
      <c r="I13" s="4">
        <f>F25</f>
        <v/>
      </c>
      <c r="J13" s="4">
        <f>F26</f>
        <v/>
      </c>
      <c r="K13" s="4">
        <f>F27</f>
        <v/>
      </c>
      <c r="L13" s="4">
        <f>F28</f>
        <v/>
      </c>
      <c r="M13" s="4">
        <f>F29</f>
        <v/>
      </c>
      <c r="N13" s="4">
        <f>F30</f>
        <v/>
      </c>
      <c r="O13" s="4">
        <f>F31</f>
        <v/>
      </c>
      <c r="P13" s="4">
        <f>F32</f>
        <v/>
      </c>
      <c r="Q13" s="4">
        <f>F33</f>
        <v/>
      </c>
      <c r="R13" s="4">
        <f>F34</f>
        <v/>
      </c>
      <c r="S13" s="4">
        <f>F35</f>
        <v/>
      </c>
      <c r="T13" s="4">
        <f>F36</f>
        <v/>
      </c>
      <c r="U13" s="4">
        <f>F37</f>
        <v/>
      </c>
      <c r="V13" s="4">
        <f>F38</f>
        <v/>
      </c>
      <c r="W13" s="4">
        <f>F39</f>
        <v/>
      </c>
      <c r="X13" s="4">
        <f>F40</f>
        <v/>
      </c>
      <c r="Y13" s="4">
        <f>F41</f>
        <v/>
      </c>
    </row>
    <row r="14">
      <c r="A14" s="3" t="inlineStr">
        <is>
          <t>3</t>
        </is>
      </c>
      <c r="B14" s="3" t="inlineStr">
        <is>
          <t>所得税前净现金流量</t>
        </is>
      </c>
      <c r="C14" s="4" t="n">
        <v>88973.77</v>
      </c>
      <c r="D14" s="4" t="n">
        <v>-16000</v>
      </c>
      <c r="E14" s="4" t="n">
        <v>-16000</v>
      </c>
      <c r="F14" s="4" t="n">
        <v>2973.59</v>
      </c>
      <c r="G14" s="4" t="n">
        <v>4163.02</v>
      </c>
      <c r="H14" s="4" t="n">
        <v>5055.1</v>
      </c>
      <c r="I14" s="4" t="n">
        <v>5947.18</v>
      </c>
      <c r="J14" s="4" t="n">
        <v>5947.18</v>
      </c>
      <c r="K14" s="4" t="n">
        <v>5947.18</v>
      </c>
      <c r="L14" s="4" t="n">
        <v>5947.18</v>
      </c>
      <c r="M14" s="4" t="n">
        <v>5947.18</v>
      </c>
      <c r="N14" s="4" t="n">
        <v>5947.18</v>
      </c>
      <c r="O14" s="4" t="n">
        <v>5947.18</v>
      </c>
      <c r="P14" s="4" t="n">
        <v>5947.18</v>
      </c>
      <c r="Q14" s="4" t="n">
        <v>5947.18</v>
      </c>
      <c r="R14" s="4" t="n">
        <v>5947.18</v>
      </c>
      <c r="S14" s="4" t="n">
        <v>5947.18</v>
      </c>
      <c r="T14" s="4" t="n">
        <v>5947.18</v>
      </c>
      <c r="U14" s="4" t="n">
        <v>5947.18</v>
      </c>
      <c r="V14" s="4" t="n">
        <v>5947.18</v>
      </c>
      <c r="W14" s="4" t="n">
        <v>5947.18</v>
      </c>
      <c r="X14" s="4" t="n">
        <v>5947.18</v>
      </c>
      <c r="Y14" s="4" t="n">
        <v>13627.18</v>
      </c>
    </row>
    <row r="15">
      <c r="A15" s="3" t="inlineStr">
        <is>
          <t>4</t>
        </is>
      </c>
      <c r="B15" s="3" t="inlineStr">
        <is>
          <t>所得税后净现金流量</t>
        </is>
      </c>
      <c r="C15" s="4">
        <f>SUM(D15,E15,F15,G15,H15,I15,J15,K15,L15,M15,N15,O15,P15,Q15,R15,S15,T15,U15,V15,W15,X15,Y15)</f>
        <v/>
      </c>
      <c r="D15" s="4">
        <f>J20</f>
        <v/>
      </c>
      <c r="E15" s="4">
        <f>J21</f>
        <v/>
      </c>
      <c r="F15" s="4">
        <f>J22</f>
        <v/>
      </c>
      <c r="G15" s="4">
        <f>J23</f>
        <v/>
      </c>
      <c r="H15" s="4">
        <f>J24</f>
        <v/>
      </c>
      <c r="I15" s="4">
        <f>J25</f>
        <v/>
      </c>
      <c r="J15" s="4">
        <f>J26</f>
        <v/>
      </c>
      <c r="K15" s="4">
        <f>J27</f>
        <v/>
      </c>
      <c r="L15" s="4">
        <f>J28</f>
        <v/>
      </c>
      <c r="M15" s="4">
        <f>J29</f>
        <v/>
      </c>
      <c r="N15" s="4">
        <f>J30</f>
        <v/>
      </c>
      <c r="O15" s="4">
        <f>J31</f>
        <v/>
      </c>
      <c r="P15" s="4">
        <f>J32</f>
        <v/>
      </c>
      <c r="Q15" s="4">
        <f>J33</f>
        <v/>
      </c>
      <c r="R15" s="4">
        <f>J34</f>
        <v/>
      </c>
      <c r="S15" s="4">
        <f>J35</f>
        <v/>
      </c>
      <c r="T15" s="4">
        <f>J36</f>
        <v/>
      </c>
      <c r="U15" s="4">
        <f>J37</f>
        <v/>
      </c>
      <c r="V15" s="4">
        <f>J38</f>
        <v/>
      </c>
      <c r="W15" s="4">
        <f>J39</f>
        <v/>
      </c>
      <c r="X15" s="4">
        <f>J40</f>
        <v/>
      </c>
      <c r="Y15" s="4">
        <f>J41</f>
        <v/>
      </c>
    </row>
    <row r="16">
      <c r="A16" s="3" t="inlineStr">
        <is>
          <t>5</t>
        </is>
      </c>
      <c r="B16" s="3" t="inlineStr">
        <is>
          <t>累计所得税后净现金流量</t>
        </is>
      </c>
      <c r="C16" s="4">
        <f>Y16</f>
        <v/>
      </c>
      <c r="D16" s="4">
        <f>K20</f>
        <v/>
      </c>
      <c r="E16" s="4">
        <f>K21</f>
        <v/>
      </c>
      <c r="F16" s="4">
        <f>K22</f>
        <v/>
      </c>
      <c r="G16" s="4">
        <f>K23</f>
        <v/>
      </c>
      <c r="H16" s="4">
        <f>K24</f>
        <v/>
      </c>
      <c r="I16" s="4">
        <f>K25</f>
        <v/>
      </c>
      <c r="J16" s="4">
        <f>K26</f>
        <v/>
      </c>
      <c r="K16" s="4">
        <f>K27</f>
        <v/>
      </c>
      <c r="L16" s="4">
        <f>K28</f>
        <v/>
      </c>
      <c r="M16" s="4">
        <f>K29</f>
        <v/>
      </c>
      <c r="N16" s="4">
        <f>K30</f>
        <v/>
      </c>
      <c r="O16" s="4">
        <f>K31</f>
        <v/>
      </c>
      <c r="P16" s="4">
        <f>K32</f>
        <v/>
      </c>
      <c r="Q16" s="4">
        <f>K33</f>
        <v/>
      </c>
      <c r="R16" s="4">
        <f>K34</f>
        <v/>
      </c>
      <c r="S16" s="4">
        <f>K35</f>
        <v/>
      </c>
      <c r="T16" s="4">
        <f>K36</f>
        <v/>
      </c>
      <c r="U16" s="4">
        <f>K37</f>
        <v/>
      </c>
      <c r="V16" s="4">
        <f>K38</f>
        <v/>
      </c>
      <c r="W16" s="4">
        <f>K39</f>
        <v/>
      </c>
      <c r="X16" s="4">
        <f>K40</f>
        <v/>
      </c>
      <c r="Y16" s="4">
        <f>K41</f>
        <v/>
      </c>
    </row>
    <row r="17"/>
    <row r="18">
      <c r="A18" t="inlineStr">
        <is>
          <t>引擎逐年计算区（供公式与跨表追溯）</t>
        </is>
      </c>
    </row>
    <row r="19">
      <c r="A19" s="5" t="inlineStr">
        <is>
          <t>计算期(年)</t>
        </is>
      </c>
      <c r="B19" s="5" t="inlineStr">
        <is>
          <t>阶段</t>
        </is>
      </c>
      <c r="C19" s="5" t="inlineStr">
        <is>
          <t>营业收入</t>
        </is>
      </c>
      <c r="D19" s="5" t="inlineStr">
        <is>
          <t>经营成本</t>
        </is>
      </c>
      <c r="E19" s="5" t="inlineStr">
        <is>
          <t>税金及附加</t>
        </is>
      </c>
      <c r="F19" s="5" t="inlineStr">
        <is>
          <t>调整所得税</t>
        </is>
      </c>
      <c r="G19" s="5" t="inlineStr">
        <is>
          <t>建设投资(含建设期利息)</t>
        </is>
      </c>
      <c r="H19" s="5" t="inlineStr">
        <is>
          <t>流动资金增加</t>
        </is>
      </c>
      <c r="I19" s="5" t="inlineStr">
        <is>
          <t>回收(流资+余值)</t>
        </is>
      </c>
      <c r="J19" s="5" t="inlineStr">
        <is>
          <t>净现金流</t>
        </is>
      </c>
      <c r="K19" s="5" t="inlineStr">
        <is>
          <t>累计净现金流</t>
        </is>
      </c>
    </row>
    <row r="20">
      <c r="A20" s="6" t="n">
        <v>0</v>
      </c>
      <c r="B20" t="inlineStr">
        <is>
          <t>建设期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>
        <f>SUM('附表1'!J4,'附表1'!J16,'附表1'!J22)*0.5</f>
        <v/>
      </c>
      <c r="H20" s="6" t="n">
        <v>0</v>
      </c>
      <c r="I20" s="6" t="n">
        <v>0</v>
      </c>
      <c r="J20" s="6" t="n">
        <v>-16000</v>
      </c>
      <c r="K20" s="6" t="n">
        <v>-16000</v>
      </c>
    </row>
    <row r="21">
      <c r="A21" s="6" t="n">
        <v>1</v>
      </c>
      <c r="B21" t="inlineStr">
        <is>
          <t>建设期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>
        <f>SUM('附表1'!J4,'附表1'!J16,'附表1'!J22)*0.5</f>
        <v/>
      </c>
      <c r="H21" s="6" t="n">
        <v>0</v>
      </c>
      <c r="I21" s="6" t="n">
        <v>0</v>
      </c>
      <c r="J21" s="6" t="n">
        <v>-16000</v>
      </c>
      <c r="K21" s="6" t="n">
        <v>-32000</v>
      </c>
    </row>
    <row r="22">
      <c r="A22" s="6" t="n">
        <v>2</v>
      </c>
      <c r="B22" t="inlineStr">
        <is>
          <t>运营期</t>
        </is>
      </c>
      <c r="C22" s="6">
        <f>'附表5'!B22</f>
        <v/>
      </c>
      <c r="D22" s="6">
        <f>'附表6'!B17</f>
        <v/>
      </c>
      <c r="E22" s="6">
        <f>'附表5'!E22</f>
        <v/>
      </c>
      <c r="F22" s="6">
        <f>'附表5'!I22</f>
        <v/>
      </c>
      <c r="G22" s="6" t="n">
        <v>0</v>
      </c>
      <c r="H22" s="6">
        <f>'附表3'!B4</f>
        <v/>
      </c>
      <c r="I22" s="6" t="n">
        <v>0</v>
      </c>
      <c r="J22" s="6">
        <f>C22-D22-E22-F22-G22-H22+I22</f>
        <v/>
      </c>
      <c r="K22" s="6">
        <f>K21+J22</f>
        <v/>
      </c>
    </row>
    <row r="23">
      <c r="A23" s="6" t="n">
        <v>3</v>
      </c>
      <c r="B23" t="inlineStr">
        <is>
          <t>运营期</t>
        </is>
      </c>
      <c r="C23" s="6">
        <f>'附表5'!B23</f>
        <v/>
      </c>
      <c r="D23" s="6">
        <f>'附表6'!B18</f>
        <v/>
      </c>
      <c r="E23" s="6">
        <f>'附表5'!E23</f>
        <v/>
      </c>
      <c r="F23" s="6">
        <f>'附表5'!I23</f>
        <v/>
      </c>
      <c r="G23" s="6" t="n">
        <v>0</v>
      </c>
      <c r="H23" s="6" t="n">
        <v>0</v>
      </c>
      <c r="I23" s="6" t="n">
        <v>0</v>
      </c>
      <c r="J23" s="6">
        <f>C23-D23-E23-F23-G23-H23+I23</f>
        <v/>
      </c>
      <c r="K23" s="6">
        <f>K22+J23</f>
        <v/>
      </c>
    </row>
    <row r="24">
      <c r="A24" s="6" t="n">
        <v>4</v>
      </c>
      <c r="B24" t="inlineStr">
        <is>
          <t>运营期</t>
        </is>
      </c>
      <c r="C24" s="6">
        <f>'附表5'!B24</f>
        <v/>
      </c>
      <c r="D24" s="6">
        <f>'附表6'!B19</f>
        <v/>
      </c>
      <c r="E24" s="6">
        <f>'附表5'!E24</f>
        <v/>
      </c>
      <c r="F24" s="6">
        <f>'附表5'!I24</f>
        <v/>
      </c>
      <c r="G24" s="6" t="n">
        <v>0</v>
      </c>
      <c r="H24" s="6" t="n">
        <v>0</v>
      </c>
      <c r="I24" s="6" t="n">
        <v>0</v>
      </c>
      <c r="J24" s="6">
        <f>C24-D24-E24-F24-G24-H24+I24</f>
        <v/>
      </c>
      <c r="K24" s="6">
        <f>K23+J24</f>
        <v/>
      </c>
    </row>
    <row r="25">
      <c r="A25" s="6" t="n">
        <v>5</v>
      </c>
      <c r="B25" t="inlineStr">
        <is>
          <t>运营期</t>
        </is>
      </c>
      <c r="C25" s="6">
        <f>'附表5'!B25</f>
        <v/>
      </c>
      <c r="D25" s="6">
        <f>'附表6'!B20</f>
        <v/>
      </c>
      <c r="E25" s="6">
        <f>'附表5'!E25</f>
        <v/>
      </c>
      <c r="F25" s="6">
        <f>'附表5'!I25</f>
        <v/>
      </c>
      <c r="G25" s="6" t="n">
        <v>0</v>
      </c>
      <c r="H25" s="6" t="n">
        <v>0</v>
      </c>
      <c r="I25" s="6" t="n">
        <v>0</v>
      </c>
      <c r="J25" s="6">
        <f>C25-D25-E25-F25-G25-H25+I25</f>
        <v/>
      </c>
      <c r="K25" s="6">
        <f>K24+J25</f>
        <v/>
      </c>
    </row>
    <row r="26">
      <c r="A26" s="6" t="n">
        <v>6</v>
      </c>
      <c r="B26" t="inlineStr">
        <is>
          <t>运营期</t>
        </is>
      </c>
      <c r="C26" s="6">
        <f>'附表5'!B26</f>
        <v/>
      </c>
      <c r="D26" s="6">
        <f>'附表6'!B21</f>
        <v/>
      </c>
      <c r="E26" s="6">
        <f>'附表5'!E26</f>
        <v/>
      </c>
      <c r="F26" s="6">
        <f>'附表5'!I26</f>
        <v/>
      </c>
      <c r="G26" s="6" t="n">
        <v>0</v>
      </c>
      <c r="H26" s="6" t="n">
        <v>0</v>
      </c>
      <c r="I26" s="6" t="n">
        <v>0</v>
      </c>
      <c r="J26" s="6">
        <f>C26-D26-E26-F26-G26-H26+I26</f>
        <v/>
      </c>
      <c r="K26" s="6">
        <f>K25+J26</f>
        <v/>
      </c>
    </row>
    <row r="27">
      <c r="A27" s="6" t="n">
        <v>7</v>
      </c>
      <c r="B27" t="inlineStr">
        <is>
          <t>运营期</t>
        </is>
      </c>
      <c r="C27" s="6">
        <f>'附表5'!B27</f>
        <v/>
      </c>
      <c r="D27" s="6">
        <f>'附表6'!B22</f>
        <v/>
      </c>
      <c r="E27" s="6">
        <f>'附表5'!E27</f>
        <v/>
      </c>
      <c r="F27" s="6">
        <f>'附表5'!I27</f>
        <v/>
      </c>
      <c r="G27" s="6" t="n">
        <v>0</v>
      </c>
      <c r="H27" s="6" t="n">
        <v>0</v>
      </c>
      <c r="I27" s="6" t="n">
        <v>0</v>
      </c>
      <c r="J27" s="6">
        <f>C27-D27-E27-F27-G27-H27+I27</f>
        <v/>
      </c>
      <c r="K27" s="6">
        <f>K26+J27</f>
        <v/>
      </c>
    </row>
    <row r="28">
      <c r="A28" s="6" t="n">
        <v>8</v>
      </c>
      <c r="B28" t="inlineStr">
        <is>
          <t>运营期</t>
        </is>
      </c>
      <c r="C28" s="6">
        <f>'附表5'!B28</f>
        <v/>
      </c>
      <c r="D28" s="6">
        <f>'附表6'!B23</f>
        <v/>
      </c>
      <c r="E28" s="6">
        <f>'附表5'!E28</f>
        <v/>
      </c>
      <c r="F28" s="6">
        <f>'附表5'!I28</f>
        <v/>
      </c>
      <c r="G28" s="6" t="n">
        <v>0</v>
      </c>
      <c r="H28" s="6" t="n">
        <v>0</v>
      </c>
      <c r="I28" s="6" t="n">
        <v>0</v>
      </c>
      <c r="J28" s="6">
        <f>C28-D28-E28-F28-G28-H28+I28</f>
        <v/>
      </c>
      <c r="K28" s="6">
        <f>K27+J28</f>
        <v/>
      </c>
    </row>
    <row r="29">
      <c r="A29" s="6" t="n">
        <v>9</v>
      </c>
      <c r="B29" t="inlineStr">
        <is>
          <t>运营期</t>
        </is>
      </c>
      <c r="C29" s="6">
        <f>'附表5'!B29</f>
        <v/>
      </c>
      <c r="D29" s="6">
        <f>'附表6'!B24</f>
        <v/>
      </c>
      <c r="E29" s="6">
        <f>'附表5'!E29</f>
        <v/>
      </c>
      <c r="F29" s="6">
        <f>'附表5'!I29</f>
        <v/>
      </c>
      <c r="G29" s="6" t="n">
        <v>0</v>
      </c>
      <c r="H29" s="6" t="n">
        <v>0</v>
      </c>
      <c r="I29" s="6" t="n">
        <v>0</v>
      </c>
      <c r="J29" s="6">
        <f>C29-D29-E29-F29-G29-H29+I29</f>
        <v/>
      </c>
      <c r="K29" s="6">
        <f>K28+J29</f>
        <v/>
      </c>
    </row>
    <row r="30">
      <c r="A30" s="6" t="n">
        <v>10</v>
      </c>
      <c r="B30" t="inlineStr">
        <is>
          <t>运营期</t>
        </is>
      </c>
      <c r="C30" s="6">
        <f>'附表5'!B30</f>
        <v/>
      </c>
      <c r="D30" s="6">
        <f>'附表6'!B25</f>
        <v/>
      </c>
      <c r="E30" s="6">
        <f>'附表5'!E30</f>
        <v/>
      </c>
      <c r="F30" s="6">
        <f>'附表5'!I30</f>
        <v/>
      </c>
      <c r="G30" s="6" t="n">
        <v>0</v>
      </c>
      <c r="H30" s="6" t="n">
        <v>0</v>
      </c>
      <c r="I30" s="6" t="n">
        <v>0</v>
      </c>
      <c r="J30" s="6">
        <f>C30-D30-E30-F30-G30-H30+I30</f>
        <v/>
      </c>
      <c r="K30" s="6">
        <f>K29+J30</f>
        <v/>
      </c>
    </row>
    <row r="31">
      <c r="A31" s="6" t="n">
        <v>11</v>
      </c>
      <c r="B31" t="inlineStr">
        <is>
          <t>运营期</t>
        </is>
      </c>
      <c r="C31" s="6">
        <f>'附表5'!B31</f>
        <v/>
      </c>
      <c r="D31" s="6">
        <f>'附表6'!B26</f>
        <v/>
      </c>
      <c r="E31" s="6">
        <f>'附表5'!E31</f>
        <v/>
      </c>
      <c r="F31" s="6">
        <f>'附表5'!I31</f>
        <v/>
      </c>
      <c r="G31" s="6" t="n">
        <v>0</v>
      </c>
      <c r="H31" s="6" t="n">
        <v>0</v>
      </c>
      <c r="I31" s="6" t="n">
        <v>0</v>
      </c>
      <c r="J31" s="6">
        <f>C31-D31-E31-F31-G31-H31+I31</f>
        <v/>
      </c>
      <c r="K31" s="6">
        <f>K30+J31</f>
        <v/>
      </c>
    </row>
    <row r="32">
      <c r="A32" s="6" t="n">
        <v>12</v>
      </c>
      <c r="B32" t="inlineStr">
        <is>
          <t>运营期</t>
        </is>
      </c>
      <c r="C32" s="6">
        <f>'附表5'!B32</f>
        <v/>
      </c>
      <c r="D32" s="6">
        <f>'附表6'!B27</f>
        <v/>
      </c>
      <c r="E32" s="6">
        <f>'附表5'!E32</f>
        <v/>
      </c>
      <c r="F32" s="6">
        <f>'附表5'!I32</f>
        <v/>
      </c>
      <c r="G32" s="6" t="n">
        <v>0</v>
      </c>
      <c r="H32" s="6" t="n">
        <v>0</v>
      </c>
      <c r="I32" s="6" t="n">
        <v>0</v>
      </c>
      <c r="J32" s="6">
        <f>C32-D32-E32-F32-G32-H32+I32</f>
        <v/>
      </c>
      <c r="K32" s="6">
        <f>K31+J32</f>
        <v/>
      </c>
    </row>
    <row r="33">
      <c r="A33" s="6" t="n">
        <v>13</v>
      </c>
      <c r="B33" t="inlineStr">
        <is>
          <t>运营期</t>
        </is>
      </c>
      <c r="C33" s="6">
        <f>'附表5'!B33</f>
        <v/>
      </c>
      <c r="D33" s="6">
        <f>'附表6'!B28</f>
        <v/>
      </c>
      <c r="E33" s="6">
        <f>'附表5'!E33</f>
        <v/>
      </c>
      <c r="F33" s="6">
        <f>'附表5'!I33</f>
        <v/>
      </c>
      <c r="G33" s="6" t="n">
        <v>0</v>
      </c>
      <c r="H33" s="6" t="n">
        <v>0</v>
      </c>
      <c r="I33" s="6" t="n">
        <v>0</v>
      </c>
      <c r="J33" s="6">
        <f>C33-D33-E33-F33-G33-H33+I33</f>
        <v/>
      </c>
      <c r="K33" s="6">
        <f>K32+J33</f>
        <v/>
      </c>
    </row>
    <row r="34">
      <c r="A34" s="6" t="n">
        <v>14</v>
      </c>
      <c r="B34" t="inlineStr">
        <is>
          <t>运营期</t>
        </is>
      </c>
      <c r="C34" s="6">
        <f>'附表5'!B34</f>
        <v/>
      </c>
      <c r="D34" s="6">
        <f>'附表6'!B29</f>
        <v/>
      </c>
      <c r="E34" s="6">
        <f>'附表5'!E34</f>
        <v/>
      </c>
      <c r="F34" s="6">
        <f>'附表5'!I34</f>
        <v/>
      </c>
      <c r="G34" s="6" t="n">
        <v>0</v>
      </c>
      <c r="H34" s="6" t="n">
        <v>0</v>
      </c>
      <c r="I34" s="6" t="n">
        <v>0</v>
      </c>
      <c r="J34" s="6">
        <f>C34-D34-E34-F34-G34-H34+I34</f>
        <v/>
      </c>
      <c r="K34" s="6">
        <f>K33+J34</f>
        <v/>
      </c>
    </row>
    <row r="35">
      <c r="A35" s="6" t="n">
        <v>15</v>
      </c>
      <c r="B35" t="inlineStr">
        <is>
          <t>运营期</t>
        </is>
      </c>
      <c r="C35" s="6">
        <f>'附表5'!B35</f>
        <v/>
      </c>
      <c r="D35" s="6">
        <f>'附表6'!B30</f>
        <v/>
      </c>
      <c r="E35" s="6">
        <f>'附表5'!E35</f>
        <v/>
      </c>
      <c r="F35" s="6">
        <f>'附表5'!I35</f>
        <v/>
      </c>
      <c r="G35" s="6" t="n">
        <v>0</v>
      </c>
      <c r="H35" s="6" t="n">
        <v>0</v>
      </c>
      <c r="I35" s="6" t="n">
        <v>0</v>
      </c>
      <c r="J35" s="6">
        <f>C35-D35-E35-F35-G35-H35+I35</f>
        <v/>
      </c>
      <c r="K35" s="6">
        <f>K34+J35</f>
        <v/>
      </c>
    </row>
    <row r="36">
      <c r="A36" s="6" t="n">
        <v>16</v>
      </c>
      <c r="B36" t="inlineStr">
        <is>
          <t>运营期</t>
        </is>
      </c>
      <c r="C36" s="6">
        <f>'附表5'!B36</f>
        <v/>
      </c>
      <c r="D36" s="6">
        <f>'附表6'!B31</f>
        <v/>
      </c>
      <c r="E36" s="6">
        <f>'附表5'!E36</f>
        <v/>
      </c>
      <c r="F36" s="6">
        <f>'附表5'!I36</f>
        <v/>
      </c>
      <c r="G36" s="6" t="n">
        <v>0</v>
      </c>
      <c r="H36" s="6" t="n">
        <v>0</v>
      </c>
      <c r="I36" s="6" t="n">
        <v>0</v>
      </c>
      <c r="J36" s="6">
        <f>C36-D36-E36-F36-G36-H36+I36</f>
        <v/>
      </c>
      <c r="K36" s="6">
        <f>K35+J36</f>
        <v/>
      </c>
    </row>
    <row r="37">
      <c r="A37" s="6" t="n">
        <v>17</v>
      </c>
      <c r="B37" t="inlineStr">
        <is>
          <t>运营期</t>
        </is>
      </c>
      <c r="C37" s="6">
        <f>'附表5'!B37</f>
        <v/>
      </c>
      <c r="D37" s="6">
        <f>'附表6'!B32</f>
        <v/>
      </c>
      <c r="E37" s="6">
        <f>'附表5'!E37</f>
        <v/>
      </c>
      <c r="F37" s="6">
        <f>'附表5'!I37</f>
        <v/>
      </c>
      <c r="G37" s="6" t="n">
        <v>0</v>
      </c>
      <c r="H37" s="6" t="n">
        <v>0</v>
      </c>
      <c r="I37" s="6" t="n">
        <v>0</v>
      </c>
      <c r="J37" s="6">
        <f>C37-D37-E37-F37-G37-H37+I37</f>
        <v/>
      </c>
      <c r="K37" s="6">
        <f>K36+J37</f>
        <v/>
      </c>
    </row>
    <row r="38">
      <c r="A38" s="6" t="n">
        <v>18</v>
      </c>
      <c r="B38" t="inlineStr">
        <is>
          <t>运营期</t>
        </is>
      </c>
      <c r="C38" s="6">
        <f>'附表5'!B38</f>
        <v/>
      </c>
      <c r="D38" s="6">
        <f>'附表6'!B33</f>
        <v/>
      </c>
      <c r="E38" s="6">
        <f>'附表5'!E38</f>
        <v/>
      </c>
      <c r="F38" s="6">
        <f>'附表5'!I38</f>
        <v/>
      </c>
      <c r="G38" s="6" t="n">
        <v>0</v>
      </c>
      <c r="H38" s="6" t="n">
        <v>0</v>
      </c>
      <c r="I38" s="6" t="n">
        <v>0</v>
      </c>
      <c r="J38" s="6">
        <f>C38-D38-E38-F38-G38-H38+I38</f>
        <v/>
      </c>
      <c r="K38" s="6">
        <f>K37+J38</f>
        <v/>
      </c>
    </row>
    <row r="39">
      <c r="A39" s="6" t="n">
        <v>19</v>
      </c>
      <c r="B39" t="inlineStr">
        <is>
          <t>运营期</t>
        </is>
      </c>
      <c r="C39" s="6">
        <f>'附表5'!B39</f>
        <v/>
      </c>
      <c r="D39" s="6">
        <f>'附表6'!B34</f>
        <v/>
      </c>
      <c r="E39" s="6">
        <f>'附表5'!E39</f>
        <v/>
      </c>
      <c r="F39" s="6">
        <f>'附表5'!I39</f>
        <v/>
      </c>
      <c r="G39" s="6" t="n">
        <v>0</v>
      </c>
      <c r="H39" s="6" t="n">
        <v>0</v>
      </c>
      <c r="I39" s="6" t="n">
        <v>0</v>
      </c>
      <c r="J39" s="6">
        <f>C39-D39-E39-F39-G39-H39+I39</f>
        <v/>
      </c>
      <c r="K39" s="6">
        <f>K38+J39</f>
        <v/>
      </c>
    </row>
    <row r="40">
      <c r="A40" s="6" t="n">
        <v>20</v>
      </c>
      <c r="B40" t="inlineStr">
        <is>
          <t>运营期</t>
        </is>
      </c>
      <c r="C40" s="6">
        <f>'附表5'!B40</f>
        <v/>
      </c>
      <c r="D40" s="6">
        <f>'附表6'!B35</f>
        <v/>
      </c>
      <c r="E40" s="6">
        <f>'附表5'!E40</f>
        <v/>
      </c>
      <c r="F40" s="6">
        <f>'附表5'!I40</f>
        <v/>
      </c>
      <c r="G40" s="6" t="n">
        <v>0</v>
      </c>
      <c r="H40" s="6" t="n">
        <v>0</v>
      </c>
      <c r="I40" s="6" t="n">
        <v>0</v>
      </c>
      <c r="J40" s="6">
        <f>C40-D40-E40-F40-G40-H40+I40</f>
        <v/>
      </c>
      <c r="K40" s="6">
        <f>K39+J40</f>
        <v/>
      </c>
    </row>
    <row r="41">
      <c r="A41" s="6" t="n">
        <v>21</v>
      </c>
      <c r="B41" t="inlineStr">
        <is>
          <t>运营期</t>
        </is>
      </c>
      <c r="C41" s="6">
        <f>'附表5'!B41</f>
        <v/>
      </c>
      <c r="D41" s="6">
        <f>'附表6'!B36</f>
        <v/>
      </c>
      <c r="E41" s="6">
        <f>'附表5'!E41</f>
        <v/>
      </c>
      <c r="F41" s="6">
        <f>'附表5'!I41</f>
        <v/>
      </c>
      <c r="G41" s="6" t="n">
        <v>0</v>
      </c>
      <c r="H41" s="6" t="n">
        <v>0</v>
      </c>
      <c r="I41" s="6" t="n">
        <v>7680</v>
      </c>
      <c r="J41" s="6">
        <f>C41-D41-E41-F41-G41-H41+I41</f>
        <v/>
      </c>
      <c r="K41" s="6">
        <f>K40+J41</f>
        <v/>
      </c>
    </row>
    <row r="42">
      <c r="A42" t="inlineStr">
        <is>
          <t>说明1：建设投资列含建设期利息（与项目 CF 同源）</t>
        </is>
      </c>
    </row>
    <row r="43">
      <c r="A43" t="inlineStr">
        <is>
          <t>说明2：structure_gaps: 行业变体未冻结(variant=tourism, model=tourism)</t>
        </is>
      </c>
    </row>
    <row r="44"/>
    <row r="45">
      <c r="A45" t="inlineStr">
        <is>
          <t>现金流量组成树</t>
        </is>
      </c>
    </row>
    <row r="46">
      <c r="A46" t="inlineStr">
        <is>
          <t>项目</t>
        </is>
      </c>
      <c r="B46" t="n">
        <v>0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6</v>
      </c>
      <c r="I46" t="n">
        <v>7</v>
      </c>
      <c r="J46" t="n">
        <v>8</v>
      </c>
      <c r="K46" t="n">
        <v>9</v>
      </c>
      <c r="L46" t="n">
        <v>10</v>
      </c>
      <c r="M46" t="n">
        <v>11</v>
      </c>
      <c r="N46" t="n">
        <v>12</v>
      </c>
      <c r="O46" t="n">
        <v>13</v>
      </c>
      <c r="P46" t="n">
        <v>14</v>
      </c>
      <c r="Q46" t="n">
        <v>15</v>
      </c>
      <c r="R46" t="n">
        <v>16</v>
      </c>
      <c r="S46" t="n">
        <v>17</v>
      </c>
      <c r="T46" t="n">
        <v>18</v>
      </c>
      <c r="U46" t="n">
        <v>19</v>
      </c>
      <c r="V46" t="n">
        <v>20</v>
      </c>
      <c r="W46" t="n">
        <v>21</v>
      </c>
    </row>
    <row r="47">
      <c r="A47" t="inlineStr">
        <is>
          <t>现金流入</t>
        </is>
      </c>
    </row>
    <row r="48">
      <c r="A48" t="inlineStr">
        <is>
          <t xml:space="preserve">  revenue</t>
        </is>
      </c>
      <c r="B48">
        <f>'附表9'!C20</f>
        <v/>
      </c>
      <c r="C48">
        <f>'附表9'!C21</f>
        <v/>
      </c>
      <c r="D48">
        <f>'附表9'!C22</f>
        <v/>
      </c>
      <c r="E48">
        <f>'附表9'!C23</f>
        <v/>
      </c>
      <c r="F48">
        <f>'附表9'!C24</f>
        <v/>
      </c>
      <c r="G48">
        <f>'附表9'!C25</f>
        <v/>
      </c>
      <c r="H48">
        <f>'附表9'!C26</f>
        <v/>
      </c>
      <c r="I48">
        <f>'附表9'!C27</f>
        <v/>
      </c>
      <c r="J48">
        <f>'附表9'!C28</f>
        <v/>
      </c>
      <c r="K48">
        <f>'附表9'!C29</f>
        <v/>
      </c>
      <c r="L48">
        <f>'附表9'!C30</f>
        <v/>
      </c>
      <c r="M48">
        <f>'附表9'!C31</f>
        <v/>
      </c>
      <c r="N48">
        <f>'附表9'!C32</f>
        <v/>
      </c>
      <c r="O48">
        <f>'附表9'!C33</f>
        <v/>
      </c>
      <c r="P48">
        <f>'附表9'!C34</f>
        <v/>
      </c>
      <c r="Q48">
        <f>'附表9'!C35</f>
        <v/>
      </c>
      <c r="R48">
        <f>'附表9'!C36</f>
        <v/>
      </c>
      <c r="S48">
        <f>'附表9'!C37</f>
        <v/>
      </c>
      <c r="T48">
        <f>'附表9'!C38</f>
        <v/>
      </c>
      <c r="U48">
        <f>'附表9'!C39</f>
        <v/>
      </c>
      <c r="V48">
        <f>'附表9'!C40</f>
        <v/>
      </c>
      <c r="W48">
        <f>'附表9'!C41</f>
        <v/>
      </c>
    </row>
    <row r="49">
      <c r="A49" t="inlineStr">
        <is>
          <t xml:space="preserve">  recover</t>
        </is>
      </c>
      <c r="B49">
        <f>'附表9'!I20</f>
        <v/>
      </c>
      <c r="C49">
        <f>'附表9'!I21</f>
        <v/>
      </c>
      <c r="D49">
        <f>'附表9'!I22</f>
        <v/>
      </c>
      <c r="E49">
        <f>'附表9'!I23</f>
        <v/>
      </c>
      <c r="F49">
        <f>'附表9'!I24</f>
        <v/>
      </c>
      <c r="G49">
        <f>'附表9'!I25</f>
        <v/>
      </c>
      <c r="H49">
        <f>'附表9'!I26</f>
        <v/>
      </c>
      <c r="I49">
        <f>'附表9'!I27</f>
        <v/>
      </c>
      <c r="J49">
        <f>'附表9'!I28</f>
        <v/>
      </c>
      <c r="K49">
        <f>'附表9'!I29</f>
        <v/>
      </c>
      <c r="L49">
        <f>'附表9'!I30</f>
        <v/>
      </c>
      <c r="M49">
        <f>'附表9'!I31</f>
        <v/>
      </c>
      <c r="N49">
        <f>'附表9'!I32</f>
        <v/>
      </c>
      <c r="O49">
        <f>'附表9'!I33</f>
        <v/>
      </c>
      <c r="P49">
        <f>'附表9'!I34</f>
        <v/>
      </c>
      <c r="Q49">
        <f>'附表9'!I35</f>
        <v/>
      </c>
      <c r="R49">
        <f>'附表9'!I36</f>
        <v/>
      </c>
      <c r="S49">
        <f>'附表9'!I37</f>
        <v/>
      </c>
      <c r="T49">
        <f>'附表9'!I38</f>
        <v/>
      </c>
      <c r="U49">
        <f>'附表9'!I39</f>
        <v/>
      </c>
      <c r="V49">
        <f>'附表9'!I40</f>
        <v/>
      </c>
      <c r="W49">
        <f>'附表9'!I41</f>
        <v/>
      </c>
    </row>
    <row r="50">
      <c r="A50" t="inlineStr">
        <is>
          <t>现金流出</t>
        </is>
      </c>
    </row>
    <row r="51">
      <c r="A51" t="inlineStr">
        <is>
          <t xml:space="preserve">  construction</t>
        </is>
      </c>
      <c r="B51">
        <f>'附表9'!G20</f>
        <v/>
      </c>
      <c r="C51">
        <f>'附表9'!G21</f>
        <v/>
      </c>
      <c r="D51">
        <f>'附表9'!G22</f>
        <v/>
      </c>
      <c r="E51">
        <f>'附表9'!G23</f>
        <v/>
      </c>
      <c r="F51">
        <f>'附表9'!G24</f>
        <v/>
      </c>
      <c r="G51">
        <f>'附表9'!G25</f>
        <v/>
      </c>
      <c r="H51">
        <f>'附表9'!G26</f>
        <v/>
      </c>
      <c r="I51">
        <f>'附表9'!G27</f>
        <v/>
      </c>
      <c r="J51">
        <f>'附表9'!G28</f>
        <v/>
      </c>
      <c r="K51">
        <f>'附表9'!G29</f>
        <v/>
      </c>
      <c r="L51">
        <f>'附表9'!G30</f>
        <v/>
      </c>
      <c r="M51">
        <f>'附表9'!G31</f>
        <v/>
      </c>
      <c r="N51">
        <f>'附表9'!G32</f>
        <v/>
      </c>
      <c r="O51">
        <f>'附表9'!G33</f>
        <v/>
      </c>
      <c r="P51">
        <f>'附表9'!G34</f>
        <v/>
      </c>
      <c r="Q51">
        <f>'附表9'!G35</f>
        <v/>
      </c>
      <c r="R51">
        <f>'附表9'!G36</f>
        <v/>
      </c>
      <c r="S51">
        <f>'附表9'!G37</f>
        <v/>
      </c>
      <c r="T51">
        <f>'附表9'!G38</f>
        <v/>
      </c>
      <c r="U51">
        <f>'附表9'!G39</f>
        <v/>
      </c>
      <c r="V51">
        <f>'附表9'!G40</f>
        <v/>
      </c>
      <c r="W51">
        <f>'附表9'!G41</f>
        <v/>
      </c>
    </row>
    <row r="52">
      <c r="A52" t="inlineStr">
        <is>
          <t xml:space="preserve">  wc_change</t>
        </is>
      </c>
      <c r="B52">
        <f>'附表9'!H20</f>
        <v/>
      </c>
      <c r="C52">
        <f>'附表9'!H21</f>
        <v/>
      </c>
      <c r="D52">
        <f>'附表9'!H22</f>
        <v/>
      </c>
      <c r="E52">
        <f>'附表9'!H23</f>
        <v/>
      </c>
      <c r="F52">
        <f>'附表9'!H24</f>
        <v/>
      </c>
      <c r="G52">
        <f>'附表9'!H25</f>
        <v/>
      </c>
      <c r="H52">
        <f>'附表9'!H26</f>
        <v/>
      </c>
      <c r="I52">
        <f>'附表9'!H27</f>
        <v/>
      </c>
      <c r="J52">
        <f>'附表9'!H28</f>
        <v/>
      </c>
      <c r="K52">
        <f>'附表9'!H29</f>
        <v/>
      </c>
      <c r="L52">
        <f>'附表9'!H30</f>
        <v/>
      </c>
      <c r="M52">
        <f>'附表9'!H31</f>
        <v/>
      </c>
      <c r="N52">
        <f>'附表9'!H32</f>
        <v/>
      </c>
      <c r="O52">
        <f>'附表9'!H33</f>
        <v/>
      </c>
      <c r="P52">
        <f>'附表9'!H34</f>
        <v/>
      </c>
      <c r="Q52">
        <f>'附表9'!H35</f>
        <v/>
      </c>
      <c r="R52">
        <f>'附表9'!H36</f>
        <v/>
      </c>
      <c r="S52">
        <f>'附表9'!H37</f>
        <v/>
      </c>
      <c r="T52">
        <f>'附表9'!H38</f>
        <v/>
      </c>
      <c r="U52">
        <f>'附表9'!H39</f>
        <v/>
      </c>
      <c r="V52">
        <f>'附表9'!H40</f>
        <v/>
      </c>
      <c r="W52">
        <f>'附表9'!H41</f>
        <v/>
      </c>
    </row>
    <row r="53">
      <c r="A53" t="inlineStr">
        <is>
          <t xml:space="preserve">  op_cash_cost</t>
        </is>
      </c>
      <c r="B53">
        <f>'附表9'!D20</f>
        <v/>
      </c>
      <c r="C53">
        <f>'附表9'!D21</f>
        <v/>
      </c>
      <c r="D53">
        <f>'附表9'!D22</f>
        <v/>
      </c>
      <c r="E53">
        <f>'附表9'!D23</f>
        <v/>
      </c>
      <c r="F53">
        <f>'附表9'!D24</f>
        <v/>
      </c>
      <c r="G53">
        <f>'附表9'!D25</f>
        <v/>
      </c>
      <c r="H53">
        <f>'附表9'!D26</f>
        <v/>
      </c>
      <c r="I53">
        <f>'附表9'!D27</f>
        <v/>
      </c>
      <c r="J53">
        <f>'附表9'!D28</f>
        <v/>
      </c>
      <c r="K53">
        <f>'附表9'!D29</f>
        <v/>
      </c>
      <c r="L53">
        <f>'附表9'!D30</f>
        <v/>
      </c>
      <c r="M53">
        <f>'附表9'!D31</f>
        <v/>
      </c>
      <c r="N53">
        <f>'附表9'!D32</f>
        <v/>
      </c>
      <c r="O53">
        <f>'附表9'!D33</f>
        <v/>
      </c>
      <c r="P53">
        <f>'附表9'!D34</f>
        <v/>
      </c>
      <c r="Q53">
        <f>'附表9'!D35</f>
        <v/>
      </c>
      <c r="R53">
        <f>'附表9'!D36</f>
        <v/>
      </c>
      <c r="S53">
        <f>'附表9'!D37</f>
        <v/>
      </c>
      <c r="T53">
        <f>'附表9'!D38</f>
        <v/>
      </c>
      <c r="U53">
        <f>'附表9'!D39</f>
        <v/>
      </c>
      <c r="V53">
        <f>'附表9'!D40</f>
        <v/>
      </c>
      <c r="W53">
        <f>'附表9'!D41</f>
        <v/>
      </c>
    </row>
    <row r="54">
      <c r="A54" t="inlineStr">
        <is>
          <t xml:space="preserve">  tax_surtax</t>
        </is>
      </c>
      <c r="B54">
        <f>'附表9'!E20</f>
        <v/>
      </c>
      <c r="C54">
        <f>'附表9'!E21</f>
        <v/>
      </c>
      <c r="D54">
        <f>'附表9'!E22</f>
        <v/>
      </c>
      <c r="E54">
        <f>'附表9'!E23</f>
        <v/>
      </c>
      <c r="F54">
        <f>'附表9'!E24</f>
        <v/>
      </c>
      <c r="G54">
        <f>'附表9'!E25</f>
        <v/>
      </c>
      <c r="H54">
        <f>'附表9'!E26</f>
        <v/>
      </c>
      <c r="I54">
        <f>'附表9'!E27</f>
        <v/>
      </c>
      <c r="J54">
        <f>'附表9'!E28</f>
        <v/>
      </c>
      <c r="K54">
        <f>'附表9'!E29</f>
        <v/>
      </c>
      <c r="L54">
        <f>'附表9'!E30</f>
        <v/>
      </c>
      <c r="M54">
        <f>'附表9'!E31</f>
        <v/>
      </c>
      <c r="N54">
        <f>'附表9'!E32</f>
        <v/>
      </c>
      <c r="O54">
        <f>'附表9'!E33</f>
        <v/>
      </c>
      <c r="P54">
        <f>'附表9'!E34</f>
        <v/>
      </c>
      <c r="Q54">
        <f>'附表9'!E35</f>
        <v/>
      </c>
      <c r="R54">
        <f>'附表9'!E36</f>
        <v/>
      </c>
      <c r="S54">
        <f>'附表9'!E37</f>
        <v/>
      </c>
      <c r="T54">
        <f>'附表9'!E38</f>
        <v/>
      </c>
      <c r="U54">
        <f>'附表9'!E39</f>
        <v/>
      </c>
      <c r="V54">
        <f>'附表9'!E40</f>
        <v/>
      </c>
      <c r="W54">
        <f>'附表9'!E41</f>
        <v/>
      </c>
    </row>
    <row r="55">
      <c r="A55" t="inlineStr">
        <is>
          <t xml:space="preserve">  income_tax</t>
        </is>
      </c>
      <c r="B55">
        <f>'附表9'!F20</f>
        <v/>
      </c>
      <c r="C55">
        <f>'附表9'!F21</f>
        <v/>
      </c>
      <c r="D55">
        <f>'附表9'!F22</f>
        <v/>
      </c>
      <c r="E55">
        <f>'附表9'!F23</f>
        <v/>
      </c>
      <c r="F55">
        <f>'附表9'!F24</f>
        <v/>
      </c>
      <c r="G55">
        <f>'附表9'!F25</f>
        <v/>
      </c>
      <c r="H55">
        <f>'附表9'!F26</f>
        <v/>
      </c>
      <c r="I55">
        <f>'附表9'!F27</f>
        <v/>
      </c>
      <c r="J55">
        <f>'附表9'!F28</f>
        <v/>
      </c>
      <c r="K55">
        <f>'附表9'!F29</f>
        <v/>
      </c>
      <c r="L55">
        <f>'附表9'!F30</f>
        <v/>
      </c>
      <c r="M55">
        <f>'附表9'!F31</f>
        <v/>
      </c>
      <c r="N55">
        <f>'附表9'!F32</f>
        <v/>
      </c>
      <c r="O55">
        <f>'附表9'!F33</f>
        <v/>
      </c>
      <c r="P55">
        <f>'附表9'!F34</f>
        <v/>
      </c>
      <c r="Q55">
        <f>'附表9'!F35</f>
        <v/>
      </c>
      <c r="R55">
        <f>'附表9'!F36</f>
        <v/>
      </c>
      <c r="S55">
        <f>'附表9'!F37</f>
        <v/>
      </c>
      <c r="T55">
        <f>'附表9'!F38</f>
        <v/>
      </c>
      <c r="U55">
        <f>'附表9'!F39</f>
        <v/>
      </c>
      <c r="V55">
        <f>'附表9'!F40</f>
        <v/>
      </c>
      <c r="W55">
        <f>'附表9'!F41</f>
        <v/>
      </c>
    </row>
    <row r="56">
      <c r="A56" t="inlineStr">
        <is>
          <t>现金净额</t>
        </is>
      </c>
    </row>
    <row r="57">
      <c r="A57" t="inlineStr">
        <is>
          <t xml:space="preserve">  net_cashflow</t>
        </is>
      </c>
      <c r="B57">
        <f>'附表9'!J20</f>
        <v/>
      </c>
      <c r="C57">
        <f>'附表9'!J21</f>
        <v/>
      </c>
      <c r="D57">
        <f>'附表9'!J22</f>
        <v/>
      </c>
      <c r="E57">
        <f>'附表9'!J23</f>
        <v/>
      </c>
      <c r="F57">
        <f>'附表9'!J24</f>
        <v/>
      </c>
      <c r="G57">
        <f>'附表9'!J25</f>
        <v/>
      </c>
      <c r="H57">
        <f>'附表9'!J26</f>
        <v/>
      </c>
      <c r="I57">
        <f>'附表9'!J27</f>
        <v/>
      </c>
      <c r="J57">
        <f>'附表9'!J28</f>
        <v/>
      </c>
      <c r="K57">
        <f>'附表9'!J29</f>
        <v/>
      </c>
      <c r="L57">
        <f>'附表9'!J30</f>
        <v/>
      </c>
      <c r="M57">
        <f>'附表9'!J31</f>
        <v/>
      </c>
      <c r="N57">
        <f>'附表9'!J32</f>
        <v/>
      </c>
      <c r="O57">
        <f>'附表9'!J33</f>
        <v/>
      </c>
      <c r="P57">
        <f>'附表9'!J34</f>
        <v/>
      </c>
      <c r="Q57">
        <f>'附表9'!J35</f>
        <v/>
      </c>
      <c r="R57">
        <f>'附表9'!J36</f>
        <v/>
      </c>
      <c r="S57">
        <f>'附表9'!J37</f>
        <v/>
      </c>
      <c r="T57">
        <f>'附表9'!J38</f>
        <v/>
      </c>
      <c r="U57">
        <f>'附表9'!J39</f>
        <v/>
      </c>
      <c r="V57">
        <f>'附表9'!J40</f>
        <v/>
      </c>
      <c r="W57">
        <f>'附表9'!J41</f>
        <v/>
      </c>
    </row>
    <row r="58">
      <c r="A58" t="inlineStr">
        <is>
          <t xml:space="preserve">  cumulative</t>
        </is>
      </c>
      <c r="B58">
        <f>'附表9'!K20</f>
        <v/>
      </c>
      <c r="C58">
        <f>'附表9'!K21</f>
        <v/>
      </c>
      <c r="D58">
        <f>'附表9'!K22</f>
        <v/>
      </c>
      <c r="E58">
        <f>'附表9'!K23</f>
        <v/>
      </c>
      <c r="F58">
        <f>'附表9'!K24</f>
        <v/>
      </c>
      <c r="G58">
        <f>'附表9'!K25</f>
        <v/>
      </c>
      <c r="H58">
        <f>'附表9'!K26</f>
        <v/>
      </c>
      <c r="I58">
        <f>'附表9'!K27</f>
        <v/>
      </c>
      <c r="J58">
        <f>'附表9'!K28</f>
        <v/>
      </c>
      <c r="K58">
        <f>'附表9'!K29</f>
        <v/>
      </c>
      <c r="L58">
        <f>'附表9'!K30</f>
        <v/>
      </c>
      <c r="M58">
        <f>'附表9'!K31</f>
        <v/>
      </c>
      <c r="N58">
        <f>'附表9'!K32</f>
        <v/>
      </c>
      <c r="O58">
        <f>'附表9'!K33</f>
        <v/>
      </c>
      <c r="P58">
        <f>'附表9'!K34</f>
        <v/>
      </c>
      <c r="Q58">
        <f>'附表9'!K35</f>
        <v/>
      </c>
      <c r="R58">
        <f>'附表9'!K36</f>
        <v/>
      </c>
      <c r="S58">
        <f>'附表9'!K37</f>
        <v/>
      </c>
      <c r="T58">
        <f>'附表9'!K38</f>
        <v/>
      </c>
      <c r="U58">
        <f>'附表9'!K39</f>
        <v/>
      </c>
      <c r="V58">
        <f>'附表9'!K40</f>
        <v/>
      </c>
      <c r="W58">
        <f>'附表9'!K41</f>
        <v/>
      </c>
    </row>
    <row r="59">
      <c r="A59" t="inlineStr">
        <is>
          <t>跨表依赖复核：附表1</t>
        </is>
      </c>
      <c r="B59" s="6">
        <f>'附表1'!J4</f>
        <v/>
      </c>
    </row>
    <row r="60">
      <c r="A60" t="inlineStr">
        <is>
          <t>跨表依赖复核：附表3</t>
        </is>
      </c>
      <c r="B60" s="6">
        <f>'附表3'!B4</f>
        <v/>
      </c>
    </row>
    <row r="61">
      <c r="A61" t="inlineStr">
        <is>
          <t>跨表依赖复核：附表5</t>
        </is>
      </c>
      <c r="B61" s="6">
        <f>'附表5'!A22</f>
        <v/>
      </c>
    </row>
    <row r="62">
      <c r="A62" t="inlineStr">
        <is>
          <t>跨表依赖复核：附表6</t>
        </is>
      </c>
      <c r="B62" s="6">
        <f>'附表6'!A17</f>
        <v/>
      </c>
    </row>
    <row r="63">
      <c r="A63" t="inlineStr">
        <is>
          <t>跨表依赖复核：附表6-2</t>
        </is>
      </c>
      <c r="B63" s="6">
        <f>'附表6-2'!A8</f>
        <v/>
      </c>
    </row>
    <row r="64">
      <c r="A64" t="inlineStr">
        <is>
          <t>跨表依赖复核：附表7</t>
        </is>
      </c>
      <c r="B64" s="6">
        <f>'附表7'!A24</f>
        <v/>
      </c>
    </row>
  </sheetData>
  <mergeCells count="1"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附表10 项目资本金流量表</t>
        </is>
      </c>
    </row>
    <row r="2">
      <c r="A2" t="inlineStr">
        <is>
          <t>计算状态：computed；口径：summary；有效：是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合计</t>
        </is>
      </c>
      <c r="D3" s="2" t="inlineStr">
        <is>
          <t>计算期0</t>
        </is>
      </c>
      <c r="E3" s="2" t="inlineStr">
        <is>
          <t>计算期1</t>
        </is>
      </c>
      <c r="F3" s="2" t="inlineStr">
        <is>
          <t>计算期2</t>
        </is>
      </c>
      <c r="G3" s="2" t="inlineStr">
        <is>
          <t>计算期3</t>
        </is>
      </c>
      <c r="H3" s="2" t="inlineStr">
        <is>
          <t>计算期4</t>
        </is>
      </c>
      <c r="I3" s="2" t="inlineStr">
        <is>
          <t>计算期5</t>
        </is>
      </c>
      <c r="J3" s="2" t="inlineStr">
        <is>
          <t>计算期6</t>
        </is>
      </c>
      <c r="K3" s="2" t="inlineStr">
        <is>
          <t>计算期7</t>
        </is>
      </c>
      <c r="L3" s="2" t="inlineStr">
        <is>
          <t>计算期8</t>
        </is>
      </c>
      <c r="M3" s="2" t="inlineStr">
        <is>
          <t>计算期9</t>
        </is>
      </c>
      <c r="N3" s="2" t="inlineStr">
        <is>
          <t>计算期10</t>
        </is>
      </c>
      <c r="O3" s="2" t="inlineStr">
        <is>
          <t>计算期11</t>
        </is>
      </c>
      <c r="P3" s="2" t="inlineStr">
        <is>
          <t>计算期12</t>
        </is>
      </c>
      <c r="Q3" s="2" t="inlineStr">
        <is>
          <t>计算期13</t>
        </is>
      </c>
      <c r="R3" s="2" t="inlineStr">
        <is>
          <t>计算期14</t>
        </is>
      </c>
      <c r="S3" s="2" t="inlineStr">
        <is>
          <t>计算期15</t>
        </is>
      </c>
      <c r="T3" s="2" t="inlineStr">
        <is>
          <t>计算期16</t>
        </is>
      </c>
      <c r="U3" s="2" t="inlineStr">
        <is>
          <t>计算期17</t>
        </is>
      </c>
      <c r="V3" s="2" t="inlineStr">
        <is>
          <t>计算期18</t>
        </is>
      </c>
      <c r="W3" s="2" t="inlineStr">
        <is>
          <t>计算期19</t>
        </is>
      </c>
      <c r="X3" s="2" t="inlineStr">
        <is>
          <t>计算期20</t>
        </is>
      </c>
      <c r="Y3" s="2" t="inlineStr">
        <is>
          <t>计算期21</t>
        </is>
      </c>
    </row>
    <row r="4">
      <c r="A4" s="3" t="inlineStr">
        <is>
          <t>1</t>
        </is>
      </c>
      <c r="B4" s="3" t="inlineStr">
        <is>
          <t>现金流入</t>
        </is>
      </c>
      <c r="C4" s="4">
        <f>SUM(D4,E4,F4,G4,H4,I4,J4,K4,L4,M4,N4,O4,P4,Q4,R4,S4,T4,U4,V4,W4,X4,Y4)</f>
        <v/>
      </c>
      <c r="D4" s="4">
        <f>J20</f>
        <v/>
      </c>
      <c r="E4" s="4">
        <f>J21</f>
        <v/>
      </c>
      <c r="F4" s="4">
        <f>J22</f>
        <v/>
      </c>
      <c r="G4" s="4">
        <f>J23</f>
        <v/>
      </c>
      <c r="H4" s="4">
        <f>J24</f>
        <v/>
      </c>
      <c r="I4" s="4">
        <f>J25</f>
        <v/>
      </c>
      <c r="J4" s="4">
        <f>J26</f>
        <v/>
      </c>
      <c r="K4" s="4">
        <f>J27</f>
        <v/>
      </c>
      <c r="L4" s="4">
        <f>J28</f>
        <v/>
      </c>
      <c r="M4" s="4">
        <f>J29</f>
        <v/>
      </c>
      <c r="N4" s="4">
        <f>J30</f>
        <v/>
      </c>
      <c r="O4" s="4">
        <f>J31</f>
        <v/>
      </c>
      <c r="P4" s="4">
        <f>J32</f>
        <v/>
      </c>
      <c r="Q4" s="4">
        <f>J33</f>
        <v/>
      </c>
      <c r="R4" s="4">
        <f>J34</f>
        <v/>
      </c>
      <c r="S4" s="4">
        <f>J35</f>
        <v/>
      </c>
      <c r="T4" s="4">
        <f>J36</f>
        <v/>
      </c>
      <c r="U4" s="4">
        <f>J37</f>
        <v/>
      </c>
      <c r="V4" s="4">
        <f>J38</f>
        <v/>
      </c>
      <c r="W4" s="4">
        <f>J39</f>
        <v/>
      </c>
      <c r="X4" s="4">
        <f>J40</f>
        <v/>
      </c>
      <c r="Y4" s="4">
        <f>J41</f>
        <v/>
      </c>
    </row>
    <row r="5">
      <c r="A5" s="3" t="inlineStr">
        <is>
          <t>1.1</t>
        </is>
      </c>
      <c r="B5" s="3" t="inlineStr">
        <is>
          <t>营业收入</t>
        </is>
      </c>
      <c r="C5" s="4">
        <f>SUM(D5,E5,F5,G5,H5,I5,J5,K5,L5,M5,N5,O5,P5,Q5,R5,S5,T5,U5,V5,W5,X5,Y5)</f>
        <v/>
      </c>
      <c r="D5" s="4">
        <f>D20</f>
        <v/>
      </c>
      <c r="E5" s="4">
        <f>D21</f>
        <v/>
      </c>
      <c r="F5" s="4">
        <f>D22</f>
        <v/>
      </c>
      <c r="G5" s="4">
        <f>D23</f>
        <v/>
      </c>
      <c r="H5" s="4">
        <f>D24</f>
        <v/>
      </c>
      <c r="I5" s="4">
        <f>D25</f>
        <v/>
      </c>
      <c r="J5" s="4">
        <f>D26</f>
        <v/>
      </c>
      <c r="K5" s="4">
        <f>D27</f>
        <v/>
      </c>
      <c r="L5" s="4">
        <f>D28</f>
        <v/>
      </c>
      <c r="M5" s="4">
        <f>D29</f>
        <v/>
      </c>
      <c r="N5" s="4">
        <f>D30</f>
        <v/>
      </c>
      <c r="O5" s="4">
        <f>D31</f>
        <v/>
      </c>
      <c r="P5" s="4">
        <f>D32</f>
        <v/>
      </c>
      <c r="Q5" s="4">
        <f>D33</f>
        <v/>
      </c>
      <c r="R5" s="4">
        <f>D34</f>
        <v/>
      </c>
      <c r="S5" s="4">
        <f>D35</f>
        <v/>
      </c>
      <c r="T5" s="4">
        <f>D36</f>
        <v/>
      </c>
      <c r="U5" s="4">
        <f>D37</f>
        <v/>
      </c>
      <c r="V5" s="4">
        <f>D38</f>
        <v/>
      </c>
      <c r="W5" s="4">
        <f>D39</f>
        <v/>
      </c>
      <c r="X5" s="4">
        <f>D40</f>
        <v/>
      </c>
      <c r="Y5" s="4">
        <f>D41</f>
        <v/>
      </c>
    </row>
    <row r="6">
      <c r="A6" s="3" t="inlineStr">
        <is>
          <t>1.2</t>
        </is>
      </c>
      <c r="B6" s="3" t="inlineStr">
        <is>
          <t>回收固定资产余值</t>
        </is>
      </c>
      <c r="C6" s="4">
        <f>SUM(D6,E6,F6,G6,H6,I6,J6,K6,L6,M6,N6,O6,P6,Q6,R6,S6,T6,U6,V6,W6,X6,Y6)</f>
        <v/>
      </c>
      <c r="D6" s="4">
        <f>E20</f>
        <v/>
      </c>
      <c r="E6" s="4">
        <f>E21</f>
        <v/>
      </c>
      <c r="F6" s="4">
        <f>E22</f>
        <v/>
      </c>
      <c r="G6" s="4">
        <f>E23</f>
        <v/>
      </c>
      <c r="H6" s="4">
        <f>E24</f>
        <v/>
      </c>
      <c r="I6" s="4">
        <f>E25</f>
        <v/>
      </c>
      <c r="J6" s="4">
        <f>E26</f>
        <v/>
      </c>
      <c r="K6" s="4">
        <f>E27</f>
        <v/>
      </c>
      <c r="L6" s="4">
        <f>E28</f>
        <v/>
      </c>
      <c r="M6" s="4">
        <f>E29</f>
        <v/>
      </c>
      <c r="N6" s="4">
        <f>E30</f>
        <v/>
      </c>
      <c r="O6" s="4">
        <f>E31</f>
        <v/>
      </c>
      <c r="P6" s="4">
        <f>E32</f>
        <v/>
      </c>
      <c r="Q6" s="4">
        <f>E33</f>
        <v/>
      </c>
      <c r="R6" s="4">
        <f>E34</f>
        <v/>
      </c>
      <c r="S6" s="4">
        <f>E35</f>
        <v/>
      </c>
      <c r="T6" s="4">
        <f>E36</f>
        <v/>
      </c>
      <c r="U6" s="4">
        <f>E37</f>
        <v/>
      </c>
      <c r="V6" s="4">
        <f>E38</f>
        <v/>
      </c>
      <c r="W6" s="4">
        <f>E39</f>
        <v/>
      </c>
      <c r="X6" s="4">
        <f>E40</f>
        <v/>
      </c>
      <c r="Y6" s="4">
        <f>E41</f>
        <v/>
      </c>
    </row>
    <row r="7">
      <c r="A7" s="3" t="inlineStr">
        <is>
          <t>1.3</t>
        </is>
      </c>
      <c r="B7" s="3" t="inlineStr">
        <is>
          <t>回收流动资金</t>
        </is>
      </c>
      <c r="C7" s="4">
        <f>SUM(D7,E7,F7,G7,H7,I7,J7,K7,L7,M7,N7,O7,P7,Q7,R7,S7,T7,U7,V7,W7,X7,Y7)</f>
        <v/>
      </c>
      <c r="D7" s="4">
        <f>F20</f>
        <v/>
      </c>
      <c r="E7" s="4">
        <f>F21</f>
        <v/>
      </c>
      <c r="F7" s="4">
        <f>F22</f>
        <v/>
      </c>
      <c r="G7" s="4">
        <f>F23</f>
        <v/>
      </c>
      <c r="H7" s="4">
        <f>F24</f>
        <v/>
      </c>
      <c r="I7" s="4">
        <f>F25</f>
        <v/>
      </c>
      <c r="J7" s="4">
        <f>F26</f>
        <v/>
      </c>
      <c r="K7" s="4">
        <f>F27</f>
        <v/>
      </c>
      <c r="L7" s="4">
        <f>F28</f>
        <v/>
      </c>
      <c r="M7" s="4">
        <f>F29</f>
        <v/>
      </c>
      <c r="N7" s="4">
        <f>F30</f>
        <v/>
      </c>
      <c r="O7" s="4">
        <f>F31</f>
        <v/>
      </c>
      <c r="P7" s="4">
        <f>F32</f>
        <v/>
      </c>
      <c r="Q7" s="4">
        <f>F33</f>
        <v/>
      </c>
      <c r="R7" s="4">
        <f>F34</f>
        <v/>
      </c>
      <c r="S7" s="4">
        <f>F35</f>
        <v/>
      </c>
      <c r="T7" s="4">
        <f>F36</f>
        <v/>
      </c>
      <c r="U7" s="4">
        <f>F37</f>
        <v/>
      </c>
      <c r="V7" s="4">
        <f>F38</f>
        <v/>
      </c>
      <c r="W7" s="4">
        <f>F39</f>
        <v/>
      </c>
      <c r="X7" s="4">
        <f>F40</f>
        <v/>
      </c>
      <c r="Y7" s="4">
        <f>F41</f>
        <v/>
      </c>
    </row>
    <row r="8">
      <c r="A8" s="3" t="inlineStr">
        <is>
          <t>2</t>
        </is>
      </c>
      <c r="B8" s="3" t="inlineStr">
        <is>
          <t>现金流出</t>
        </is>
      </c>
      <c r="C8" s="4">
        <f>SUM(D8,E8,F8,G8,H8,I8,J8,K8,L8,M8,N8,O8,P8,Q8,R8,S8,T8,U8,V8,W8,X8,Y8)</f>
        <v/>
      </c>
      <c r="D8" s="4">
        <f>K20</f>
        <v/>
      </c>
      <c r="E8" s="4">
        <f>K21</f>
        <v/>
      </c>
      <c r="F8" s="4">
        <f>K22</f>
        <v/>
      </c>
      <c r="G8" s="4">
        <f>K23</f>
        <v/>
      </c>
      <c r="H8" s="4">
        <f>K24</f>
        <v/>
      </c>
      <c r="I8" s="4">
        <f>K25</f>
        <v/>
      </c>
      <c r="J8" s="4">
        <f>K26</f>
        <v/>
      </c>
      <c r="K8" s="4">
        <f>K27</f>
        <v/>
      </c>
      <c r="L8" s="4">
        <f>K28</f>
        <v/>
      </c>
      <c r="M8" s="4">
        <f>K29</f>
        <v/>
      </c>
      <c r="N8" s="4">
        <f>K30</f>
        <v/>
      </c>
      <c r="O8" s="4">
        <f>K31</f>
        <v/>
      </c>
      <c r="P8" s="4">
        <f>K32</f>
        <v/>
      </c>
      <c r="Q8" s="4">
        <f>K33</f>
        <v/>
      </c>
      <c r="R8" s="4">
        <f>K34</f>
        <v/>
      </c>
      <c r="S8" s="4">
        <f>K35</f>
        <v/>
      </c>
      <c r="T8" s="4">
        <f>K36</f>
        <v/>
      </c>
      <c r="U8" s="4">
        <f>K37</f>
        <v/>
      </c>
      <c r="V8" s="4">
        <f>K38</f>
        <v/>
      </c>
      <c r="W8" s="4">
        <f>K39</f>
        <v/>
      </c>
      <c r="X8" s="4">
        <f>K40</f>
        <v/>
      </c>
      <c r="Y8" s="4">
        <f>K41</f>
        <v/>
      </c>
    </row>
    <row r="9">
      <c r="A9" s="3" t="inlineStr">
        <is>
          <t>2.1</t>
        </is>
      </c>
      <c r="B9" s="3" t="inlineStr">
        <is>
          <t>项目资本金</t>
        </is>
      </c>
      <c r="C9" s="4">
        <f>SUM(D9,E9,F9,G9,H9,I9,J9,K9,L9,M9,N9,O9,P9,Q9,R9,S9,T9,U9,V9,W9,X9,Y9)</f>
        <v/>
      </c>
      <c r="D9" s="4">
        <f>C20</f>
        <v/>
      </c>
      <c r="E9" s="4">
        <f>C21</f>
        <v/>
      </c>
      <c r="F9" s="4">
        <f>C22</f>
        <v/>
      </c>
      <c r="G9" s="4">
        <f>C23</f>
        <v/>
      </c>
      <c r="H9" s="4">
        <f>C24</f>
        <v/>
      </c>
      <c r="I9" s="4">
        <f>C25</f>
        <v/>
      </c>
      <c r="J9" s="4">
        <f>C26</f>
        <v/>
      </c>
      <c r="K9" s="4">
        <f>C27</f>
        <v/>
      </c>
      <c r="L9" s="4">
        <f>C28</f>
        <v/>
      </c>
      <c r="M9" s="4">
        <f>C29</f>
        <v/>
      </c>
      <c r="N9" s="4">
        <f>C30</f>
        <v/>
      </c>
      <c r="O9" s="4">
        <f>C31</f>
        <v/>
      </c>
      <c r="P9" s="4">
        <f>C32</f>
        <v/>
      </c>
      <c r="Q9" s="4">
        <f>C33</f>
        <v/>
      </c>
      <c r="R9" s="4">
        <f>C34</f>
        <v/>
      </c>
      <c r="S9" s="4">
        <f>C35</f>
        <v/>
      </c>
      <c r="T9" s="4">
        <f>C36</f>
        <v/>
      </c>
      <c r="U9" s="4">
        <f>C37</f>
        <v/>
      </c>
      <c r="V9" s="4">
        <f>C38</f>
        <v/>
      </c>
      <c r="W9" s="4">
        <f>C39</f>
        <v/>
      </c>
      <c r="X9" s="4">
        <f>C40</f>
        <v/>
      </c>
      <c r="Y9" s="4">
        <f>C41</f>
        <v/>
      </c>
    </row>
    <row r="10">
      <c r="A10" s="3" t="inlineStr">
        <is>
          <t>2.2</t>
        </is>
      </c>
      <c r="B10" s="3" t="inlineStr">
        <is>
          <t>借款本金偿还</t>
        </is>
      </c>
      <c r="C10" s="4">
        <f>SUM(D10,E10,F10,G10,H10,I10,J10,K10,L10,M10,N10,O10,P10,Q10,R10,S10,T10,U10,V10,W10,X10,Y10)</f>
        <v/>
      </c>
      <c r="D10" s="4">
        <f>M20</f>
        <v/>
      </c>
      <c r="E10" s="4">
        <f>M21</f>
        <v/>
      </c>
      <c r="F10" s="4">
        <f>M22</f>
        <v/>
      </c>
      <c r="G10" s="4">
        <f>M23</f>
        <v/>
      </c>
      <c r="H10" s="4">
        <f>M24</f>
        <v/>
      </c>
      <c r="I10" s="4">
        <f>M25</f>
        <v/>
      </c>
      <c r="J10" s="4">
        <f>M26</f>
        <v/>
      </c>
      <c r="K10" s="4">
        <f>M27</f>
        <v/>
      </c>
      <c r="L10" s="4">
        <f>M28</f>
        <v/>
      </c>
      <c r="M10" s="4">
        <f>M29</f>
        <v/>
      </c>
      <c r="N10" s="4">
        <f>M30</f>
        <v/>
      </c>
      <c r="O10" s="4">
        <f>M31</f>
        <v/>
      </c>
      <c r="P10" s="4">
        <f>M32</f>
        <v/>
      </c>
      <c r="Q10" s="4">
        <f>M33</f>
        <v/>
      </c>
      <c r="R10" s="4">
        <f>M34</f>
        <v/>
      </c>
      <c r="S10" s="4">
        <f>M35</f>
        <v/>
      </c>
      <c r="T10" s="4">
        <f>M36</f>
        <v/>
      </c>
      <c r="U10" s="4">
        <f>M37</f>
        <v/>
      </c>
      <c r="V10" s="4">
        <f>M38</f>
        <v/>
      </c>
      <c r="W10" s="4">
        <f>M39</f>
        <v/>
      </c>
      <c r="X10" s="4">
        <f>M40</f>
        <v/>
      </c>
      <c r="Y10" s="4">
        <f>M41</f>
        <v/>
      </c>
    </row>
    <row r="11">
      <c r="A11" s="3" t="inlineStr">
        <is>
          <t>2.3</t>
        </is>
      </c>
      <c r="B11" s="3" t="inlineStr">
        <is>
          <t>借款利息支付</t>
        </is>
      </c>
      <c r="C11" s="4">
        <f>SUM(D11,E11,F11,G11,H11,I11,J11,K11,L11,M11,N11,O11,P11,Q11,R11,S11,T11,U11,V11,W11,X11,Y11)</f>
        <v/>
      </c>
      <c r="D11" s="4">
        <f>N20</f>
        <v/>
      </c>
      <c r="E11" s="4">
        <f>N21</f>
        <v/>
      </c>
      <c r="F11" s="4">
        <f>N22</f>
        <v/>
      </c>
      <c r="G11" s="4">
        <f>N23</f>
        <v/>
      </c>
      <c r="H11" s="4">
        <f>N24</f>
        <v/>
      </c>
      <c r="I11" s="4">
        <f>N25</f>
        <v/>
      </c>
      <c r="J11" s="4">
        <f>N26</f>
        <v/>
      </c>
      <c r="K11" s="4">
        <f>N27</f>
        <v/>
      </c>
      <c r="L11" s="4">
        <f>N28</f>
        <v/>
      </c>
      <c r="M11" s="4">
        <f>N29</f>
        <v/>
      </c>
      <c r="N11" s="4">
        <f>N30</f>
        <v/>
      </c>
      <c r="O11" s="4">
        <f>N31</f>
        <v/>
      </c>
      <c r="P11" s="4">
        <f>N32</f>
        <v/>
      </c>
      <c r="Q11" s="4">
        <f>N33</f>
        <v/>
      </c>
      <c r="R11" s="4">
        <f>N34</f>
        <v/>
      </c>
      <c r="S11" s="4">
        <f>N35</f>
        <v/>
      </c>
      <c r="T11" s="4">
        <f>N36</f>
        <v/>
      </c>
      <c r="U11" s="4">
        <f>N37</f>
        <v/>
      </c>
      <c r="V11" s="4">
        <f>N38</f>
        <v/>
      </c>
      <c r="W11" s="4">
        <f>N39</f>
        <v/>
      </c>
      <c r="X11" s="4">
        <f>N40</f>
        <v/>
      </c>
      <c r="Y11" s="4">
        <f>N41</f>
        <v/>
      </c>
    </row>
    <row r="12">
      <c r="A12" s="3" t="inlineStr">
        <is>
          <t>2.4</t>
        </is>
      </c>
      <c r="B12" s="3" t="inlineStr">
        <is>
          <t>经营成本</t>
        </is>
      </c>
      <c r="C12" s="4">
        <f>SUM(D12,E12,F12,G12,H12,I12,J12,K12,L12,M12,N12,O12,P12,Q12,R12,S12,T12,U12,V12,W12,X12,Y12)</f>
        <v/>
      </c>
      <c r="D12" s="4">
        <f>G20</f>
        <v/>
      </c>
      <c r="E12" s="4">
        <f>G21</f>
        <v/>
      </c>
      <c r="F12" s="4">
        <f>G22</f>
        <v/>
      </c>
      <c r="G12" s="4">
        <f>G23</f>
        <v/>
      </c>
      <c r="H12" s="4">
        <f>G24</f>
        <v/>
      </c>
      <c r="I12" s="4">
        <f>G25</f>
        <v/>
      </c>
      <c r="J12" s="4">
        <f>G26</f>
        <v/>
      </c>
      <c r="K12" s="4">
        <f>G27</f>
        <v/>
      </c>
      <c r="L12" s="4">
        <f>G28</f>
        <v/>
      </c>
      <c r="M12" s="4">
        <f>G29</f>
        <v/>
      </c>
      <c r="N12" s="4">
        <f>G30</f>
        <v/>
      </c>
      <c r="O12" s="4">
        <f>G31</f>
        <v/>
      </c>
      <c r="P12" s="4">
        <f>G32</f>
        <v/>
      </c>
      <c r="Q12" s="4">
        <f>G33</f>
        <v/>
      </c>
      <c r="R12" s="4">
        <f>G34</f>
        <v/>
      </c>
      <c r="S12" s="4">
        <f>G35</f>
        <v/>
      </c>
      <c r="T12" s="4">
        <f>G36</f>
        <v/>
      </c>
      <c r="U12" s="4">
        <f>G37</f>
        <v/>
      </c>
      <c r="V12" s="4">
        <f>G38</f>
        <v/>
      </c>
      <c r="W12" s="4">
        <f>G39</f>
        <v/>
      </c>
      <c r="X12" s="4">
        <f>G40</f>
        <v/>
      </c>
      <c r="Y12" s="4">
        <f>G41</f>
        <v/>
      </c>
    </row>
    <row r="13">
      <c r="A13" s="3" t="inlineStr">
        <is>
          <t>2.5</t>
        </is>
      </c>
      <c r="B13" s="3" t="inlineStr">
        <is>
          <t>税金及附加</t>
        </is>
      </c>
      <c r="C13" s="4">
        <f>SUM(D13,E13,F13,G13,H13,I13,J13,K13,L13,M13,N13,O13,P13,Q13,R13,S13,T13,U13,V13,W13,X13,Y13)</f>
        <v/>
      </c>
      <c r="D13" s="4">
        <f>H20</f>
        <v/>
      </c>
      <c r="E13" s="4">
        <f>H21</f>
        <v/>
      </c>
      <c r="F13" s="4">
        <f>H22</f>
        <v/>
      </c>
      <c r="G13" s="4">
        <f>H23</f>
        <v/>
      </c>
      <c r="H13" s="4">
        <f>H24</f>
        <v/>
      </c>
      <c r="I13" s="4">
        <f>H25</f>
        <v/>
      </c>
      <c r="J13" s="4">
        <f>H26</f>
        <v/>
      </c>
      <c r="K13" s="4">
        <f>H27</f>
        <v/>
      </c>
      <c r="L13" s="4">
        <f>H28</f>
        <v/>
      </c>
      <c r="M13" s="4">
        <f>H29</f>
        <v/>
      </c>
      <c r="N13" s="4">
        <f>H30</f>
        <v/>
      </c>
      <c r="O13" s="4">
        <f>H31</f>
        <v/>
      </c>
      <c r="P13" s="4">
        <f>H32</f>
        <v/>
      </c>
      <c r="Q13" s="4">
        <f>H33</f>
        <v/>
      </c>
      <c r="R13" s="4">
        <f>H34</f>
        <v/>
      </c>
      <c r="S13" s="4">
        <f>H35</f>
        <v/>
      </c>
      <c r="T13" s="4">
        <f>H36</f>
        <v/>
      </c>
      <c r="U13" s="4">
        <f>H37</f>
        <v/>
      </c>
      <c r="V13" s="4">
        <f>H38</f>
        <v/>
      </c>
      <c r="W13" s="4">
        <f>H39</f>
        <v/>
      </c>
      <c r="X13" s="4">
        <f>H40</f>
        <v/>
      </c>
      <c r="Y13" s="4">
        <f>H41</f>
        <v/>
      </c>
    </row>
    <row r="14">
      <c r="A14" s="3" t="inlineStr">
        <is>
          <t>2.6</t>
        </is>
      </c>
      <c r="B14" s="3" t="inlineStr">
        <is>
          <t>所得税</t>
        </is>
      </c>
      <c r="C14" s="4">
        <f>SUM(D14,E14,F14,G14,H14,I14,J14,K14,L14,M14,N14,O14,P14,Q14,R14,S14,T14,U14,V14,W14,X14,Y14)</f>
        <v/>
      </c>
      <c r="D14" s="4">
        <f>I20</f>
        <v/>
      </c>
      <c r="E14" s="4">
        <f>I21</f>
        <v/>
      </c>
      <c r="F14" s="4">
        <f>I22</f>
        <v/>
      </c>
      <c r="G14" s="4">
        <f>I23</f>
        <v/>
      </c>
      <c r="H14" s="4">
        <f>I24</f>
        <v/>
      </c>
      <c r="I14" s="4">
        <f>I25</f>
        <v/>
      </c>
      <c r="J14" s="4">
        <f>I26</f>
        <v/>
      </c>
      <c r="K14" s="4">
        <f>I27</f>
        <v/>
      </c>
      <c r="L14" s="4">
        <f>I28</f>
        <v/>
      </c>
      <c r="M14" s="4">
        <f>I29</f>
        <v/>
      </c>
      <c r="N14" s="4">
        <f>I30</f>
        <v/>
      </c>
      <c r="O14" s="4">
        <f>I31</f>
        <v/>
      </c>
      <c r="P14" s="4">
        <f>I32</f>
        <v/>
      </c>
      <c r="Q14" s="4">
        <f>I33</f>
        <v/>
      </c>
      <c r="R14" s="4">
        <f>I34</f>
        <v/>
      </c>
      <c r="S14" s="4">
        <f>I35</f>
        <v/>
      </c>
      <c r="T14" s="4">
        <f>I36</f>
        <v/>
      </c>
      <c r="U14" s="4">
        <f>I37</f>
        <v/>
      </c>
      <c r="V14" s="4">
        <f>I38</f>
        <v/>
      </c>
      <c r="W14" s="4">
        <f>I39</f>
        <v/>
      </c>
      <c r="X14" s="4">
        <f>I40</f>
        <v/>
      </c>
      <c r="Y14" s="4">
        <f>I41</f>
        <v/>
      </c>
    </row>
    <row r="15">
      <c r="A15" s="3" t="inlineStr">
        <is>
          <t>3</t>
        </is>
      </c>
      <c r="B15" s="3" t="inlineStr">
        <is>
          <t>资本金净现金流量</t>
        </is>
      </c>
      <c r="C15" s="4">
        <f>SUM(D15,E15,F15,G15,H15,I15,J15,K15,L15,M15,N15,O15,P15,Q15,R15,S15,T15,U15,V15,W15,X15,Y15)</f>
        <v/>
      </c>
      <c r="D15" s="4">
        <f>O20</f>
        <v/>
      </c>
      <c r="E15" s="4">
        <f>O21</f>
        <v/>
      </c>
      <c r="F15" s="4">
        <f>O22</f>
        <v/>
      </c>
      <c r="G15" s="4">
        <f>O23</f>
        <v/>
      </c>
      <c r="H15" s="4">
        <f>O24</f>
        <v/>
      </c>
      <c r="I15" s="4">
        <f>O25</f>
        <v/>
      </c>
      <c r="J15" s="4">
        <f>O26</f>
        <v/>
      </c>
      <c r="K15" s="4">
        <f>O27</f>
        <v/>
      </c>
      <c r="L15" s="4">
        <f>O28</f>
        <v/>
      </c>
      <c r="M15" s="4">
        <f>O29</f>
        <v/>
      </c>
      <c r="N15" s="4">
        <f>O30</f>
        <v/>
      </c>
      <c r="O15" s="4">
        <f>O31</f>
        <v/>
      </c>
      <c r="P15" s="4">
        <f>O32</f>
        <v/>
      </c>
      <c r="Q15" s="4">
        <f>O33</f>
        <v/>
      </c>
      <c r="R15" s="4">
        <f>O34</f>
        <v/>
      </c>
      <c r="S15" s="4">
        <f>O35</f>
        <v/>
      </c>
      <c r="T15" s="4">
        <f>O36</f>
        <v/>
      </c>
      <c r="U15" s="4">
        <f>O37</f>
        <v/>
      </c>
      <c r="V15" s="4">
        <f>O38</f>
        <v/>
      </c>
      <c r="W15" s="4">
        <f>O39</f>
        <v/>
      </c>
      <c r="X15" s="4">
        <f>O40</f>
        <v/>
      </c>
      <c r="Y15" s="4">
        <f>O41</f>
        <v/>
      </c>
    </row>
    <row r="16">
      <c r="A16" s="3" t="inlineStr">
        <is>
          <t>4</t>
        </is>
      </c>
      <c r="B16" s="3" t="inlineStr">
        <is>
          <t>累计净现金流量</t>
        </is>
      </c>
      <c r="C16" s="4" t="n">
        <v>62518.25</v>
      </c>
      <c r="D16" s="4" t="n">
        <v>-8800</v>
      </c>
      <c r="E16" s="4" t="n">
        <v>-17600</v>
      </c>
      <c r="F16" s="4" t="n">
        <v>-16913.81</v>
      </c>
      <c r="G16" s="4" t="n">
        <v>-15281.54</v>
      </c>
      <c r="H16" s="4" t="n">
        <v>-12926.21</v>
      </c>
      <c r="I16" s="4" t="n">
        <v>-9847.83</v>
      </c>
      <c r="J16" s="4" t="n">
        <v>-6715.45</v>
      </c>
      <c r="K16" s="4" t="n">
        <v>-3529.07</v>
      </c>
      <c r="L16" s="4" t="n">
        <v>-288.69</v>
      </c>
      <c r="M16" s="4" t="n">
        <v>3005.69</v>
      </c>
      <c r="N16" s="4" t="n">
        <v>6354.07</v>
      </c>
      <c r="O16" s="4" t="n">
        <v>9756.450000000001</v>
      </c>
      <c r="P16" s="4" t="n">
        <v>13212.83</v>
      </c>
      <c r="Q16" s="4" t="n">
        <v>16723.21</v>
      </c>
      <c r="R16" s="4" t="n">
        <v>21487.59</v>
      </c>
      <c r="S16" s="4" t="n">
        <v>26251.97</v>
      </c>
      <c r="T16" s="4" t="n">
        <v>31016.35</v>
      </c>
      <c r="U16" s="4" t="n">
        <v>35780.73</v>
      </c>
      <c r="V16" s="4" t="n">
        <v>40545.11</v>
      </c>
      <c r="W16" s="4" t="n">
        <v>45309.49</v>
      </c>
      <c r="X16" s="4" t="n">
        <v>50073.87</v>
      </c>
      <c r="Y16" s="4" t="n">
        <v>62518.25</v>
      </c>
    </row>
    <row r="17"/>
    <row r="18">
      <c r="A18" t="inlineStr">
        <is>
          <t>引擎逐年计算区（供公式与跨表追溯）</t>
        </is>
      </c>
    </row>
    <row r="19">
      <c r="A19" s="5" t="inlineStr">
        <is>
          <t>计算期(年)</t>
        </is>
      </c>
      <c r="B19" s="5" t="inlineStr">
        <is>
          <t>阶段</t>
        </is>
      </c>
      <c r="C19" s="5" t="inlineStr">
        <is>
          <t>资本金投入</t>
        </is>
      </c>
      <c r="D19" s="5" t="inlineStr">
        <is>
          <t>营业收入</t>
        </is>
      </c>
      <c r="E19" s="5" t="inlineStr">
        <is>
          <t>回收固定资产余值</t>
        </is>
      </c>
      <c r="F19" s="5" t="inlineStr">
        <is>
          <t>回收流动资金</t>
        </is>
      </c>
      <c r="G19" s="5" t="inlineStr">
        <is>
          <t>经营成本</t>
        </is>
      </c>
      <c r="H19" s="5" t="inlineStr">
        <is>
          <t>税金及附加</t>
        </is>
      </c>
      <c r="I19" s="5" t="inlineStr">
        <is>
          <t>所得税</t>
        </is>
      </c>
      <c r="J19" s="5" t="inlineStr">
        <is>
          <t>现金流入</t>
        </is>
      </c>
      <c r="K19" s="5" t="inlineStr">
        <is>
          <t>现金流出</t>
        </is>
      </c>
      <c r="L19" s="5" t="inlineStr">
        <is>
          <t>经营现金流入</t>
        </is>
      </c>
      <c r="M19" s="5" t="inlineStr">
        <is>
          <t>还本</t>
        </is>
      </c>
      <c r="N19" s="5" t="inlineStr">
        <is>
          <t>付息</t>
        </is>
      </c>
      <c r="O19" s="5" t="inlineStr">
        <is>
          <t>资本金净现金流</t>
        </is>
      </c>
    </row>
    <row r="20">
      <c r="A20" s="6" t="n">
        <v>0</v>
      </c>
      <c r="B20" t="inlineStr">
        <is>
          <t>建设期</t>
        </is>
      </c>
      <c r="C20" s="6" t="n">
        <v>8800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>
        <f>SUM(D20,E20,F20)</f>
        <v/>
      </c>
      <c r="K20" s="6">
        <f>SUM(C20,G20,H20,I20,M20,N20)</f>
        <v/>
      </c>
      <c r="L20" s="6" t="n">
        <v>0</v>
      </c>
      <c r="M20" s="6" t="n">
        <v>0</v>
      </c>
      <c r="N20" s="6" t="n">
        <v>0</v>
      </c>
      <c r="O20" s="6">
        <f>J20-K20</f>
        <v/>
      </c>
    </row>
    <row r="21">
      <c r="A21" s="6" t="n">
        <v>1</v>
      </c>
      <c r="B21" t="inlineStr">
        <is>
          <t>建设期</t>
        </is>
      </c>
      <c r="C21" s="6" t="n">
        <v>8800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>
        <f>SUM(D21,E21,F21)</f>
        <v/>
      </c>
      <c r="K21" s="6">
        <f>SUM(C21,G21,H21,I21,M21,N21)</f>
        <v/>
      </c>
      <c r="L21" s="6" t="n">
        <v>0</v>
      </c>
      <c r="M21" s="6" t="n">
        <v>0</v>
      </c>
      <c r="N21" s="6" t="n">
        <v>0</v>
      </c>
      <c r="O21" s="6">
        <f>J21-K21</f>
        <v/>
      </c>
    </row>
    <row r="22">
      <c r="A22" s="6" t="n">
        <v>2</v>
      </c>
      <c r="B22" t="inlineStr">
        <is>
          <t>运营期</t>
        </is>
      </c>
      <c r="C22" s="6" t="n">
        <v>0</v>
      </c>
      <c r="D22" s="6" t="n">
        <v>5085</v>
      </c>
      <c r="E22" s="6" t="n">
        <v>0</v>
      </c>
      <c r="F22" s="6" t="n">
        <v>0</v>
      </c>
      <c r="G22" s="6" t="n">
        <v>2100</v>
      </c>
      <c r="H22" s="6" t="n">
        <v>11.41</v>
      </c>
      <c r="I22" s="6" t="n">
        <v>439.4</v>
      </c>
      <c r="J22" s="6">
        <f>SUM(D22,E22,F22)</f>
        <v/>
      </c>
      <c r="K22" s="6">
        <f>SUM(C22,G22,H22,I22,M22,N22)</f>
        <v/>
      </c>
      <c r="L22" s="6" t="n">
        <v>2534.19</v>
      </c>
      <c r="M22" s="6">
        <f>'附表8'!E24</f>
        <v/>
      </c>
      <c r="N22" s="6">
        <f>'附表8'!F24</f>
        <v/>
      </c>
      <c r="O22" s="6">
        <f>J22-K22</f>
        <v/>
      </c>
    </row>
    <row r="23">
      <c r="A23" s="6" t="n">
        <v>3</v>
      </c>
      <c r="B23" t="inlineStr">
        <is>
          <t>运营期</t>
        </is>
      </c>
      <c r="C23" s="6" t="n">
        <v>0</v>
      </c>
      <c r="D23" s="6" t="n">
        <v>7119</v>
      </c>
      <c r="E23" s="6" t="n">
        <v>0</v>
      </c>
      <c r="F23" s="6" t="n">
        <v>0</v>
      </c>
      <c r="G23" s="6" t="n">
        <v>2940</v>
      </c>
      <c r="H23" s="6" t="n">
        <v>15.98</v>
      </c>
      <c r="I23" s="6" t="n">
        <v>736.75</v>
      </c>
      <c r="J23" s="6">
        <f>SUM(D23,E23,F23)</f>
        <v/>
      </c>
      <c r="K23" s="6">
        <f>SUM(C23,G23,H23,I23,M23,N23)</f>
        <v/>
      </c>
      <c r="L23" s="6" t="n">
        <v>3426.27</v>
      </c>
      <c r="M23" s="6">
        <f>'附表8'!E25</f>
        <v/>
      </c>
      <c r="N23" s="6">
        <f>'附表8'!F25</f>
        <v/>
      </c>
      <c r="O23" s="6">
        <f>J23-K23</f>
        <v/>
      </c>
    </row>
    <row r="24">
      <c r="A24" s="6" t="n">
        <v>4</v>
      </c>
      <c r="B24" t="inlineStr">
        <is>
          <t>运营期</t>
        </is>
      </c>
      <c r="C24" s="6" t="n">
        <v>0</v>
      </c>
      <c r="D24" s="6" t="n">
        <v>8644.5</v>
      </c>
      <c r="E24" s="6" t="n">
        <v>0</v>
      </c>
      <c r="F24" s="6" t="n">
        <v>0</v>
      </c>
      <c r="G24" s="6" t="n">
        <v>3570</v>
      </c>
      <c r="H24" s="6" t="n">
        <v>19.4</v>
      </c>
      <c r="I24" s="6" t="n">
        <v>959.77</v>
      </c>
      <c r="J24" s="6">
        <f>SUM(D24,E24,F24)</f>
        <v/>
      </c>
      <c r="K24" s="6">
        <f>SUM(C24,G24,H24,I24,M24,N24)</f>
        <v/>
      </c>
      <c r="L24" s="6" t="n">
        <v>4095.33</v>
      </c>
      <c r="M24" s="6">
        <f>'附表8'!E26</f>
        <v/>
      </c>
      <c r="N24" s="6">
        <f>'附表8'!F26</f>
        <v/>
      </c>
      <c r="O24" s="6">
        <f>J24-K24</f>
        <v/>
      </c>
    </row>
    <row r="25">
      <c r="A25" s="6" t="n">
        <v>5</v>
      </c>
      <c r="B25" t="inlineStr">
        <is>
          <t>运营期</t>
        </is>
      </c>
      <c r="C25" s="6" t="n">
        <v>0</v>
      </c>
      <c r="D25" s="6" t="n">
        <v>10170</v>
      </c>
      <c r="E25" s="6" t="n">
        <v>0</v>
      </c>
      <c r="F25" s="6" t="n">
        <v>0</v>
      </c>
      <c r="G25" s="6" t="n">
        <v>4200</v>
      </c>
      <c r="H25" s="6" t="n">
        <v>22.82</v>
      </c>
      <c r="I25" s="6" t="n">
        <v>1182.8</v>
      </c>
      <c r="J25" s="6">
        <f>SUM(D25,E25,F25)</f>
        <v/>
      </c>
      <c r="K25" s="6">
        <f>SUM(C25,G25,H25,I25,M25,N25)</f>
        <v/>
      </c>
      <c r="L25" s="6" t="n">
        <v>4764.38</v>
      </c>
      <c r="M25" s="6">
        <f>'附表8'!E27</f>
        <v/>
      </c>
      <c r="N25" s="6">
        <f>'附表8'!F27</f>
        <v/>
      </c>
      <c r="O25" s="6">
        <f>J25-K25</f>
        <v/>
      </c>
    </row>
    <row r="26">
      <c r="A26" s="6" t="n">
        <v>6</v>
      </c>
      <c r="B26" t="inlineStr">
        <is>
          <t>运营期</t>
        </is>
      </c>
      <c r="C26" s="6" t="n">
        <v>0</v>
      </c>
      <c r="D26" s="6" t="n">
        <v>10170</v>
      </c>
      <c r="E26" s="6" t="n">
        <v>0</v>
      </c>
      <c r="F26" s="6" t="n">
        <v>0</v>
      </c>
      <c r="G26" s="6" t="n">
        <v>4200</v>
      </c>
      <c r="H26" s="6" t="n">
        <v>22.82</v>
      </c>
      <c r="I26" s="6" t="n">
        <v>1182.8</v>
      </c>
      <c r="J26" s="6">
        <f>SUM(D26,E26,F26)</f>
        <v/>
      </c>
      <c r="K26" s="6">
        <f>SUM(C26,G26,H26,I26,M26,N26)</f>
        <v/>
      </c>
      <c r="L26" s="6" t="n">
        <v>4764.38</v>
      </c>
      <c r="M26" s="6">
        <f>'附表8'!E28</f>
        <v/>
      </c>
      <c r="N26" s="6">
        <f>'附表8'!F28</f>
        <v/>
      </c>
      <c r="O26" s="6">
        <f>J26-K26</f>
        <v/>
      </c>
    </row>
    <row r="27">
      <c r="A27" s="6" t="n">
        <v>7</v>
      </c>
      <c r="B27" t="inlineStr">
        <is>
          <t>运营期</t>
        </is>
      </c>
      <c r="C27" s="6" t="n">
        <v>0</v>
      </c>
      <c r="D27" s="6" t="n">
        <v>10170</v>
      </c>
      <c r="E27" s="6" t="n">
        <v>0</v>
      </c>
      <c r="F27" s="6" t="n">
        <v>0</v>
      </c>
      <c r="G27" s="6" t="n">
        <v>4200</v>
      </c>
      <c r="H27" s="6" t="n">
        <v>22.82</v>
      </c>
      <c r="I27" s="6" t="n">
        <v>1182.8</v>
      </c>
      <c r="J27" s="6">
        <f>SUM(D27,E27,F27)</f>
        <v/>
      </c>
      <c r="K27" s="6">
        <f>SUM(C27,G27,H27,I27,M27,N27)</f>
        <v/>
      </c>
      <c r="L27" s="6" t="n">
        <v>4764.38</v>
      </c>
      <c r="M27" s="6">
        <f>'附表8'!E29</f>
        <v/>
      </c>
      <c r="N27" s="6">
        <f>'附表8'!F29</f>
        <v/>
      </c>
      <c r="O27" s="6">
        <f>J27-K27</f>
        <v/>
      </c>
    </row>
    <row r="28">
      <c r="A28" s="6" t="n">
        <v>8</v>
      </c>
      <c r="B28" t="inlineStr">
        <is>
          <t>运营期</t>
        </is>
      </c>
      <c r="C28" s="6" t="n">
        <v>0</v>
      </c>
      <c r="D28" s="6" t="n">
        <v>10170</v>
      </c>
      <c r="E28" s="6" t="n">
        <v>0</v>
      </c>
      <c r="F28" s="6" t="n">
        <v>0</v>
      </c>
      <c r="G28" s="6" t="n">
        <v>4200</v>
      </c>
      <c r="H28" s="6" t="n">
        <v>22.82</v>
      </c>
      <c r="I28" s="6" t="n">
        <v>1182.8</v>
      </c>
      <c r="J28" s="6">
        <f>SUM(D28,E28,F28)</f>
        <v/>
      </c>
      <c r="K28" s="6">
        <f>SUM(C28,G28,H28,I28,M28,N28)</f>
        <v/>
      </c>
      <c r="L28" s="6" t="n">
        <v>4764.38</v>
      </c>
      <c r="M28" s="6">
        <f>'附表8'!E30</f>
        <v/>
      </c>
      <c r="N28" s="6">
        <f>'附表8'!F30</f>
        <v/>
      </c>
      <c r="O28" s="6">
        <f>J28-K28</f>
        <v/>
      </c>
    </row>
    <row r="29">
      <c r="A29" s="6" t="n">
        <v>9</v>
      </c>
      <c r="B29" t="inlineStr">
        <is>
          <t>运营期</t>
        </is>
      </c>
      <c r="C29" s="6" t="n">
        <v>0</v>
      </c>
      <c r="D29" s="6" t="n">
        <v>10170</v>
      </c>
      <c r="E29" s="6" t="n">
        <v>0</v>
      </c>
      <c r="F29" s="6" t="n">
        <v>0</v>
      </c>
      <c r="G29" s="6" t="n">
        <v>4200</v>
      </c>
      <c r="H29" s="6" t="n">
        <v>22.82</v>
      </c>
      <c r="I29" s="6" t="n">
        <v>1182.8</v>
      </c>
      <c r="J29" s="6">
        <f>SUM(D29,E29,F29)</f>
        <v/>
      </c>
      <c r="K29" s="6">
        <f>SUM(C29,G29,H29,I29,M29,N29)</f>
        <v/>
      </c>
      <c r="L29" s="6" t="n">
        <v>4764.38</v>
      </c>
      <c r="M29" s="6">
        <f>'附表8'!E31</f>
        <v/>
      </c>
      <c r="N29" s="6">
        <f>'附表8'!F31</f>
        <v/>
      </c>
      <c r="O29" s="6">
        <f>J29-K29</f>
        <v/>
      </c>
    </row>
    <row r="30">
      <c r="A30" s="6" t="n">
        <v>10</v>
      </c>
      <c r="B30" t="inlineStr">
        <is>
          <t>运营期</t>
        </is>
      </c>
      <c r="C30" s="6" t="n">
        <v>0</v>
      </c>
      <c r="D30" s="6" t="n">
        <v>10170</v>
      </c>
      <c r="E30" s="6" t="n">
        <v>0</v>
      </c>
      <c r="F30" s="6" t="n">
        <v>0</v>
      </c>
      <c r="G30" s="6" t="n">
        <v>4200</v>
      </c>
      <c r="H30" s="6" t="n">
        <v>22.82</v>
      </c>
      <c r="I30" s="6" t="n">
        <v>1182.8</v>
      </c>
      <c r="J30" s="6">
        <f>SUM(D30,E30,F30)</f>
        <v/>
      </c>
      <c r="K30" s="6">
        <f>SUM(C30,G30,H30,I30,M30,N30)</f>
        <v/>
      </c>
      <c r="L30" s="6" t="n">
        <v>4764.38</v>
      </c>
      <c r="M30" s="6">
        <f>'附表8'!E32</f>
        <v/>
      </c>
      <c r="N30" s="6">
        <f>'附表8'!F32</f>
        <v/>
      </c>
      <c r="O30" s="6">
        <f>J30-K30</f>
        <v/>
      </c>
    </row>
    <row r="31">
      <c r="A31" s="6" t="n">
        <v>11</v>
      </c>
      <c r="B31" t="inlineStr">
        <is>
          <t>运营期</t>
        </is>
      </c>
      <c r="C31" s="6" t="n">
        <v>0</v>
      </c>
      <c r="D31" s="6" t="n">
        <v>10170</v>
      </c>
      <c r="E31" s="6" t="n">
        <v>0</v>
      </c>
      <c r="F31" s="6" t="n">
        <v>0</v>
      </c>
      <c r="G31" s="6" t="n">
        <v>4200</v>
      </c>
      <c r="H31" s="6" t="n">
        <v>22.82</v>
      </c>
      <c r="I31" s="6" t="n">
        <v>1182.8</v>
      </c>
      <c r="J31" s="6">
        <f>SUM(D31,E31,F31)</f>
        <v/>
      </c>
      <c r="K31" s="6">
        <f>SUM(C31,G31,H31,I31,M31,N31)</f>
        <v/>
      </c>
      <c r="L31" s="6" t="n">
        <v>4764.38</v>
      </c>
      <c r="M31" s="6">
        <f>'附表8'!E33</f>
        <v/>
      </c>
      <c r="N31" s="6">
        <f>'附表8'!F33</f>
        <v/>
      </c>
      <c r="O31" s="6">
        <f>J31-K31</f>
        <v/>
      </c>
    </row>
    <row r="32">
      <c r="A32" s="6" t="n">
        <v>12</v>
      </c>
      <c r="B32" t="inlineStr">
        <is>
          <t>运营期</t>
        </is>
      </c>
      <c r="C32" s="6" t="n">
        <v>0</v>
      </c>
      <c r="D32" s="6" t="n">
        <v>10170</v>
      </c>
      <c r="E32" s="6" t="n">
        <v>0</v>
      </c>
      <c r="F32" s="6" t="n">
        <v>0</v>
      </c>
      <c r="G32" s="6" t="n">
        <v>4200</v>
      </c>
      <c r="H32" s="6" t="n">
        <v>22.82</v>
      </c>
      <c r="I32" s="6" t="n">
        <v>1182.8</v>
      </c>
      <c r="J32" s="6">
        <f>SUM(D32,E32,F32)</f>
        <v/>
      </c>
      <c r="K32" s="6">
        <f>SUM(C32,G32,H32,I32,M32,N32)</f>
        <v/>
      </c>
      <c r="L32" s="6" t="n">
        <v>4764.38</v>
      </c>
      <c r="M32" s="6">
        <f>'附表8'!E34</f>
        <v/>
      </c>
      <c r="N32" s="6">
        <f>'附表8'!F34</f>
        <v/>
      </c>
      <c r="O32" s="6">
        <f>J32-K32</f>
        <v/>
      </c>
    </row>
    <row r="33">
      <c r="A33" s="6" t="n">
        <v>13</v>
      </c>
      <c r="B33" t="inlineStr">
        <is>
          <t>运营期</t>
        </is>
      </c>
      <c r="C33" s="6" t="n">
        <v>0</v>
      </c>
      <c r="D33" s="6" t="n">
        <v>10170</v>
      </c>
      <c r="E33" s="6" t="n">
        <v>0</v>
      </c>
      <c r="F33" s="6" t="n">
        <v>0</v>
      </c>
      <c r="G33" s="6" t="n">
        <v>4200</v>
      </c>
      <c r="H33" s="6" t="n">
        <v>22.82</v>
      </c>
      <c r="I33" s="6" t="n">
        <v>1182.8</v>
      </c>
      <c r="J33" s="6">
        <f>SUM(D33,E33,F33)</f>
        <v/>
      </c>
      <c r="K33" s="6">
        <f>SUM(C33,G33,H33,I33,M33,N33)</f>
        <v/>
      </c>
      <c r="L33" s="6" t="n">
        <v>4764.38</v>
      </c>
      <c r="M33" s="6">
        <f>'附表8'!E35</f>
        <v/>
      </c>
      <c r="N33" s="6">
        <f>'附表8'!F35</f>
        <v/>
      </c>
      <c r="O33" s="6">
        <f>J33-K33</f>
        <v/>
      </c>
    </row>
    <row r="34">
      <c r="A34" s="6" t="n">
        <v>14</v>
      </c>
      <c r="B34" t="inlineStr">
        <is>
          <t>运营期</t>
        </is>
      </c>
      <c r="C34" s="6" t="n">
        <v>0</v>
      </c>
      <c r="D34" s="6" t="n">
        <v>10170</v>
      </c>
      <c r="E34" s="6" t="n">
        <v>0</v>
      </c>
      <c r="F34" s="6" t="n">
        <v>0</v>
      </c>
      <c r="G34" s="6" t="n">
        <v>4200</v>
      </c>
      <c r="H34" s="6" t="n">
        <v>22.82</v>
      </c>
      <c r="I34" s="6" t="n">
        <v>1182.8</v>
      </c>
      <c r="J34" s="6">
        <f>SUM(D34,E34,F34)</f>
        <v/>
      </c>
      <c r="K34" s="6">
        <f>SUM(C34,G34,H34,I34,M34,N34)</f>
        <v/>
      </c>
      <c r="L34" s="6" t="n">
        <v>4764.38</v>
      </c>
      <c r="M34" s="6">
        <f>'附表8'!E36</f>
        <v/>
      </c>
      <c r="N34" s="6">
        <f>'附表8'!F36</f>
        <v/>
      </c>
      <c r="O34" s="6">
        <f>J34-K34</f>
        <v/>
      </c>
    </row>
    <row r="35">
      <c r="A35" s="6" t="n">
        <v>15</v>
      </c>
      <c r="B35" t="inlineStr">
        <is>
          <t>运营期</t>
        </is>
      </c>
      <c r="C35" s="6" t="n">
        <v>0</v>
      </c>
      <c r="D35" s="6" t="n">
        <v>10170</v>
      </c>
      <c r="E35" s="6" t="n">
        <v>0</v>
      </c>
      <c r="F35" s="6" t="n">
        <v>0</v>
      </c>
      <c r="G35" s="6" t="n">
        <v>4200</v>
      </c>
      <c r="H35" s="6" t="n">
        <v>22.82</v>
      </c>
      <c r="I35" s="6" t="n">
        <v>1182.8</v>
      </c>
      <c r="J35" s="6">
        <f>SUM(D35,E35,F35)</f>
        <v/>
      </c>
      <c r="K35" s="6">
        <f>SUM(C35,G35,H35,I35,M35,N35)</f>
        <v/>
      </c>
      <c r="L35" s="6" t="n">
        <v>4764.38</v>
      </c>
      <c r="M35" s="6">
        <f>'附表8'!E37</f>
        <v/>
      </c>
      <c r="N35" s="6">
        <f>'附表8'!F37</f>
        <v/>
      </c>
      <c r="O35" s="6">
        <f>J35-K35</f>
        <v/>
      </c>
    </row>
    <row r="36">
      <c r="A36" s="6" t="n">
        <v>16</v>
      </c>
      <c r="B36" t="inlineStr">
        <is>
          <t>运营期</t>
        </is>
      </c>
      <c r="C36" s="6" t="n">
        <v>0</v>
      </c>
      <c r="D36" s="6" t="n">
        <v>10170</v>
      </c>
      <c r="E36" s="6" t="n">
        <v>0</v>
      </c>
      <c r="F36" s="6" t="n">
        <v>0</v>
      </c>
      <c r="G36" s="6" t="n">
        <v>4200</v>
      </c>
      <c r="H36" s="6" t="n">
        <v>22.82</v>
      </c>
      <c r="I36" s="6" t="n">
        <v>1182.8</v>
      </c>
      <c r="J36" s="6">
        <f>SUM(D36,E36,F36)</f>
        <v/>
      </c>
      <c r="K36" s="6">
        <f>SUM(C36,G36,H36,I36,M36,N36)</f>
        <v/>
      </c>
      <c r="L36" s="6" t="n">
        <v>4764.38</v>
      </c>
      <c r="M36" s="6">
        <f>'附表8'!E38</f>
        <v/>
      </c>
      <c r="N36" s="6">
        <f>'附表8'!F38</f>
        <v/>
      </c>
      <c r="O36" s="6">
        <f>J36-K36</f>
        <v/>
      </c>
    </row>
    <row r="37">
      <c r="A37" s="6" t="n">
        <v>17</v>
      </c>
      <c r="B37" t="inlineStr">
        <is>
          <t>运营期</t>
        </is>
      </c>
      <c r="C37" s="6" t="n">
        <v>0</v>
      </c>
      <c r="D37" s="6" t="n">
        <v>10170</v>
      </c>
      <c r="E37" s="6" t="n">
        <v>0</v>
      </c>
      <c r="F37" s="6" t="n">
        <v>0</v>
      </c>
      <c r="G37" s="6" t="n">
        <v>4200</v>
      </c>
      <c r="H37" s="6" t="n">
        <v>22.82</v>
      </c>
      <c r="I37" s="6" t="n">
        <v>1182.8</v>
      </c>
      <c r="J37" s="6">
        <f>SUM(D37,E37,F37)</f>
        <v/>
      </c>
      <c r="K37" s="6">
        <f>SUM(C37,G37,H37,I37,M37,N37)</f>
        <v/>
      </c>
      <c r="L37" s="6" t="n">
        <v>4764.38</v>
      </c>
      <c r="M37" s="6">
        <f>'附表8'!E39</f>
        <v/>
      </c>
      <c r="N37" s="6">
        <f>'附表8'!F39</f>
        <v/>
      </c>
      <c r="O37" s="6">
        <f>J37-K37</f>
        <v/>
      </c>
    </row>
    <row r="38">
      <c r="A38" s="6" t="n">
        <v>18</v>
      </c>
      <c r="B38" t="inlineStr">
        <is>
          <t>运营期</t>
        </is>
      </c>
      <c r="C38" s="6" t="n">
        <v>0</v>
      </c>
      <c r="D38" s="6" t="n">
        <v>10170</v>
      </c>
      <c r="E38" s="6" t="n">
        <v>0</v>
      </c>
      <c r="F38" s="6" t="n">
        <v>0</v>
      </c>
      <c r="G38" s="6" t="n">
        <v>4200</v>
      </c>
      <c r="H38" s="6" t="n">
        <v>22.82</v>
      </c>
      <c r="I38" s="6" t="n">
        <v>1182.8</v>
      </c>
      <c r="J38" s="6">
        <f>SUM(D38,E38,F38)</f>
        <v/>
      </c>
      <c r="K38" s="6">
        <f>SUM(C38,G38,H38,I38,M38,N38)</f>
        <v/>
      </c>
      <c r="L38" s="6" t="n">
        <v>4764.38</v>
      </c>
      <c r="M38" s="6">
        <f>'附表8'!E40</f>
        <v/>
      </c>
      <c r="N38" s="6">
        <f>'附表8'!F40</f>
        <v/>
      </c>
      <c r="O38" s="6">
        <f>J38-K38</f>
        <v/>
      </c>
    </row>
    <row r="39">
      <c r="A39" s="6" t="n">
        <v>19</v>
      </c>
      <c r="B39" t="inlineStr">
        <is>
          <t>运营期</t>
        </is>
      </c>
      <c r="C39" s="6" t="n">
        <v>0</v>
      </c>
      <c r="D39" s="6" t="n">
        <v>10170</v>
      </c>
      <c r="E39" s="6" t="n">
        <v>0</v>
      </c>
      <c r="F39" s="6" t="n">
        <v>0</v>
      </c>
      <c r="G39" s="6" t="n">
        <v>4200</v>
      </c>
      <c r="H39" s="6" t="n">
        <v>22.82</v>
      </c>
      <c r="I39" s="6" t="n">
        <v>1182.8</v>
      </c>
      <c r="J39" s="6">
        <f>SUM(D39,E39,F39)</f>
        <v/>
      </c>
      <c r="K39" s="6">
        <f>SUM(C39,G39,H39,I39,M39,N39)</f>
        <v/>
      </c>
      <c r="L39" s="6" t="n">
        <v>4764.38</v>
      </c>
      <c r="M39" s="6">
        <f>'附表8'!E41</f>
        <v/>
      </c>
      <c r="N39" s="6">
        <f>'附表8'!F41</f>
        <v/>
      </c>
      <c r="O39" s="6">
        <f>J39-K39</f>
        <v/>
      </c>
    </row>
    <row r="40">
      <c r="A40" s="6" t="n">
        <v>20</v>
      </c>
      <c r="B40" t="inlineStr">
        <is>
          <t>运营期</t>
        </is>
      </c>
      <c r="C40" s="6" t="n">
        <v>0</v>
      </c>
      <c r="D40" s="6" t="n">
        <v>10170</v>
      </c>
      <c r="E40" s="6" t="n">
        <v>0</v>
      </c>
      <c r="F40" s="6" t="n">
        <v>0</v>
      </c>
      <c r="G40" s="6" t="n">
        <v>4200</v>
      </c>
      <c r="H40" s="6" t="n">
        <v>22.82</v>
      </c>
      <c r="I40" s="6" t="n">
        <v>1182.8</v>
      </c>
      <c r="J40" s="6">
        <f>SUM(D40,E40,F40)</f>
        <v/>
      </c>
      <c r="K40" s="6">
        <f>SUM(C40,G40,H40,I40,M40,N40)</f>
        <v/>
      </c>
      <c r="L40" s="6" t="n">
        <v>4764.38</v>
      </c>
      <c r="M40" s="6">
        <f>'附表8'!E42</f>
        <v/>
      </c>
      <c r="N40" s="6">
        <f>'附表8'!F42</f>
        <v/>
      </c>
      <c r="O40" s="6">
        <f>J40-K40</f>
        <v/>
      </c>
    </row>
    <row r="41">
      <c r="A41" s="6" t="n">
        <v>21</v>
      </c>
      <c r="B41" t="inlineStr">
        <is>
          <t>运营期</t>
        </is>
      </c>
      <c r="C41" s="6" t="n">
        <v>0</v>
      </c>
      <c r="D41" s="6" t="n">
        <v>10170</v>
      </c>
      <c r="E41" s="6" t="n">
        <v>7680</v>
      </c>
      <c r="F41" s="6" t="n">
        <v>0</v>
      </c>
      <c r="G41" s="6" t="n">
        <v>4200</v>
      </c>
      <c r="H41" s="6" t="n">
        <v>22.82</v>
      </c>
      <c r="I41" s="6" t="n">
        <v>1182.8</v>
      </c>
      <c r="J41" s="6">
        <f>SUM(D41,E41,F41)</f>
        <v/>
      </c>
      <c r="K41" s="6">
        <f>SUM(C41,G41,H41,I41,M41,N41)</f>
        <v/>
      </c>
      <c r="L41" s="6" t="n">
        <v>12444.38</v>
      </c>
      <c r="M41" s="6">
        <f>'附表8'!E43</f>
        <v/>
      </c>
      <c r="N41" s="6">
        <f>'附表8'!F43</f>
        <v/>
      </c>
      <c r="O41" s="6">
        <f>J41-K41</f>
        <v/>
      </c>
    </row>
    <row r="42">
      <c r="A42" t="inlineStr">
        <is>
          <t>说明1：资本金IRR=14.39</t>
        </is>
      </c>
    </row>
    <row r="43">
      <c r="A43" t="inlineStr">
        <is>
          <t>说明2：项目IRR=11.58</t>
        </is>
      </c>
    </row>
    <row r="44">
      <c r="A44" t="inlineStr">
        <is>
          <t>说明3：structure_gaps: 行业变体未冻结(variant=tourism, model=tourism)</t>
        </is>
      </c>
    </row>
    <row r="45"/>
    <row r="46">
      <c r="A46" t="inlineStr">
        <is>
          <t>现金流量组成树</t>
        </is>
      </c>
    </row>
    <row r="47">
      <c r="A47" t="inlineStr">
        <is>
          <t>项目</t>
        </is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6</v>
      </c>
      <c r="I47" t="n">
        <v>7</v>
      </c>
      <c r="J47" t="n">
        <v>8</v>
      </c>
      <c r="K47" t="n">
        <v>9</v>
      </c>
      <c r="L47" t="n">
        <v>10</v>
      </c>
      <c r="M47" t="n">
        <v>11</v>
      </c>
      <c r="N47" t="n">
        <v>12</v>
      </c>
      <c r="O47" t="n">
        <v>13</v>
      </c>
      <c r="P47" t="n">
        <v>14</v>
      </c>
      <c r="Q47" t="n">
        <v>15</v>
      </c>
      <c r="R47" t="n">
        <v>16</v>
      </c>
      <c r="S47" t="n">
        <v>17</v>
      </c>
      <c r="T47" t="n">
        <v>18</v>
      </c>
      <c r="U47" t="n">
        <v>19</v>
      </c>
      <c r="V47" t="n">
        <v>20</v>
      </c>
      <c r="W47" t="n">
        <v>21</v>
      </c>
    </row>
    <row r="48">
      <c r="A48" t="inlineStr">
        <is>
          <t>现金流入</t>
        </is>
      </c>
    </row>
    <row r="49">
      <c r="A49" t="inlineStr">
        <is>
          <t xml:space="preserve">  revenue</t>
        </is>
      </c>
      <c r="B49">
        <f>'附表10'!D20</f>
        <v/>
      </c>
      <c r="C49">
        <f>'附表10'!D21</f>
        <v/>
      </c>
      <c r="D49">
        <f>'附表10'!D22</f>
        <v/>
      </c>
      <c r="E49">
        <f>'附表10'!D23</f>
        <v/>
      </c>
      <c r="F49">
        <f>'附表10'!D24</f>
        <v/>
      </c>
      <c r="G49">
        <f>'附表10'!D25</f>
        <v/>
      </c>
      <c r="H49">
        <f>'附表10'!D26</f>
        <v/>
      </c>
      <c r="I49">
        <f>'附表10'!D27</f>
        <v/>
      </c>
      <c r="J49">
        <f>'附表10'!D28</f>
        <v/>
      </c>
      <c r="K49">
        <f>'附表10'!D29</f>
        <v/>
      </c>
      <c r="L49">
        <f>'附表10'!D30</f>
        <v/>
      </c>
      <c r="M49">
        <f>'附表10'!D31</f>
        <v/>
      </c>
      <c r="N49">
        <f>'附表10'!D32</f>
        <v/>
      </c>
      <c r="O49">
        <f>'附表10'!D33</f>
        <v/>
      </c>
      <c r="P49">
        <f>'附表10'!D34</f>
        <v/>
      </c>
      <c r="Q49">
        <f>'附表10'!D35</f>
        <v/>
      </c>
      <c r="R49">
        <f>'附表10'!D36</f>
        <v/>
      </c>
      <c r="S49">
        <f>'附表10'!D37</f>
        <v/>
      </c>
      <c r="T49">
        <f>'附表10'!D38</f>
        <v/>
      </c>
      <c r="U49">
        <f>'附表10'!D39</f>
        <v/>
      </c>
      <c r="V49">
        <f>'附表10'!D40</f>
        <v/>
      </c>
      <c r="W49">
        <f>'附表10'!D41</f>
        <v/>
      </c>
    </row>
    <row r="50">
      <c r="A50" t="inlineStr">
        <is>
          <t xml:space="preserve">  recover_fixed</t>
        </is>
      </c>
      <c r="B50">
        <f>'附表10'!E20</f>
        <v/>
      </c>
      <c r="C50">
        <f>'附表10'!E21</f>
        <v/>
      </c>
      <c r="D50">
        <f>'附表10'!E22</f>
        <v/>
      </c>
      <c r="E50">
        <f>'附表10'!E23</f>
        <v/>
      </c>
      <c r="F50">
        <f>'附表10'!E24</f>
        <v/>
      </c>
      <c r="G50">
        <f>'附表10'!E25</f>
        <v/>
      </c>
      <c r="H50">
        <f>'附表10'!E26</f>
        <v/>
      </c>
      <c r="I50">
        <f>'附表10'!E27</f>
        <v/>
      </c>
      <c r="J50">
        <f>'附表10'!E28</f>
        <v/>
      </c>
      <c r="K50">
        <f>'附表10'!E29</f>
        <v/>
      </c>
      <c r="L50">
        <f>'附表10'!E30</f>
        <v/>
      </c>
      <c r="M50">
        <f>'附表10'!E31</f>
        <v/>
      </c>
      <c r="N50">
        <f>'附表10'!E32</f>
        <v/>
      </c>
      <c r="O50">
        <f>'附表10'!E33</f>
        <v/>
      </c>
      <c r="P50">
        <f>'附表10'!E34</f>
        <v/>
      </c>
      <c r="Q50">
        <f>'附表10'!E35</f>
        <v/>
      </c>
      <c r="R50">
        <f>'附表10'!E36</f>
        <v/>
      </c>
      <c r="S50">
        <f>'附表10'!E37</f>
        <v/>
      </c>
      <c r="T50">
        <f>'附表10'!E38</f>
        <v/>
      </c>
      <c r="U50">
        <f>'附表10'!E39</f>
        <v/>
      </c>
      <c r="V50">
        <f>'附表10'!E40</f>
        <v/>
      </c>
      <c r="W50">
        <f>'附表10'!E41</f>
        <v/>
      </c>
    </row>
    <row r="51">
      <c r="A51" t="inlineStr">
        <is>
          <t xml:space="preserve">  recover_wc</t>
        </is>
      </c>
      <c r="B51">
        <f>'附表10'!F20</f>
        <v/>
      </c>
      <c r="C51">
        <f>'附表10'!F21</f>
        <v/>
      </c>
      <c r="D51">
        <f>'附表10'!F22</f>
        <v/>
      </c>
      <c r="E51">
        <f>'附表10'!F23</f>
        <v/>
      </c>
      <c r="F51">
        <f>'附表10'!F24</f>
        <v/>
      </c>
      <c r="G51">
        <f>'附表10'!F25</f>
        <v/>
      </c>
      <c r="H51">
        <f>'附表10'!F26</f>
        <v/>
      </c>
      <c r="I51">
        <f>'附表10'!F27</f>
        <v/>
      </c>
      <c r="J51">
        <f>'附表10'!F28</f>
        <v/>
      </c>
      <c r="K51">
        <f>'附表10'!F29</f>
        <v/>
      </c>
      <c r="L51">
        <f>'附表10'!F30</f>
        <v/>
      </c>
      <c r="M51">
        <f>'附表10'!F31</f>
        <v/>
      </c>
      <c r="N51">
        <f>'附表10'!F32</f>
        <v/>
      </c>
      <c r="O51">
        <f>'附表10'!F33</f>
        <v/>
      </c>
      <c r="P51">
        <f>'附表10'!F34</f>
        <v/>
      </c>
      <c r="Q51">
        <f>'附表10'!F35</f>
        <v/>
      </c>
      <c r="R51">
        <f>'附表10'!F36</f>
        <v/>
      </c>
      <c r="S51">
        <f>'附表10'!F37</f>
        <v/>
      </c>
      <c r="T51">
        <f>'附表10'!F38</f>
        <v/>
      </c>
      <c r="U51">
        <f>'附表10'!F39</f>
        <v/>
      </c>
      <c r="V51">
        <f>'附表10'!F40</f>
        <v/>
      </c>
      <c r="W51">
        <f>'附表10'!F41</f>
        <v/>
      </c>
    </row>
    <row r="52">
      <c r="A52" t="inlineStr">
        <is>
          <t>现金流出</t>
        </is>
      </c>
    </row>
    <row r="53">
      <c r="A53" t="inlineStr">
        <is>
          <t xml:space="preserve">  capital_invest</t>
        </is>
      </c>
      <c r="B53">
        <f>'附表10'!C20</f>
        <v/>
      </c>
      <c r="C53">
        <f>'附表10'!C21</f>
        <v/>
      </c>
      <c r="D53">
        <f>'附表10'!C22</f>
        <v/>
      </c>
      <c r="E53">
        <f>'附表10'!C23</f>
        <v/>
      </c>
      <c r="F53">
        <f>'附表10'!C24</f>
        <v/>
      </c>
      <c r="G53">
        <f>'附表10'!C25</f>
        <v/>
      </c>
      <c r="H53">
        <f>'附表10'!C26</f>
        <v/>
      </c>
      <c r="I53">
        <f>'附表10'!C27</f>
        <v/>
      </c>
      <c r="J53">
        <f>'附表10'!C28</f>
        <v/>
      </c>
      <c r="K53">
        <f>'附表10'!C29</f>
        <v/>
      </c>
      <c r="L53">
        <f>'附表10'!C30</f>
        <v/>
      </c>
      <c r="M53">
        <f>'附表10'!C31</f>
        <v/>
      </c>
      <c r="N53">
        <f>'附表10'!C32</f>
        <v/>
      </c>
      <c r="O53">
        <f>'附表10'!C33</f>
        <v/>
      </c>
      <c r="P53">
        <f>'附表10'!C34</f>
        <v/>
      </c>
      <c r="Q53">
        <f>'附表10'!C35</f>
        <v/>
      </c>
      <c r="R53">
        <f>'附表10'!C36</f>
        <v/>
      </c>
      <c r="S53">
        <f>'附表10'!C37</f>
        <v/>
      </c>
      <c r="T53">
        <f>'附表10'!C38</f>
        <v/>
      </c>
      <c r="U53">
        <f>'附表10'!C39</f>
        <v/>
      </c>
      <c r="V53">
        <f>'附表10'!C40</f>
        <v/>
      </c>
      <c r="W53">
        <f>'附表10'!C41</f>
        <v/>
      </c>
    </row>
    <row r="54">
      <c r="A54" t="inlineStr">
        <is>
          <t xml:space="preserve">  op_cash_cost</t>
        </is>
      </c>
      <c r="B54">
        <f>'附表10'!G20</f>
        <v/>
      </c>
      <c r="C54">
        <f>'附表10'!G21</f>
        <v/>
      </c>
      <c r="D54">
        <f>'附表10'!G22</f>
        <v/>
      </c>
      <c r="E54">
        <f>'附表10'!G23</f>
        <v/>
      </c>
      <c r="F54">
        <f>'附表10'!G24</f>
        <v/>
      </c>
      <c r="G54">
        <f>'附表10'!G25</f>
        <v/>
      </c>
      <c r="H54">
        <f>'附表10'!G26</f>
        <v/>
      </c>
      <c r="I54">
        <f>'附表10'!G27</f>
        <v/>
      </c>
      <c r="J54">
        <f>'附表10'!G28</f>
        <v/>
      </c>
      <c r="K54">
        <f>'附表10'!G29</f>
        <v/>
      </c>
      <c r="L54">
        <f>'附表10'!G30</f>
        <v/>
      </c>
      <c r="M54">
        <f>'附表10'!G31</f>
        <v/>
      </c>
      <c r="N54">
        <f>'附表10'!G32</f>
        <v/>
      </c>
      <c r="O54">
        <f>'附表10'!G33</f>
        <v/>
      </c>
      <c r="P54">
        <f>'附表10'!G34</f>
        <v/>
      </c>
      <c r="Q54">
        <f>'附表10'!G35</f>
        <v/>
      </c>
      <c r="R54">
        <f>'附表10'!G36</f>
        <v/>
      </c>
      <c r="S54">
        <f>'附表10'!G37</f>
        <v/>
      </c>
      <c r="T54">
        <f>'附表10'!G38</f>
        <v/>
      </c>
      <c r="U54">
        <f>'附表10'!G39</f>
        <v/>
      </c>
      <c r="V54">
        <f>'附表10'!G40</f>
        <v/>
      </c>
      <c r="W54">
        <f>'附表10'!G41</f>
        <v/>
      </c>
    </row>
    <row r="55">
      <c r="A55" t="inlineStr">
        <is>
          <t xml:space="preserve">  tax_surtax</t>
        </is>
      </c>
      <c r="B55">
        <f>'附表10'!H20</f>
        <v/>
      </c>
      <c r="C55">
        <f>'附表10'!H21</f>
        <v/>
      </c>
      <c r="D55">
        <f>'附表10'!H22</f>
        <v/>
      </c>
      <c r="E55">
        <f>'附表10'!H23</f>
        <v/>
      </c>
      <c r="F55">
        <f>'附表10'!H24</f>
        <v/>
      </c>
      <c r="G55">
        <f>'附表10'!H25</f>
        <v/>
      </c>
      <c r="H55">
        <f>'附表10'!H26</f>
        <v/>
      </c>
      <c r="I55">
        <f>'附表10'!H27</f>
        <v/>
      </c>
      <c r="J55">
        <f>'附表10'!H28</f>
        <v/>
      </c>
      <c r="K55">
        <f>'附表10'!H29</f>
        <v/>
      </c>
      <c r="L55">
        <f>'附表10'!H30</f>
        <v/>
      </c>
      <c r="M55">
        <f>'附表10'!H31</f>
        <v/>
      </c>
      <c r="N55">
        <f>'附表10'!H32</f>
        <v/>
      </c>
      <c r="O55">
        <f>'附表10'!H33</f>
        <v/>
      </c>
      <c r="P55">
        <f>'附表10'!H34</f>
        <v/>
      </c>
      <c r="Q55">
        <f>'附表10'!H35</f>
        <v/>
      </c>
      <c r="R55">
        <f>'附表10'!H36</f>
        <v/>
      </c>
      <c r="S55">
        <f>'附表10'!H37</f>
        <v/>
      </c>
      <c r="T55">
        <f>'附表10'!H38</f>
        <v/>
      </c>
      <c r="U55">
        <f>'附表10'!H39</f>
        <v/>
      </c>
      <c r="V55">
        <f>'附表10'!H40</f>
        <v/>
      </c>
      <c r="W55">
        <f>'附表10'!H41</f>
        <v/>
      </c>
    </row>
    <row r="56">
      <c r="A56" t="inlineStr">
        <is>
          <t xml:space="preserve">  income_tax</t>
        </is>
      </c>
      <c r="B56">
        <f>'附表10'!I20</f>
        <v/>
      </c>
      <c r="C56">
        <f>'附表10'!I21</f>
        <v/>
      </c>
      <c r="D56">
        <f>'附表10'!I22</f>
        <v/>
      </c>
      <c r="E56">
        <f>'附表10'!I23</f>
        <v/>
      </c>
      <c r="F56">
        <f>'附表10'!I24</f>
        <v/>
      </c>
      <c r="G56">
        <f>'附表10'!I25</f>
        <v/>
      </c>
      <c r="H56">
        <f>'附表10'!I26</f>
        <v/>
      </c>
      <c r="I56">
        <f>'附表10'!I27</f>
        <v/>
      </c>
      <c r="J56">
        <f>'附表10'!I28</f>
        <v/>
      </c>
      <c r="K56">
        <f>'附表10'!I29</f>
        <v/>
      </c>
      <c r="L56">
        <f>'附表10'!I30</f>
        <v/>
      </c>
      <c r="M56">
        <f>'附表10'!I31</f>
        <v/>
      </c>
      <c r="N56">
        <f>'附表10'!I32</f>
        <v/>
      </c>
      <c r="O56">
        <f>'附表10'!I33</f>
        <v/>
      </c>
      <c r="P56">
        <f>'附表10'!I34</f>
        <v/>
      </c>
      <c r="Q56">
        <f>'附表10'!I35</f>
        <v/>
      </c>
      <c r="R56">
        <f>'附表10'!I36</f>
        <v/>
      </c>
      <c r="S56">
        <f>'附表10'!I37</f>
        <v/>
      </c>
      <c r="T56">
        <f>'附表10'!I38</f>
        <v/>
      </c>
      <c r="U56">
        <f>'附表10'!I39</f>
        <v/>
      </c>
      <c r="V56">
        <f>'附表10'!I40</f>
        <v/>
      </c>
      <c r="W56">
        <f>'附表10'!I41</f>
        <v/>
      </c>
    </row>
    <row r="57">
      <c r="A57" t="inlineStr">
        <is>
          <t xml:space="preserve">  principal</t>
        </is>
      </c>
      <c r="B57">
        <f>'附表10'!M20</f>
        <v/>
      </c>
      <c r="C57">
        <f>'附表10'!M21</f>
        <v/>
      </c>
      <c r="D57">
        <f>'附表10'!M22</f>
        <v/>
      </c>
      <c r="E57">
        <f>'附表10'!M23</f>
        <v/>
      </c>
      <c r="F57">
        <f>'附表10'!M24</f>
        <v/>
      </c>
      <c r="G57">
        <f>'附表10'!M25</f>
        <v/>
      </c>
      <c r="H57">
        <f>'附表10'!M26</f>
        <v/>
      </c>
      <c r="I57">
        <f>'附表10'!M27</f>
        <v/>
      </c>
      <c r="J57">
        <f>'附表10'!M28</f>
        <v/>
      </c>
      <c r="K57">
        <f>'附表10'!M29</f>
        <v/>
      </c>
      <c r="L57">
        <f>'附表10'!M30</f>
        <v/>
      </c>
      <c r="M57">
        <f>'附表10'!M31</f>
        <v/>
      </c>
      <c r="N57">
        <f>'附表10'!M32</f>
        <v/>
      </c>
      <c r="O57">
        <f>'附表10'!M33</f>
        <v/>
      </c>
      <c r="P57">
        <f>'附表10'!M34</f>
        <v/>
      </c>
      <c r="Q57">
        <f>'附表10'!M35</f>
        <v/>
      </c>
      <c r="R57">
        <f>'附表10'!M36</f>
        <v/>
      </c>
      <c r="S57">
        <f>'附表10'!M37</f>
        <v/>
      </c>
      <c r="T57">
        <f>'附表10'!M38</f>
        <v/>
      </c>
      <c r="U57">
        <f>'附表10'!M39</f>
        <v/>
      </c>
      <c r="V57">
        <f>'附表10'!M40</f>
        <v/>
      </c>
      <c r="W57">
        <f>'附表10'!M41</f>
        <v/>
      </c>
    </row>
    <row r="58">
      <c r="A58" t="inlineStr">
        <is>
          <t xml:space="preserve">  interest</t>
        </is>
      </c>
      <c r="B58">
        <f>'附表10'!N20</f>
        <v/>
      </c>
      <c r="C58">
        <f>'附表10'!N21</f>
        <v/>
      </c>
      <c r="D58">
        <f>'附表10'!N22</f>
        <v/>
      </c>
      <c r="E58">
        <f>'附表10'!N23</f>
        <v/>
      </c>
      <c r="F58">
        <f>'附表10'!N24</f>
        <v/>
      </c>
      <c r="G58">
        <f>'附表10'!N25</f>
        <v/>
      </c>
      <c r="H58">
        <f>'附表10'!N26</f>
        <v/>
      </c>
      <c r="I58">
        <f>'附表10'!N27</f>
        <v/>
      </c>
      <c r="J58">
        <f>'附表10'!N28</f>
        <v/>
      </c>
      <c r="K58">
        <f>'附表10'!N29</f>
        <v/>
      </c>
      <c r="L58">
        <f>'附表10'!N30</f>
        <v/>
      </c>
      <c r="M58">
        <f>'附表10'!N31</f>
        <v/>
      </c>
      <c r="N58">
        <f>'附表10'!N32</f>
        <v/>
      </c>
      <c r="O58">
        <f>'附表10'!N33</f>
        <v/>
      </c>
      <c r="P58">
        <f>'附表10'!N34</f>
        <v/>
      </c>
      <c r="Q58">
        <f>'附表10'!N35</f>
        <v/>
      </c>
      <c r="R58">
        <f>'附表10'!N36</f>
        <v/>
      </c>
      <c r="S58">
        <f>'附表10'!N37</f>
        <v/>
      </c>
      <c r="T58">
        <f>'附表10'!N38</f>
        <v/>
      </c>
      <c r="U58">
        <f>'附表10'!N39</f>
        <v/>
      </c>
      <c r="V58">
        <f>'附表10'!N40</f>
        <v/>
      </c>
      <c r="W58">
        <f>'附表10'!N41</f>
        <v/>
      </c>
    </row>
    <row r="59">
      <c r="A59" t="inlineStr">
        <is>
          <t>现金净额</t>
        </is>
      </c>
    </row>
    <row r="60">
      <c r="A60" t="inlineStr">
        <is>
          <t xml:space="preserve">  net_cashflow</t>
        </is>
      </c>
      <c r="B60">
        <f>'附表10'!O20</f>
        <v/>
      </c>
      <c r="C60">
        <f>'附表10'!O21</f>
        <v/>
      </c>
      <c r="D60">
        <f>'附表10'!O22</f>
        <v/>
      </c>
      <c r="E60">
        <f>'附表10'!O23</f>
        <v/>
      </c>
      <c r="F60">
        <f>'附表10'!O24</f>
        <v/>
      </c>
      <c r="G60">
        <f>'附表10'!O25</f>
        <v/>
      </c>
      <c r="H60">
        <f>'附表10'!O26</f>
        <v/>
      </c>
      <c r="I60">
        <f>'附表10'!O27</f>
        <v/>
      </c>
      <c r="J60">
        <f>'附表10'!O28</f>
        <v/>
      </c>
      <c r="K60">
        <f>'附表10'!O29</f>
        <v/>
      </c>
      <c r="L60">
        <f>'附表10'!O30</f>
        <v/>
      </c>
      <c r="M60">
        <f>'附表10'!O31</f>
        <v/>
      </c>
      <c r="N60">
        <f>'附表10'!O32</f>
        <v/>
      </c>
      <c r="O60">
        <f>'附表10'!O33</f>
        <v/>
      </c>
      <c r="P60">
        <f>'附表10'!O34</f>
        <v/>
      </c>
      <c r="Q60">
        <f>'附表10'!O35</f>
        <v/>
      </c>
      <c r="R60">
        <f>'附表10'!O36</f>
        <v/>
      </c>
      <c r="S60">
        <f>'附表10'!O37</f>
        <v/>
      </c>
      <c r="T60">
        <f>'附表10'!O38</f>
        <v/>
      </c>
      <c r="U60">
        <f>'附表10'!O39</f>
        <v/>
      </c>
      <c r="V60">
        <f>'附表10'!O40</f>
        <v/>
      </c>
      <c r="W60">
        <f>'附表10'!O41</f>
        <v/>
      </c>
    </row>
    <row r="61">
      <c r="A61" t="inlineStr">
        <is>
          <t>跨表依赖复核：附表3</t>
        </is>
      </c>
      <c r="B61" s="6">
        <f>'附表3'!B4</f>
        <v/>
      </c>
    </row>
    <row r="62">
      <c r="A62" t="inlineStr">
        <is>
          <t>跨表依赖复核：附表4</t>
        </is>
      </c>
      <c r="B62" s="6">
        <f>'附表4'!C4</f>
        <v/>
      </c>
    </row>
    <row r="63">
      <c r="A63" t="inlineStr">
        <is>
          <t>跨表依赖复核：附表5</t>
        </is>
      </c>
      <c r="B63" s="6">
        <f>'附表5'!A22</f>
        <v/>
      </c>
    </row>
    <row r="64">
      <c r="A64" t="inlineStr">
        <is>
          <t>跨表依赖复核：附表6</t>
        </is>
      </c>
      <c r="B64" s="6">
        <f>'附表6'!A17</f>
        <v/>
      </c>
    </row>
    <row r="65">
      <c r="A65" t="inlineStr">
        <is>
          <t>跨表依赖复核：附表6-2</t>
        </is>
      </c>
      <c r="B65" s="6">
        <f>'附表6-2'!A8</f>
        <v/>
      </c>
    </row>
    <row r="66">
      <c r="A66" t="inlineStr">
        <is>
          <t>跨表依赖复核：附表7</t>
        </is>
      </c>
      <c r="B66" s="6">
        <f>'附表7'!A24</f>
        <v/>
      </c>
    </row>
    <row r="67">
      <c r="A67" t="inlineStr">
        <is>
          <t>跨表依赖复核：附表8</t>
        </is>
      </c>
      <c r="B67" s="6">
        <f>'附表8'!A24</f>
        <v/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2026-08-06T03:47:04Z</dcterms:created>
  <dcterms:modified xmlns:dcterms="http://purl.org/dc/terms/" xmlns:xsi="http://www.w3.org/2001/XMLSchema-instance" xsi:type="dcterms:W3CDTF">2026-08-06T03:47:05Z</dcterms:modified>
</cp:coreProperties>
</file>