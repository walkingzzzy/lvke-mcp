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附表1" sheetId="2" state="visible" r:id="rId2"/>
    <sheet xmlns:r="http://schemas.openxmlformats.org/officeDocument/2006/relationships" name="附表2" sheetId="3" state="visible" r:id="rId3"/>
    <sheet xmlns:r="http://schemas.openxmlformats.org/officeDocument/2006/relationships" name="附表3" sheetId="4" state="visible" r:id="rId4"/>
    <sheet xmlns:r="http://schemas.openxmlformats.org/officeDocument/2006/relationships" name="附表4" sheetId="5" state="visible" r:id="rId5"/>
    <sheet xmlns:r="http://schemas.openxmlformats.org/officeDocument/2006/relationships" name="附表5" sheetId="6" state="visible" r:id="rId6"/>
    <sheet xmlns:r="http://schemas.openxmlformats.org/officeDocument/2006/relationships" name="附表6" sheetId="7" state="visible" r:id="rId7"/>
    <sheet xmlns:r="http://schemas.openxmlformats.org/officeDocument/2006/relationships" name="附表6-1" sheetId="8" state="visible" r:id="rId8"/>
    <sheet xmlns:r="http://schemas.openxmlformats.org/officeDocument/2006/relationships" name="附表6-2" sheetId="9" state="visible" r:id="rId9"/>
    <sheet xmlns:r="http://schemas.openxmlformats.org/officeDocument/2006/relationships" name="附表6-3" sheetId="10" state="visible" r:id="rId10"/>
    <sheet xmlns:r="http://schemas.openxmlformats.org/officeDocument/2006/relationships" name="附表7" sheetId="11" state="visible" r:id="rId11"/>
    <sheet xmlns:r="http://schemas.openxmlformats.org/officeDocument/2006/relationships" name="附表8" sheetId="12" state="visible" r:id="rId12"/>
    <sheet xmlns:r="http://schemas.openxmlformats.org/officeDocument/2006/relationships" name="附表9" sheetId="13" state="visible" r:id="rId13"/>
    <sheet xmlns:r="http://schemas.openxmlformats.org/officeDocument/2006/relationships" name="附表10" sheetId="14" state="visible" r:id="rId14"/>
    <sheet xmlns:r="http://schemas.openxmlformats.org/officeDocument/2006/relationships" name="Indicators" sheetId="15" state="visible" r:id="rId15"/>
    <sheet xmlns:r="http://schemas.openxmlformats.org/officeDocument/2006/relationships" name="Income" sheetId="16" state="visible" r:id="rId16"/>
    <sheet xmlns:r="http://schemas.openxmlformats.org/officeDocument/2006/relationships" name="TotalCost" sheetId="17" state="visible" r:id="rId17"/>
    <sheet xmlns:r="http://schemas.openxmlformats.org/officeDocument/2006/relationships" name="ProjectCF" sheetId="18" state="visible" r:id="rId18"/>
    <sheet xmlns:r="http://schemas.openxmlformats.org/officeDocument/2006/relationships" name="CapitalCF" sheetId="19" state="visible" r:id="rId19"/>
    <sheet xmlns:r="http://schemas.openxmlformats.org/officeDocument/2006/relationships" name="FinancialPlan" sheetId="20" state="visible" r:id="rId20"/>
    <sheet xmlns:r="http://schemas.openxmlformats.org/officeDocument/2006/relationships" name="Debt" sheetId="21" state="visible" r:id="rId21"/>
    <sheet xmlns:r="http://schemas.openxmlformats.org/officeDocument/2006/relationships" name="Checks" sheetId="22" state="visible" r:id="rId22"/>
    <sheet xmlns:r="http://schemas.openxmlformats.org/officeDocument/2006/relationships" name="CellLineage" sheetId="23" state="visible" r:id="rId23"/>
    <sheet xmlns:r="http://schemas.openxmlformats.org/officeDocument/2006/relationships" name="TemplateDiff" sheetId="24" state="visible" r:id="rId24"/>
    <sheet xmlns:r="http://schemas.openxmlformats.org/officeDocument/2006/relationships" name="FormulaAudit" sheetId="25" state="visible" r:id="rId25"/>
    <sheet xmlns:r="http://schemas.openxmlformats.org/officeDocument/2006/relationships" name="Meta" sheetId="26" state="visible" r:id="rId2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left"/>
    </xf>
    <xf numFmtId="0" fontId="2" fillId="3" borderId="0" pivotButton="0" quotePrefix="0" xfId="0"/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  <xf numFmtId="0" fontId="1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role</t>
        </is>
      </c>
    </row>
    <row r="2">
      <c r="A2" s="2" t="inlineStr">
        <is>
          <t>total_investment_wan</t>
        </is>
      </c>
      <c r="B2" s="2" t="n">
        <v>42642</v>
      </c>
      <c r="C2" s="2" t="inlineStr">
        <is>
          <t>万元</t>
        </is>
      </c>
      <c r="D2" s="2" t="inlineStr">
        <is>
          <t>input</t>
        </is>
      </c>
    </row>
    <row r="3">
      <c r="A3" s="2" t="inlineStr">
        <is>
          <t>construction_wan</t>
        </is>
      </c>
      <c r="B3" s="2" t="n">
        <v>41789.16</v>
      </c>
      <c r="C3" s="2" t="inlineStr">
        <is>
          <t>万元</t>
        </is>
      </c>
      <c r="D3" s="2" t="inlineStr">
        <is>
          <t>input</t>
        </is>
      </c>
    </row>
    <row r="4">
      <c r="A4" s="2" t="inlineStr">
        <is>
          <t>interest_wan</t>
        </is>
      </c>
      <c r="B4" s="2" t="n">
        <v>477.59</v>
      </c>
      <c r="C4" s="2" t="inlineStr">
        <is>
          <t>万元</t>
        </is>
      </c>
      <c r="D4" s="2" t="inlineStr">
        <is>
          <t>input</t>
        </is>
      </c>
    </row>
    <row r="5">
      <c r="A5" s="2" t="inlineStr">
        <is>
          <t>equity_capital_wan</t>
        </is>
      </c>
      <c r="B5" s="2" t="n">
        <v>12792.6</v>
      </c>
      <c r="C5" s="2" t="inlineStr">
        <is>
          <t>万元</t>
        </is>
      </c>
      <c r="D5" s="2" t="inlineStr">
        <is>
          <t>input</t>
        </is>
      </c>
    </row>
    <row r="6">
      <c r="A6" s="2" t="inlineStr">
        <is>
          <t>loan_wan</t>
        </is>
      </c>
      <c r="B6" s="2" t="n">
        <v>29849.4</v>
      </c>
      <c r="C6" s="2" t="inlineStr">
        <is>
          <t>万元</t>
        </is>
      </c>
      <c r="D6" s="2" t="inlineStr">
        <is>
          <t>input</t>
        </is>
      </c>
    </row>
    <row r="7">
      <c r="A7" s="2" t="inlineStr">
        <is>
          <t>calc_years</t>
        </is>
      </c>
      <c r="B7" s="2" t="n">
        <v>25</v>
      </c>
      <c r="C7" s="2" t="inlineStr">
        <is>
          <t>年</t>
        </is>
      </c>
      <c r="D7" s="2" t="inlineStr">
        <is>
          <t>input</t>
        </is>
      </c>
    </row>
    <row r="8">
      <c r="A8" s="2" t="inlineStr">
        <is>
          <t>build_years</t>
        </is>
      </c>
      <c r="B8" s="2" t="n">
        <v>1</v>
      </c>
      <c r="C8" s="2" t="inlineStr">
        <is>
          <t>年</t>
        </is>
      </c>
      <c r="D8" s="2" t="inlineStr">
        <is>
          <t>input</t>
        </is>
      </c>
    </row>
    <row r="9">
      <c r="A9" s="2" t="inlineStr">
        <is>
          <t>finance_schema_version</t>
        </is>
      </c>
      <c r="B9" s="2" t="inlineStr">
        <is>
          <t>2.0</t>
        </is>
      </c>
      <c r="C9" s="2" t="inlineStr"/>
      <c r="D9" s="2" t="inlineStr">
        <is>
          <t>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附表1 固定资产投资估算表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工程或费用名称</t>
        </is>
      </c>
      <c r="C3" s="4" t="inlineStr">
        <is>
          <t>计量单位</t>
        </is>
      </c>
      <c r="D3" s="4" t="inlineStr">
        <is>
          <t>工程量</t>
        </is>
      </c>
      <c r="E3" s="4" t="inlineStr">
        <is>
          <t>估算指标（元）</t>
        </is>
      </c>
      <c r="F3" s="4" t="inlineStr">
        <is>
          <t>建筑工程</t>
        </is>
      </c>
      <c r="G3" s="4" t="inlineStr">
        <is>
          <t>设备原价</t>
        </is>
      </c>
      <c r="H3" s="4" t="inlineStr">
        <is>
          <t>运杂安装工程费</t>
        </is>
      </c>
      <c r="I3" s="4" t="inlineStr">
        <is>
          <t>其它费用</t>
        </is>
      </c>
      <c r="J3" s="4" t="inlineStr">
        <is>
          <t>合计</t>
        </is>
      </c>
      <c r="K3" s="4" t="inlineStr">
        <is>
          <t>比例(%)</t>
        </is>
      </c>
    </row>
    <row r="4">
      <c r="A4" s="5" t="inlineStr">
        <is>
          <t>1</t>
        </is>
      </c>
      <c r="B4" s="5" t="inlineStr">
        <is>
          <t>工程费用</t>
        </is>
      </c>
      <c r="C4" s="5" t="inlineStr"/>
      <c r="D4" s="5" t="n"/>
      <c r="E4" s="5" t="n"/>
      <c r="F4" s="5" t="n"/>
      <c r="G4" s="5" t="n"/>
      <c r="H4" s="5" t="n"/>
      <c r="I4" s="5" t="n"/>
      <c r="J4" s="6" t="n">
        <v>38502</v>
      </c>
      <c r="K4" s="6" t="n">
        <v>90.29000000000001</v>
      </c>
    </row>
    <row r="5">
      <c r="A5" s="5" t="inlineStr">
        <is>
          <t>1.1</t>
        </is>
      </c>
      <c r="B5" s="5" t="inlineStr">
        <is>
          <t>建筑工程费</t>
        </is>
      </c>
      <c r="C5" s="5" t="inlineStr">
        <is>
          <t>万元</t>
        </is>
      </c>
      <c r="D5" s="5" t="n"/>
      <c r="E5" s="5" t="n"/>
      <c r="F5" s="6">
        <f>J5</f>
        <v/>
      </c>
      <c r="G5" s="5" t="n"/>
      <c r="H5" s="5" t="n"/>
      <c r="I5" s="5" t="n"/>
      <c r="J5" s="6">
        <f>D5*E5/10000</f>
        <v/>
      </c>
      <c r="K5" s="6">
        <f>J5/J15*100</f>
        <v/>
      </c>
    </row>
    <row r="6">
      <c r="A6" s="5" t="inlineStr">
        <is>
          <t>1.2</t>
        </is>
      </c>
      <c r="B6" s="5" t="inlineStr">
        <is>
          <t>设备及工器具购置费</t>
        </is>
      </c>
      <c r="C6" s="5" t="inlineStr">
        <is>
          <t>万元</t>
        </is>
      </c>
      <c r="D6" s="5" t="n"/>
      <c r="E6" s="5" t="n"/>
      <c r="F6" s="5" t="n"/>
      <c r="G6" s="6">
        <f>J6</f>
        <v/>
      </c>
      <c r="H6" s="5" t="n"/>
      <c r="I6" s="5" t="n"/>
      <c r="J6" s="6">
        <f>D6*E6/10000</f>
        <v/>
      </c>
      <c r="K6" s="6">
        <f>J6/J15*100</f>
        <v/>
      </c>
    </row>
    <row r="7">
      <c r="A7" s="5" t="inlineStr">
        <is>
          <t>1.3</t>
        </is>
      </c>
      <c r="B7" s="5" t="inlineStr">
        <is>
          <t>安装工程费</t>
        </is>
      </c>
      <c r="C7" s="5" t="inlineStr">
        <is>
          <t>万元</t>
        </is>
      </c>
      <c r="D7" s="5" t="n"/>
      <c r="E7" s="5" t="n"/>
      <c r="F7" s="5" t="n"/>
      <c r="G7" s="5" t="n"/>
      <c r="H7" s="6">
        <f>J7</f>
        <v/>
      </c>
      <c r="I7" s="5" t="n"/>
      <c r="J7" s="6">
        <f>D7*E7/10000</f>
        <v/>
      </c>
      <c r="K7" s="6">
        <f>J7/J15*100</f>
        <v/>
      </c>
    </row>
    <row r="8">
      <c r="A8" s="5" t="inlineStr">
        <is>
          <t>2</t>
        </is>
      </c>
      <c r="B8" s="5" t="inlineStr">
        <is>
          <t>工程建设其他费用</t>
        </is>
      </c>
      <c r="C8" s="5" t="inlineStr"/>
      <c r="D8" s="5" t="n"/>
      <c r="E8" s="5" t="n"/>
      <c r="F8" s="5" t="n"/>
      <c r="G8" s="5" t="n"/>
      <c r="H8" s="5" t="n"/>
      <c r="I8" s="5" t="n"/>
      <c r="J8" s="6" t="n">
        <v>0</v>
      </c>
      <c r="K8" s="6" t="n">
        <v>0</v>
      </c>
    </row>
    <row r="9">
      <c r="A9" s="5" t="inlineStr">
        <is>
          <t>3</t>
        </is>
      </c>
      <c r="B9" s="5" t="inlineStr">
        <is>
          <t>预备费</t>
        </is>
      </c>
      <c r="C9" s="5" t="inlineStr"/>
      <c r="D9" s="5" t="n"/>
      <c r="E9" s="5" t="n"/>
      <c r="F9" s="5" t="n"/>
      <c r="G9" s="5" t="n"/>
      <c r="H9" s="5" t="n"/>
      <c r="I9" s="5" t="n"/>
      <c r="J9" s="6" t="n">
        <v>1217.16</v>
      </c>
      <c r="K9" s="6" t="n">
        <v>2.85</v>
      </c>
    </row>
    <row r="10">
      <c r="A10" s="5" t="inlineStr">
        <is>
          <t>3.1</t>
        </is>
      </c>
      <c r="B10" s="5" t="inlineStr">
        <is>
          <t>基本预备费</t>
        </is>
      </c>
      <c r="C10" s="5" t="inlineStr">
        <is>
          <t>万元</t>
        </is>
      </c>
      <c r="D10" s="5" t="n"/>
      <c r="E10" s="5" t="n"/>
      <c r="F10" s="5" t="n"/>
      <c r="G10" s="5" t="n"/>
      <c r="H10" s="5" t="n"/>
      <c r="I10" s="6">
        <f>J10</f>
        <v/>
      </c>
      <c r="J10" s="6">
        <f>D10*E10/10000</f>
        <v/>
      </c>
      <c r="K10" s="6">
        <f>J10/J15*100</f>
        <v/>
      </c>
    </row>
    <row r="11">
      <c r="A11" s="5" t="inlineStr">
        <is>
          <t>4</t>
        </is>
      </c>
      <c r="B11" s="5" t="inlineStr">
        <is>
          <t>一至三项合计</t>
        </is>
      </c>
      <c r="C11" s="5" t="inlineStr">
        <is>
          <t>万元</t>
        </is>
      </c>
      <c r="D11" s="5" t="n"/>
      <c r="E11" s="5" t="n"/>
      <c r="F11" s="5" t="n"/>
      <c r="G11" s="5" t="n"/>
      <c r="H11" s="5" t="n"/>
      <c r="I11" s="6" t="n">
        <v>39719.16</v>
      </c>
      <c r="J11" s="6" t="n">
        <v>39719.16</v>
      </c>
      <c r="K11" s="6" t="n">
        <v>93.15000000000001</v>
      </c>
    </row>
    <row r="12">
      <c r="A12" s="5" t="inlineStr">
        <is>
          <t>5</t>
        </is>
      </c>
      <c r="B12" s="5" t="inlineStr">
        <is>
          <t>建设期贷款利息</t>
        </is>
      </c>
      <c r="C12" s="5" t="inlineStr">
        <is>
          <t>万元</t>
        </is>
      </c>
      <c r="D12" s="5" t="n"/>
      <c r="E12" s="5" t="n"/>
      <c r="F12" s="5" t="n"/>
      <c r="G12" s="5" t="n"/>
      <c r="H12" s="5" t="n"/>
      <c r="I12" s="6" t="n">
        <v>477.59</v>
      </c>
      <c r="J12" s="6" t="n">
        <v>477.59</v>
      </c>
      <c r="K12" s="6" t="n">
        <v>1.12</v>
      </c>
    </row>
    <row r="13">
      <c r="A13" s="5" t="inlineStr">
        <is>
          <t>6</t>
        </is>
      </c>
      <c r="B13" s="5" t="inlineStr">
        <is>
          <t>固定资产投资合计</t>
        </is>
      </c>
      <c r="C13" s="5" t="inlineStr">
        <is>
          <t>万元</t>
        </is>
      </c>
      <c r="D13" s="5" t="n"/>
      <c r="E13" s="5" t="n"/>
      <c r="F13" s="5" t="n"/>
      <c r="G13" s="5" t="n"/>
      <c r="H13" s="5" t="n"/>
      <c r="I13" s="6" t="n">
        <v>40196.75</v>
      </c>
      <c r="J13" s="6" t="n">
        <v>40196.75</v>
      </c>
      <c r="K13" s="6" t="n">
        <v>94.27</v>
      </c>
    </row>
    <row r="14">
      <c r="A14" s="5" t="inlineStr">
        <is>
          <t>7</t>
        </is>
      </c>
      <c r="B14" s="5" t="inlineStr">
        <is>
          <t>流动资金</t>
        </is>
      </c>
      <c r="C14" s="5" t="inlineStr">
        <is>
          <t>万元</t>
        </is>
      </c>
      <c r="D14" s="5" t="n"/>
      <c r="E14" s="5" t="n"/>
      <c r="F14" s="5" t="n"/>
      <c r="G14" s="5" t="n"/>
      <c r="H14" s="5" t="n"/>
      <c r="I14" s="6" t="n">
        <v>0</v>
      </c>
      <c r="J14" s="6" t="n">
        <v>0</v>
      </c>
      <c r="K14" s="6" t="n">
        <v>0</v>
      </c>
    </row>
    <row r="15">
      <c r="A15" s="5" t="inlineStr"/>
      <c r="B15" s="5" t="inlineStr">
        <is>
          <t>项目总投资合计</t>
        </is>
      </c>
      <c r="C15" s="5" t="inlineStr">
        <is>
          <t>万元</t>
        </is>
      </c>
      <c r="D15" s="5" t="n"/>
      <c r="E15" s="5" t="n"/>
      <c r="F15" s="5" t="n"/>
      <c r="G15" s="5" t="n"/>
      <c r="H15" s="5" t="n"/>
      <c r="I15" s="5" t="n"/>
      <c r="J15" s="6" t="n">
        <v>42642</v>
      </c>
      <c r="K15" s="6" t="n">
        <v>100</v>
      </c>
    </row>
    <row r="16">
      <c r="A16" t="inlineStr">
        <is>
          <t>说明1：明细来自用户输入；未提供工程量/指标时保持空白，不反向造数</t>
        </is>
      </c>
    </row>
    <row r="17">
      <c r="A17" t="inlineStr">
        <is>
          <t>说明2：missing_fields: construction_items 工程量×估算指标明细（≥3 项；仅有分类金额不算 reference）；construction_items 明细（需≥3 项工程量×指标）</t>
        </is>
      </c>
    </row>
    <row r="18">
      <c r="A18" t="inlineStr">
        <is>
          <t>说明3：structure_gaps: 工程明细不足（需≥3项，当前0）；工程量×估算指标成对不足（需≥3，当前0）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附表2 建设期贷款利息表</t>
        </is>
      </c>
    </row>
    <row r="2">
      <c r="A2" t="inlineStr">
        <is>
          <t>匡算预览｜未批准，不得用于正式报批；口径：reference；有效：是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分年1</t>
        </is>
      </c>
    </row>
    <row r="4">
      <c r="A4" s="5" t="inlineStr">
        <is>
          <t>1</t>
        </is>
      </c>
      <c r="B4" s="5" t="inlineStr">
        <is>
          <t>期初借款余额</t>
        </is>
      </c>
      <c r="C4" s="6">
        <f>D4</f>
        <v/>
      </c>
      <c r="D4" s="6">
        <f>B14</f>
        <v/>
      </c>
    </row>
    <row r="5">
      <c r="A5" s="5" t="inlineStr">
        <is>
          <t>2</t>
        </is>
      </c>
      <c r="B5" s="5" t="inlineStr">
        <is>
          <t>当期借款</t>
        </is>
      </c>
      <c r="C5" s="6">
        <f>SUM(D5)</f>
        <v/>
      </c>
      <c r="D5" s="6">
        <f>C14</f>
        <v/>
      </c>
    </row>
    <row r="6">
      <c r="A6" s="5" t="inlineStr">
        <is>
          <t>3</t>
        </is>
      </c>
      <c r="B6" s="5" t="inlineStr">
        <is>
          <t>年利率</t>
        </is>
      </c>
      <c r="C6" s="5" t="inlineStr">
        <is>
          <t>3.20%</t>
        </is>
      </c>
      <c r="D6" s="5" t="inlineStr">
        <is>
          <t>3.20%</t>
        </is>
      </c>
    </row>
    <row r="7">
      <c r="A7" s="5" t="inlineStr">
        <is>
          <t>4</t>
        </is>
      </c>
      <c r="B7" s="5" t="inlineStr">
        <is>
          <t>当期应付利息</t>
        </is>
      </c>
      <c r="C7" s="6">
        <f>SUM(D7)</f>
        <v/>
      </c>
      <c r="D7" s="6">
        <f>E14</f>
        <v/>
      </c>
    </row>
    <row r="8">
      <c r="A8" s="5" t="inlineStr">
        <is>
          <t>5</t>
        </is>
      </c>
      <c r="B8" s="5" t="inlineStr">
        <is>
          <t>期末借款余额</t>
        </is>
      </c>
      <c r="C8" s="6">
        <f>D8</f>
        <v/>
      </c>
      <c r="D8" s="6">
        <f>F14</f>
        <v/>
      </c>
    </row>
    <row r="9">
      <c r="A9" s="5" t="inlineStr">
        <is>
          <t>6</t>
        </is>
      </c>
      <c r="B9" s="5" t="inlineStr">
        <is>
          <t>其他融资费用</t>
        </is>
      </c>
      <c r="C9" s="6" t="n">
        <v>0</v>
      </c>
      <c r="D9" s="6" t="n">
        <v>0</v>
      </c>
    </row>
    <row r="10">
      <c r="A10" s="5" t="inlineStr"/>
      <c r="B10" s="5" t="inlineStr">
        <is>
          <t>小计</t>
        </is>
      </c>
      <c r="C10" s="6">
        <f>SUM(D10)</f>
        <v/>
      </c>
      <c r="D10" s="6">
        <f>E14</f>
        <v/>
      </c>
    </row>
    <row r="11"/>
    <row r="12">
      <c r="A12" t="inlineStr">
        <is>
          <t>引擎逐年计算区（供公式与跨表追溯）</t>
        </is>
      </c>
    </row>
    <row r="13">
      <c r="A13" s="7" t="inlineStr">
        <is>
          <t>期间</t>
        </is>
      </c>
      <c r="B13" s="7" t="inlineStr">
        <is>
          <t>期初借款余额</t>
        </is>
      </c>
      <c r="C13" s="7" t="inlineStr">
        <is>
          <t>当期提款</t>
        </is>
      </c>
      <c r="D13" s="7" t="inlineStr">
        <is>
          <t>年利率(%)</t>
        </is>
      </c>
      <c r="E13" s="7" t="inlineStr">
        <is>
          <t>当期利息</t>
        </is>
      </c>
      <c r="F13" s="7" t="inlineStr">
        <is>
          <t>期末借款余额</t>
        </is>
      </c>
    </row>
    <row r="14">
      <c r="A14" s="8" t="n">
        <v>1</v>
      </c>
      <c r="B14" s="8" t="n">
        <v>0</v>
      </c>
      <c r="C14" s="8" t="n">
        <v>29849.4</v>
      </c>
      <c r="D14" s="8" t="n">
        <v>0.032</v>
      </c>
      <c r="E14" s="8">
        <f>(B14+C14/2)*D14</f>
        <v/>
      </c>
      <c r="F14" s="8">
        <f>B14+C14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附表3 流动资金估算表</t>
        </is>
      </c>
    </row>
    <row r="2">
      <c r="A2" t="inlineStr">
        <is>
          <t>匡算预览｜未批准，不得用于正式报批；口径：not_applicable；有效：否</t>
        </is>
      </c>
    </row>
    <row r="3">
      <c r="A3" s="4" t="inlineStr">
        <is>
          <t>构成项</t>
        </is>
      </c>
      <c r="B3" s="4" t="inlineStr">
        <is>
          <t>金额（万元）</t>
        </is>
      </c>
    </row>
    <row r="4">
      <c r="A4" s="5" t="inlineStr">
        <is>
          <t>流动资金总额（汇总输入）</t>
        </is>
      </c>
      <c r="B4" s="6" t="n">
        <v>0</v>
      </c>
    </row>
    <row r="5">
      <c r="A5" t="inlineStr">
        <is>
          <t>说明1：method=ratio_backsolve</t>
        </is>
      </c>
    </row>
    <row r="6">
      <c r="A6" t="inlineStr">
        <is>
          <t>说明2：未提供周转天数，不展示反解伪分项；不得标分项法完成</t>
        </is>
      </c>
    </row>
    <row r="7">
      <c r="A7" t="inlineStr">
        <is>
          <t>跨表依赖复核：附表6</t>
        </is>
      </c>
      <c r="B7" s="8">
        <f>'附表6'!A16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附表4 投资使用计划与资金筹措表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建设期第1年</t>
        </is>
      </c>
      <c r="D3" s="4" t="inlineStr">
        <is>
          <t>合计</t>
        </is>
      </c>
    </row>
    <row r="4">
      <c r="A4" s="5" t="inlineStr">
        <is>
          <t>1</t>
        </is>
      </c>
      <c r="B4" s="5" t="inlineStr">
        <is>
          <t>项目总投资使用计划</t>
        </is>
      </c>
      <c r="C4" s="6">
        <f>SUM(C5,C6,C7)</f>
        <v/>
      </c>
      <c r="D4" s="6">
        <f>'附表1'!J15</f>
        <v/>
      </c>
    </row>
    <row r="5">
      <c r="A5" s="5" t="inlineStr">
        <is>
          <t>1.1</t>
        </is>
      </c>
      <c r="B5" s="5" t="inlineStr">
        <is>
          <t>建设投资</t>
        </is>
      </c>
      <c r="C5" s="6" t="n">
        <v>41789.16</v>
      </c>
      <c r="D5" s="6" t="n">
        <v>41789.16</v>
      </c>
    </row>
    <row r="6">
      <c r="A6" s="5" t="inlineStr">
        <is>
          <t>1.2</t>
        </is>
      </c>
      <c r="B6" s="5" t="inlineStr">
        <is>
          <t>建设期贷款利息</t>
        </is>
      </c>
      <c r="C6" s="6" t="n">
        <v>477.59</v>
      </c>
      <c r="D6" s="6" t="n">
        <v>477.59</v>
      </c>
    </row>
    <row r="7">
      <c r="A7" s="5" t="inlineStr">
        <is>
          <t>1.3</t>
        </is>
      </c>
      <c r="B7" s="5" t="inlineStr">
        <is>
          <t>流动资金</t>
        </is>
      </c>
      <c r="C7" s="6" t="n">
        <v>0</v>
      </c>
      <c r="D7" s="6" t="n">
        <v>0</v>
      </c>
    </row>
    <row r="8">
      <c r="A8" s="5" t="inlineStr">
        <is>
          <t>2</t>
        </is>
      </c>
      <c r="B8" s="5" t="inlineStr">
        <is>
          <t>资金筹措</t>
        </is>
      </c>
      <c r="C8" s="6">
        <f>SUM(C9,C11)</f>
        <v/>
      </c>
      <c r="D8" s="6">
        <f>'附表1'!J15</f>
        <v/>
      </c>
    </row>
    <row r="9">
      <c r="A9" s="5" t="inlineStr">
        <is>
          <t>2.1</t>
        </is>
      </c>
      <c r="B9" s="5" t="inlineStr">
        <is>
          <t>项目资本金（自筹）</t>
        </is>
      </c>
      <c r="C9" s="6" t="n">
        <v>12792.6</v>
      </c>
      <c r="D9" s="6" t="n">
        <v>12792.6</v>
      </c>
    </row>
    <row r="10">
      <c r="A10" s="5" t="inlineStr">
        <is>
          <t>2.2</t>
        </is>
      </c>
      <c r="B10" s="5" t="inlineStr">
        <is>
          <t>债务资金</t>
        </is>
      </c>
      <c r="C10" s="6" t="n">
        <v>29849.4</v>
      </c>
      <c r="D10" s="6" t="n">
        <v>29849.4</v>
      </c>
    </row>
    <row r="11">
      <c r="A11" s="5" t="inlineStr">
        <is>
          <t>2.2.1</t>
        </is>
      </c>
      <c r="B11" s="5" t="inlineStr">
        <is>
          <t>银行贷款</t>
        </is>
      </c>
      <c r="C11" s="6" t="n">
        <v>29849.4</v>
      </c>
      <c r="D11" s="6" t="n">
        <v>29849.4</v>
      </c>
    </row>
    <row r="12">
      <c r="A12" t="inlineStr">
        <is>
          <t>说明1：无分年资金事实时按建设支出比例摊分；不得作为 formal 资金计划真源</t>
        </is>
      </c>
    </row>
    <row r="13">
      <c r="A13" t="inlineStr">
        <is>
          <t>说明2：structure_gaps: 资金计划为比例摊分回退，非事实包分年真源</t>
        </is>
      </c>
    </row>
    <row r="14">
      <c r="A14" t="inlineStr">
        <is>
          <t>跨表依赖复核：附表1</t>
        </is>
      </c>
      <c r="B14" s="8">
        <f>'附表1'!J4</f>
        <v/>
      </c>
    </row>
    <row r="15">
      <c r="A15" t="inlineStr">
        <is>
          <t>跨表依赖复核：附表3</t>
        </is>
      </c>
      <c r="B15" s="8">
        <f>'附表3'!B4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3" t="inlineStr">
        <is>
          <t>附表5 营业收入、税金及附加和增值税估算表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单位</t>
        </is>
      </c>
      <c r="D3" s="4" t="inlineStr">
        <is>
          <t>合计</t>
        </is>
      </c>
      <c r="E3" s="4" t="inlineStr">
        <is>
          <t>分年1</t>
        </is>
      </c>
      <c r="F3" s="4" t="inlineStr">
        <is>
          <t>分年2</t>
        </is>
      </c>
      <c r="G3" s="4" t="inlineStr">
        <is>
          <t>分年3</t>
        </is>
      </c>
      <c r="H3" s="4" t="inlineStr">
        <is>
          <t>分年4</t>
        </is>
      </c>
      <c r="I3" s="4" t="inlineStr">
        <is>
          <t>分年5</t>
        </is>
      </c>
      <c r="J3" s="4" t="inlineStr">
        <is>
          <t>分年6</t>
        </is>
      </c>
      <c r="K3" s="4" t="inlineStr">
        <is>
          <t>分年7</t>
        </is>
      </c>
      <c r="L3" s="4" t="inlineStr">
        <is>
          <t>分年8</t>
        </is>
      </c>
      <c r="M3" s="4" t="inlineStr">
        <is>
          <t>分年9</t>
        </is>
      </c>
      <c r="N3" s="4" t="inlineStr">
        <is>
          <t>分年10</t>
        </is>
      </c>
      <c r="O3" s="4" t="inlineStr">
        <is>
          <t>分年11</t>
        </is>
      </c>
      <c r="P3" s="4" t="inlineStr">
        <is>
          <t>分年12</t>
        </is>
      </c>
      <c r="Q3" s="4" t="inlineStr">
        <is>
          <t>分年13</t>
        </is>
      </c>
      <c r="R3" s="4" t="inlineStr">
        <is>
          <t>分年14</t>
        </is>
      </c>
      <c r="S3" s="4" t="inlineStr">
        <is>
          <t>分年15</t>
        </is>
      </c>
      <c r="T3" s="4" t="inlineStr">
        <is>
          <t>分年16</t>
        </is>
      </c>
      <c r="U3" s="4" t="inlineStr">
        <is>
          <t>分年17</t>
        </is>
      </c>
      <c r="V3" s="4" t="inlineStr">
        <is>
          <t>分年18</t>
        </is>
      </c>
      <c r="W3" s="4" t="inlineStr">
        <is>
          <t>分年19</t>
        </is>
      </c>
      <c r="X3" s="4" t="inlineStr">
        <is>
          <t>分年20</t>
        </is>
      </c>
      <c r="Y3" s="4" t="inlineStr">
        <is>
          <t>分年21</t>
        </is>
      </c>
      <c r="Z3" s="4" t="inlineStr">
        <is>
          <t>分年22</t>
        </is>
      </c>
      <c r="AA3" s="4" t="inlineStr">
        <is>
          <t>分年23</t>
        </is>
      </c>
      <c r="AB3" s="4" t="inlineStr">
        <is>
          <t>分年24</t>
        </is>
      </c>
    </row>
    <row r="4">
      <c r="A4" s="5" t="inlineStr">
        <is>
          <t>1</t>
        </is>
      </c>
      <c r="B4" s="5" t="inlineStr">
        <is>
          <t>营业收入</t>
        </is>
      </c>
      <c r="C4" s="5" t="inlineStr">
        <is>
          <t>万元</t>
        </is>
      </c>
      <c r="D4" s="6">
        <f>SUM(E4,F4,G4,H4,I4,J4,K4,L4,M4,N4,O4,P4,Q4,R4,S4,T4,U4,V4,W4,X4,Y4,Z4,AA4,AB4)</f>
        <v/>
      </c>
      <c r="E4" s="6">
        <f>B16</f>
        <v/>
      </c>
      <c r="F4" s="6">
        <f>B17</f>
        <v/>
      </c>
      <c r="G4" s="6">
        <f>B18</f>
        <v/>
      </c>
      <c r="H4" s="6">
        <f>B19</f>
        <v/>
      </c>
      <c r="I4" s="6">
        <f>B20</f>
        <v/>
      </c>
      <c r="J4" s="6">
        <f>B21</f>
        <v/>
      </c>
      <c r="K4" s="6">
        <f>B22</f>
        <v/>
      </c>
      <c r="L4" s="6">
        <f>B23</f>
        <v/>
      </c>
      <c r="M4" s="6">
        <f>B24</f>
        <v/>
      </c>
      <c r="N4" s="6">
        <f>B25</f>
        <v/>
      </c>
      <c r="O4" s="6">
        <f>B26</f>
        <v/>
      </c>
      <c r="P4" s="6">
        <f>B27</f>
        <v/>
      </c>
      <c r="Q4" s="6">
        <f>B28</f>
        <v/>
      </c>
      <c r="R4" s="6">
        <f>B29</f>
        <v/>
      </c>
      <c r="S4" s="6">
        <f>B30</f>
        <v/>
      </c>
      <c r="T4" s="6">
        <f>B31</f>
        <v/>
      </c>
      <c r="U4" s="6">
        <f>B32</f>
        <v/>
      </c>
      <c r="V4" s="6">
        <f>B33</f>
        <v/>
      </c>
      <c r="W4" s="6">
        <f>B34</f>
        <v/>
      </c>
      <c r="X4" s="6">
        <f>B35</f>
        <v/>
      </c>
      <c r="Y4" s="6">
        <f>B36</f>
        <v/>
      </c>
      <c r="Z4" s="6">
        <f>B37</f>
        <v/>
      </c>
      <c r="AA4" s="6">
        <f>B38</f>
        <v/>
      </c>
      <c r="AB4" s="6">
        <f>B39</f>
        <v/>
      </c>
    </row>
    <row r="5">
      <c r="A5" s="5" t="inlineStr">
        <is>
          <t>1.9</t>
        </is>
      </c>
      <c r="B5" s="5" t="inlineStr">
        <is>
          <t>营业收入合计</t>
        </is>
      </c>
      <c r="C5" s="5" t="inlineStr">
        <is>
          <t>万元</t>
        </is>
      </c>
      <c r="D5" s="6">
        <f>SUM(E5,F5,G5,H5,I5,J5,K5,L5,M5,N5,O5,P5,Q5,R5,S5,T5,U5,V5,W5,X5,Y5,Z5,AA5,AB5)</f>
        <v/>
      </c>
      <c r="E5" s="6">
        <f>B16</f>
        <v/>
      </c>
      <c r="F5" s="6">
        <f>B17</f>
        <v/>
      </c>
      <c r="G5" s="6">
        <f>B18</f>
        <v/>
      </c>
      <c r="H5" s="6">
        <f>B19</f>
        <v/>
      </c>
      <c r="I5" s="6">
        <f>B20</f>
        <v/>
      </c>
      <c r="J5" s="6">
        <f>B21</f>
        <v/>
      </c>
      <c r="K5" s="6">
        <f>B22</f>
        <v/>
      </c>
      <c r="L5" s="6">
        <f>B23</f>
        <v/>
      </c>
      <c r="M5" s="6">
        <f>B24</f>
        <v/>
      </c>
      <c r="N5" s="6">
        <f>B25</f>
        <v/>
      </c>
      <c r="O5" s="6">
        <f>B26</f>
        <v/>
      </c>
      <c r="P5" s="6">
        <f>B27</f>
        <v/>
      </c>
      <c r="Q5" s="6">
        <f>B28</f>
        <v/>
      </c>
      <c r="R5" s="6">
        <f>B29</f>
        <v/>
      </c>
      <c r="S5" s="6">
        <f>B30</f>
        <v/>
      </c>
      <c r="T5" s="6">
        <f>B31</f>
        <v/>
      </c>
      <c r="U5" s="6">
        <f>B32</f>
        <v/>
      </c>
      <c r="V5" s="6">
        <f>B33</f>
        <v/>
      </c>
      <c r="W5" s="6">
        <f>B34</f>
        <v/>
      </c>
      <c r="X5" s="6">
        <f>B35</f>
        <v/>
      </c>
      <c r="Y5" s="6">
        <f>B36</f>
        <v/>
      </c>
      <c r="Z5" s="6">
        <f>B37</f>
        <v/>
      </c>
      <c r="AA5" s="6">
        <f>B38</f>
        <v/>
      </c>
      <c r="AB5" s="6">
        <f>B39</f>
        <v/>
      </c>
    </row>
    <row r="6">
      <c r="A6" s="5" t="inlineStr">
        <is>
          <t>2</t>
        </is>
      </c>
      <c r="B6" s="5" t="inlineStr">
        <is>
          <t>销项税额</t>
        </is>
      </c>
      <c r="C6" s="5" t="inlineStr">
        <is>
          <t>万元</t>
        </is>
      </c>
      <c r="D6" s="6">
        <f>SUM(E6,F6,G6,H6,I6,J6,K6,L6,M6,N6,O6,P6,Q6,R6,S6,T6,U6,V6,W6,X6,Y6,Z6,AA6,AB6)</f>
        <v/>
      </c>
      <c r="E6" s="6">
        <f>F16</f>
        <v/>
      </c>
      <c r="F6" s="6">
        <f>F17</f>
        <v/>
      </c>
      <c r="G6" s="6">
        <f>F18</f>
        <v/>
      </c>
      <c r="H6" s="6">
        <f>F19</f>
        <v/>
      </c>
      <c r="I6" s="6">
        <f>F20</f>
        <v/>
      </c>
      <c r="J6" s="6">
        <f>F21</f>
        <v/>
      </c>
      <c r="K6" s="6">
        <f>F22</f>
        <v/>
      </c>
      <c r="L6" s="6">
        <f>F23</f>
        <v/>
      </c>
      <c r="M6" s="6">
        <f>F24</f>
        <v/>
      </c>
      <c r="N6" s="6">
        <f>F25</f>
        <v/>
      </c>
      <c r="O6" s="6">
        <f>F26</f>
        <v/>
      </c>
      <c r="P6" s="6">
        <f>F27</f>
        <v/>
      </c>
      <c r="Q6" s="6">
        <f>F28</f>
        <v/>
      </c>
      <c r="R6" s="6">
        <f>F29</f>
        <v/>
      </c>
      <c r="S6" s="6">
        <f>F30</f>
        <v/>
      </c>
      <c r="T6" s="6">
        <f>F31</f>
        <v/>
      </c>
      <c r="U6" s="6">
        <f>F32</f>
        <v/>
      </c>
      <c r="V6" s="6">
        <f>F33</f>
        <v/>
      </c>
      <c r="W6" s="6">
        <f>F34</f>
        <v/>
      </c>
      <c r="X6" s="6">
        <f>F35</f>
        <v/>
      </c>
      <c r="Y6" s="6">
        <f>F36</f>
        <v/>
      </c>
      <c r="Z6" s="6">
        <f>F37</f>
        <v/>
      </c>
      <c r="AA6" s="6">
        <f>F38</f>
        <v/>
      </c>
      <c r="AB6" s="6">
        <f>F39</f>
        <v/>
      </c>
    </row>
    <row r="7">
      <c r="A7" s="5" t="inlineStr">
        <is>
          <t>3</t>
        </is>
      </c>
      <c r="B7" s="5" t="inlineStr">
        <is>
          <t>营业税金与附加</t>
        </is>
      </c>
      <c r="C7" s="5" t="inlineStr">
        <is>
          <t>万元</t>
        </is>
      </c>
      <c r="D7" s="6">
        <f>SUM(E7,F7,G7,H7,I7,J7,K7,L7,M7,N7,O7,P7,Q7,R7,S7,T7,U7,V7,W7,X7,Y7,Z7,AA7,AB7)</f>
        <v/>
      </c>
      <c r="E7" s="6">
        <f>E16</f>
        <v/>
      </c>
      <c r="F7" s="6">
        <f>E17</f>
        <v/>
      </c>
      <c r="G7" s="6">
        <f>E18</f>
        <v/>
      </c>
      <c r="H7" s="6">
        <f>E19</f>
        <v/>
      </c>
      <c r="I7" s="6">
        <f>E20</f>
        <v/>
      </c>
      <c r="J7" s="6">
        <f>E21</f>
        <v/>
      </c>
      <c r="K7" s="6">
        <f>E22</f>
        <v/>
      </c>
      <c r="L7" s="6">
        <f>E23</f>
        <v/>
      </c>
      <c r="M7" s="6">
        <f>E24</f>
        <v/>
      </c>
      <c r="N7" s="6">
        <f>E25</f>
        <v/>
      </c>
      <c r="O7" s="6">
        <f>E26</f>
        <v/>
      </c>
      <c r="P7" s="6">
        <f>E27</f>
        <v/>
      </c>
      <c r="Q7" s="6">
        <f>E28</f>
        <v/>
      </c>
      <c r="R7" s="6">
        <f>E29</f>
        <v/>
      </c>
      <c r="S7" s="6">
        <f>E30</f>
        <v/>
      </c>
      <c r="T7" s="6">
        <f>E31</f>
        <v/>
      </c>
      <c r="U7" s="6">
        <f>E32</f>
        <v/>
      </c>
      <c r="V7" s="6">
        <f>E33</f>
        <v/>
      </c>
      <c r="W7" s="6">
        <f>E34</f>
        <v/>
      </c>
      <c r="X7" s="6">
        <f>E35</f>
        <v/>
      </c>
      <c r="Y7" s="6">
        <f>E36</f>
        <v/>
      </c>
      <c r="Z7" s="6">
        <f>E37</f>
        <v/>
      </c>
      <c r="AA7" s="6">
        <f>E38</f>
        <v/>
      </c>
      <c r="AB7" s="6">
        <f>E39</f>
        <v/>
      </c>
    </row>
    <row r="8">
      <c r="A8" s="5" t="inlineStr">
        <is>
          <t>3.1</t>
        </is>
      </c>
      <c r="B8" s="5" t="inlineStr">
        <is>
          <t>城市维护建设税</t>
        </is>
      </c>
      <c r="C8" s="5" t="inlineStr">
        <is>
          <t>万元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5" t="inlineStr">
        <is>
          <t>3.2</t>
        </is>
      </c>
      <c r="B9" s="5" t="inlineStr">
        <is>
          <t>教育费附加</t>
        </is>
      </c>
      <c r="C9" s="5" t="inlineStr">
        <is>
          <t>万元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s="5" t="inlineStr">
        <is>
          <t>3.3</t>
        </is>
      </c>
      <c r="B10" s="5" t="inlineStr">
        <is>
          <t>地方教育附加</t>
        </is>
      </c>
      <c r="C10" s="5" t="inlineStr">
        <is>
          <t>万元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s="5" t="inlineStr">
        <is>
          <t>4</t>
        </is>
      </c>
      <c r="B11" s="5" t="inlineStr">
        <is>
          <t>进项税额</t>
        </is>
      </c>
      <c r="C11" s="5" t="inlineStr">
        <is>
          <t>万元</t>
        </is>
      </c>
      <c r="D11" s="6">
        <f>SUM(E11,F11,G11,H11,I11,J11,K11,L11,M11,N11,O11,P11,Q11,R11,S11,T11,U11,V11,W11,X11,Y11,Z11,AA11,AB11)</f>
        <v/>
      </c>
      <c r="E11" s="6">
        <f>G16</f>
        <v/>
      </c>
      <c r="F11" s="6">
        <f>G17</f>
        <v/>
      </c>
      <c r="G11" s="6">
        <f>G18</f>
        <v/>
      </c>
      <c r="H11" s="6">
        <f>G19</f>
        <v/>
      </c>
      <c r="I11" s="6">
        <f>G20</f>
        <v/>
      </c>
      <c r="J11" s="6">
        <f>G21</f>
        <v/>
      </c>
      <c r="K11" s="6">
        <f>G22</f>
        <v/>
      </c>
      <c r="L11" s="6">
        <f>G23</f>
        <v/>
      </c>
      <c r="M11" s="6">
        <f>G24</f>
        <v/>
      </c>
      <c r="N11" s="6">
        <f>G25</f>
        <v/>
      </c>
      <c r="O11" s="6">
        <f>G26</f>
        <v/>
      </c>
      <c r="P11" s="6">
        <f>G27</f>
        <v/>
      </c>
      <c r="Q11" s="6">
        <f>G28</f>
        <v/>
      </c>
      <c r="R11" s="6">
        <f>G29</f>
        <v/>
      </c>
      <c r="S11" s="6">
        <f>G30</f>
        <v/>
      </c>
      <c r="T11" s="6">
        <f>G31</f>
        <v/>
      </c>
      <c r="U11" s="6">
        <f>G32</f>
        <v/>
      </c>
      <c r="V11" s="6">
        <f>G33</f>
        <v/>
      </c>
      <c r="W11" s="6">
        <f>G34</f>
        <v/>
      </c>
      <c r="X11" s="6">
        <f>G35</f>
        <v/>
      </c>
      <c r="Y11" s="6">
        <f>G36</f>
        <v/>
      </c>
      <c r="Z11" s="6">
        <f>G37</f>
        <v/>
      </c>
      <c r="AA11" s="6">
        <f>G38</f>
        <v/>
      </c>
      <c r="AB11" s="6">
        <f>G39</f>
        <v/>
      </c>
    </row>
    <row r="12">
      <c r="A12" s="5" t="inlineStr">
        <is>
          <t>5</t>
        </is>
      </c>
      <c r="B12" s="5" t="inlineStr">
        <is>
          <t>应纳增值税</t>
        </is>
      </c>
      <c r="C12" s="5" t="inlineStr">
        <is>
          <t>万元</t>
        </is>
      </c>
      <c r="D12" s="6">
        <f>SUM(E12,F12,G12,H12,I12,J12,K12,L12,M12,N12,O12,P12,Q12,R12,S12,T12,U12,V12,W12,X12,Y12,Z12,AA12,AB12)</f>
        <v/>
      </c>
      <c r="E12" s="6">
        <f>H16</f>
        <v/>
      </c>
      <c r="F12" s="6">
        <f>H17</f>
        <v/>
      </c>
      <c r="G12" s="6">
        <f>H18</f>
        <v/>
      </c>
      <c r="H12" s="6">
        <f>H19</f>
        <v/>
      </c>
      <c r="I12" s="6">
        <f>H20</f>
        <v/>
      </c>
      <c r="J12" s="6">
        <f>H21</f>
        <v/>
      </c>
      <c r="K12" s="6">
        <f>H22</f>
        <v/>
      </c>
      <c r="L12" s="6">
        <f>H23</f>
        <v/>
      </c>
      <c r="M12" s="6">
        <f>H24</f>
        <v/>
      </c>
      <c r="N12" s="6">
        <f>H25</f>
        <v/>
      </c>
      <c r="O12" s="6">
        <f>H26</f>
        <v/>
      </c>
      <c r="P12" s="6">
        <f>H27</f>
        <v/>
      </c>
      <c r="Q12" s="6">
        <f>H28</f>
        <v/>
      </c>
      <c r="R12" s="6">
        <f>H29</f>
        <v/>
      </c>
      <c r="S12" s="6">
        <f>H30</f>
        <v/>
      </c>
      <c r="T12" s="6">
        <f>H31</f>
        <v/>
      </c>
      <c r="U12" s="6">
        <f>H32</f>
        <v/>
      </c>
      <c r="V12" s="6">
        <f>H33</f>
        <v/>
      </c>
      <c r="W12" s="6">
        <f>H34</f>
        <v/>
      </c>
      <c r="X12" s="6">
        <f>H35</f>
        <v/>
      </c>
      <c r="Y12" s="6">
        <f>H36</f>
        <v/>
      </c>
      <c r="Z12" s="6">
        <f>H37</f>
        <v/>
      </c>
      <c r="AA12" s="6">
        <f>H38</f>
        <v/>
      </c>
      <c r="AB12" s="6">
        <f>H39</f>
        <v/>
      </c>
    </row>
    <row r="13"/>
    <row r="14">
      <c r="A14" t="inlineStr">
        <is>
          <t>引擎逐年计算区（供公式与跨表追溯）</t>
        </is>
      </c>
    </row>
    <row r="15">
      <c r="A15" s="7" t="inlineStr">
        <is>
          <t>运营年</t>
        </is>
      </c>
      <c r="B15" s="7" t="inlineStr">
        <is>
          <t>营业收入</t>
        </is>
      </c>
      <c r="C15" s="7" t="inlineStr">
        <is>
          <t>经营成本</t>
        </is>
      </c>
      <c r="D15" s="7" t="inlineStr">
        <is>
          <t>折旧</t>
        </is>
      </c>
      <c r="E15" s="7" t="inlineStr">
        <is>
          <t>销售税金及附加</t>
        </is>
      </c>
      <c r="F15" s="7" t="inlineStr">
        <is>
          <t>销项税额</t>
        </is>
      </c>
      <c r="G15" s="7" t="inlineStr">
        <is>
          <t>进项税额</t>
        </is>
      </c>
      <c r="H15" s="7" t="inlineStr">
        <is>
          <t>应纳增值税</t>
        </is>
      </c>
      <c r="I15" s="7" t="inlineStr">
        <is>
          <t>调整所得税(融资前)</t>
        </is>
      </c>
      <c r="J15" s="7" t="inlineStr">
        <is>
          <t>融资前净利</t>
        </is>
      </c>
    </row>
    <row r="16">
      <c r="A16" s="8" t="n">
        <v>1</v>
      </c>
      <c r="B16" s="8" t="n">
        <v>4195.8</v>
      </c>
      <c r="C16" s="8" t="n">
        <v>1473.79</v>
      </c>
      <c r="D16" s="8" t="n">
        <v>2007.67</v>
      </c>
      <c r="E16" s="8" t="n">
        <v>47.77</v>
      </c>
      <c r="F16" s="8" t="n">
        <v>545.45</v>
      </c>
      <c r="G16" s="8" t="n">
        <v>147.38</v>
      </c>
      <c r="H16" s="8" t="n">
        <v>398.07</v>
      </c>
      <c r="I16" s="8" t="n">
        <v>166.64</v>
      </c>
      <c r="J16" s="8" t="n">
        <v>499.93</v>
      </c>
    </row>
    <row r="17">
      <c r="A17" s="8" t="n">
        <v>2</v>
      </c>
      <c r="B17" s="8" t="n">
        <v>4195.8</v>
      </c>
      <c r="C17" s="8" t="n">
        <v>1473.79</v>
      </c>
      <c r="D17" s="8" t="n">
        <v>2007.67</v>
      </c>
      <c r="E17" s="8" t="n">
        <v>47.77</v>
      </c>
      <c r="F17" s="8" t="n">
        <v>545.45</v>
      </c>
      <c r="G17" s="8" t="n">
        <v>147.38</v>
      </c>
      <c r="H17" s="8" t="n">
        <v>398.07</v>
      </c>
      <c r="I17" s="8" t="n">
        <v>166.64</v>
      </c>
      <c r="J17" s="8" t="n">
        <v>499.93</v>
      </c>
    </row>
    <row r="18">
      <c r="A18" s="8" t="n">
        <v>3</v>
      </c>
      <c r="B18" s="8" t="n">
        <v>4195.8</v>
      </c>
      <c r="C18" s="8" t="n">
        <v>1473.79</v>
      </c>
      <c r="D18" s="8" t="n">
        <v>2007.67</v>
      </c>
      <c r="E18" s="8" t="n">
        <v>47.77</v>
      </c>
      <c r="F18" s="8" t="n">
        <v>545.45</v>
      </c>
      <c r="G18" s="8" t="n">
        <v>147.38</v>
      </c>
      <c r="H18" s="8" t="n">
        <v>398.07</v>
      </c>
      <c r="I18" s="8" t="n">
        <v>166.64</v>
      </c>
      <c r="J18" s="8" t="n">
        <v>499.93</v>
      </c>
    </row>
    <row r="19">
      <c r="A19" s="8" t="n">
        <v>4</v>
      </c>
      <c r="B19" s="8" t="n">
        <v>4195.8</v>
      </c>
      <c r="C19" s="8" t="n">
        <v>1473.79</v>
      </c>
      <c r="D19" s="8" t="n">
        <v>2007.67</v>
      </c>
      <c r="E19" s="8" t="n">
        <v>47.77</v>
      </c>
      <c r="F19" s="8" t="n">
        <v>545.45</v>
      </c>
      <c r="G19" s="8" t="n">
        <v>147.38</v>
      </c>
      <c r="H19" s="8" t="n">
        <v>398.07</v>
      </c>
      <c r="I19" s="8" t="n">
        <v>166.64</v>
      </c>
      <c r="J19" s="8" t="n">
        <v>499.93</v>
      </c>
    </row>
    <row r="20">
      <c r="A20" s="8" t="n">
        <v>5</v>
      </c>
      <c r="B20" s="8" t="n">
        <v>4195.8</v>
      </c>
      <c r="C20" s="8" t="n">
        <v>1473.79</v>
      </c>
      <c r="D20" s="8" t="n">
        <v>2007.67</v>
      </c>
      <c r="E20" s="8" t="n">
        <v>47.77</v>
      </c>
      <c r="F20" s="8" t="n">
        <v>545.45</v>
      </c>
      <c r="G20" s="8" t="n">
        <v>147.38</v>
      </c>
      <c r="H20" s="8" t="n">
        <v>398.07</v>
      </c>
      <c r="I20" s="8" t="n">
        <v>166.64</v>
      </c>
      <c r="J20" s="8" t="n">
        <v>499.93</v>
      </c>
    </row>
    <row r="21">
      <c r="A21" s="8" t="n">
        <v>6</v>
      </c>
      <c r="B21" s="8" t="n">
        <v>4195.8</v>
      </c>
      <c r="C21" s="8" t="n">
        <v>1473.79</v>
      </c>
      <c r="D21" s="8" t="n">
        <v>2007.67</v>
      </c>
      <c r="E21" s="8" t="n">
        <v>47.77</v>
      </c>
      <c r="F21" s="8" t="n">
        <v>545.45</v>
      </c>
      <c r="G21" s="8" t="n">
        <v>147.38</v>
      </c>
      <c r="H21" s="8" t="n">
        <v>398.07</v>
      </c>
      <c r="I21" s="8" t="n">
        <v>166.64</v>
      </c>
      <c r="J21" s="8" t="n">
        <v>499.93</v>
      </c>
    </row>
    <row r="22">
      <c r="A22" s="8" t="n">
        <v>7</v>
      </c>
      <c r="B22" s="8" t="n">
        <v>4195.8</v>
      </c>
      <c r="C22" s="8" t="n">
        <v>1473.79</v>
      </c>
      <c r="D22" s="8" t="n">
        <v>2007.67</v>
      </c>
      <c r="E22" s="8" t="n">
        <v>47.77</v>
      </c>
      <c r="F22" s="8" t="n">
        <v>545.45</v>
      </c>
      <c r="G22" s="8" t="n">
        <v>147.38</v>
      </c>
      <c r="H22" s="8" t="n">
        <v>398.07</v>
      </c>
      <c r="I22" s="8" t="n">
        <v>166.64</v>
      </c>
      <c r="J22" s="8" t="n">
        <v>499.93</v>
      </c>
    </row>
    <row r="23">
      <c r="A23" s="8" t="n">
        <v>8</v>
      </c>
      <c r="B23" s="8" t="n">
        <v>4195.8</v>
      </c>
      <c r="C23" s="8" t="n">
        <v>1473.79</v>
      </c>
      <c r="D23" s="8" t="n">
        <v>2007.67</v>
      </c>
      <c r="E23" s="8" t="n">
        <v>47.77</v>
      </c>
      <c r="F23" s="8" t="n">
        <v>545.45</v>
      </c>
      <c r="G23" s="8" t="n">
        <v>147.38</v>
      </c>
      <c r="H23" s="8" t="n">
        <v>398.07</v>
      </c>
      <c r="I23" s="8" t="n">
        <v>166.64</v>
      </c>
      <c r="J23" s="8" t="n">
        <v>499.93</v>
      </c>
    </row>
    <row r="24">
      <c r="A24" s="8" t="n">
        <v>9</v>
      </c>
      <c r="B24" s="8" t="n">
        <v>4195.8</v>
      </c>
      <c r="C24" s="8" t="n">
        <v>1473.79</v>
      </c>
      <c r="D24" s="8" t="n">
        <v>2007.67</v>
      </c>
      <c r="E24" s="8" t="n">
        <v>47.77</v>
      </c>
      <c r="F24" s="8" t="n">
        <v>545.45</v>
      </c>
      <c r="G24" s="8" t="n">
        <v>147.38</v>
      </c>
      <c r="H24" s="8" t="n">
        <v>398.07</v>
      </c>
      <c r="I24" s="8" t="n">
        <v>166.64</v>
      </c>
      <c r="J24" s="8" t="n">
        <v>499.93</v>
      </c>
    </row>
    <row r="25">
      <c r="A25" s="8" t="n">
        <v>10</v>
      </c>
      <c r="B25" s="8" t="n">
        <v>4195.8</v>
      </c>
      <c r="C25" s="8" t="n">
        <v>1473.79</v>
      </c>
      <c r="D25" s="8" t="n">
        <v>2007.67</v>
      </c>
      <c r="E25" s="8" t="n">
        <v>47.77</v>
      </c>
      <c r="F25" s="8" t="n">
        <v>545.45</v>
      </c>
      <c r="G25" s="8" t="n">
        <v>147.38</v>
      </c>
      <c r="H25" s="8" t="n">
        <v>398.07</v>
      </c>
      <c r="I25" s="8" t="n">
        <v>166.64</v>
      </c>
      <c r="J25" s="8" t="n">
        <v>499.93</v>
      </c>
    </row>
    <row r="26">
      <c r="A26" s="8" t="n">
        <v>11</v>
      </c>
      <c r="B26" s="8" t="n">
        <v>4195.8</v>
      </c>
      <c r="C26" s="8" t="n">
        <v>1473.79</v>
      </c>
      <c r="D26" s="8" t="n">
        <v>2007.67</v>
      </c>
      <c r="E26" s="8" t="n">
        <v>47.77</v>
      </c>
      <c r="F26" s="8" t="n">
        <v>545.45</v>
      </c>
      <c r="G26" s="8" t="n">
        <v>147.38</v>
      </c>
      <c r="H26" s="8" t="n">
        <v>398.07</v>
      </c>
      <c r="I26" s="8" t="n">
        <v>166.64</v>
      </c>
      <c r="J26" s="8" t="n">
        <v>499.93</v>
      </c>
    </row>
    <row r="27">
      <c r="A27" s="8" t="n">
        <v>12</v>
      </c>
      <c r="B27" s="8" t="n">
        <v>4195.8</v>
      </c>
      <c r="C27" s="8" t="n">
        <v>1473.79</v>
      </c>
      <c r="D27" s="8" t="n">
        <v>2007.67</v>
      </c>
      <c r="E27" s="8" t="n">
        <v>47.77</v>
      </c>
      <c r="F27" s="8" t="n">
        <v>545.45</v>
      </c>
      <c r="G27" s="8" t="n">
        <v>147.38</v>
      </c>
      <c r="H27" s="8" t="n">
        <v>398.07</v>
      </c>
      <c r="I27" s="8" t="n">
        <v>166.64</v>
      </c>
      <c r="J27" s="8" t="n">
        <v>499.93</v>
      </c>
    </row>
    <row r="28">
      <c r="A28" s="8" t="n">
        <v>13</v>
      </c>
      <c r="B28" s="8" t="n">
        <v>4195.8</v>
      </c>
      <c r="C28" s="8" t="n">
        <v>1473.79</v>
      </c>
      <c r="D28" s="8" t="n">
        <v>2007.67</v>
      </c>
      <c r="E28" s="8" t="n">
        <v>47.77</v>
      </c>
      <c r="F28" s="8" t="n">
        <v>545.45</v>
      </c>
      <c r="G28" s="8" t="n">
        <v>147.38</v>
      </c>
      <c r="H28" s="8" t="n">
        <v>398.07</v>
      </c>
      <c r="I28" s="8" t="n">
        <v>166.64</v>
      </c>
      <c r="J28" s="8" t="n">
        <v>499.93</v>
      </c>
    </row>
    <row r="29">
      <c r="A29" s="8" t="n">
        <v>14</v>
      </c>
      <c r="B29" s="8" t="n">
        <v>4195.8</v>
      </c>
      <c r="C29" s="8" t="n">
        <v>1473.79</v>
      </c>
      <c r="D29" s="8" t="n">
        <v>2007.67</v>
      </c>
      <c r="E29" s="8" t="n">
        <v>47.77</v>
      </c>
      <c r="F29" s="8" t="n">
        <v>545.45</v>
      </c>
      <c r="G29" s="8" t="n">
        <v>147.38</v>
      </c>
      <c r="H29" s="8" t="n">
        <v>398.07</v>
      </c>
      <c r="I29" s="8" t="n">
        <v>166.64</v>
      </c>
      <c r="J29" s="8" t="n">
        <v>499.93</v>
      </c>
    </row>
    <row r="30">
      <c r="A30" s="8" t="n">
        <v>15</v>
      </c>
      <c r="B30" s="8" t="n">
        <v>4195.8</v>
      </c>
      <c r="C30" s="8" t="n">
        <v>1473.79</v>
      </c>
      <c r="D30" s="8" t="n">
        <v>2007.67</v>
      </c>
      <c r="E30" s="8" t="n">
        <v>47.77</v>
      </c>
      <c r="F30" s="8" t="n">
        <v>545.45</v>
      </c>
      <c r="G30" s="8" t="n">
        <v>147.38</v>
      </c>
      <c r="H30" s="8" t="n">
        <v>398.07</v>
      </c>
      <c r="I30" s="8" t="n">
        <v>166.64</v>
      </c>
      <c r="J30" s="8" t="n">
        <v>499.93</v>
      </c>
    </row>
    <row r="31">
      <c r="A31" s="8" t="n">
        <v>16</v>
      </c>
      <c r="B31" s="8" t="n">
        <v>4195.8</v>
      </c>
      <c r="C31" s="8" t="n">
        <v>1473.79</v>
      </c>
      <c r="D31" s="8" t="n">
        <v>2007.67</v>
      </c>
      <c r="E31" s="8" t="n">
        <v>47.77</v>
      </c>
      <c r="F31" s="8" t="n">
        <v>545.45</v>
      </c>
      <c r="G31" s="8" t="n">
        <v>147.38</v>
      </c>
      <c r="H31" s="8" t="n">
        <v>398.07</v>
      </c>
      <c r="I31" s="8" t="n">
        <v>166.64</v>
      </c>
      <c r="J31" s="8" t="n">
        <v>499.93</v>
      </c>
    </row>
    <row r="32">
      <c r="A32" s="8" t="n">
        <v>17</v>
      </c>
      <c r="B32" s="8" t="n">
        <v>4195.8</v>
      </c>
      <c r="C32" s="8" t="n">
        <v>1473.79</v>
      </c>
      <c r="D32" s="8" t="n">
        <v>2007.67</v>
      </c>
      <c r="E32" s="8" t="n">
        <v>47.77</v>
      </c>
      <c r="F32" s="8" t="n">
        <v>545.45</v>
      </c>
      <c r="G32" s="8" t="n">
        <v>147.38</v>
      </c>
      <c r="H32" s="8" t="n">
        <v>398.07</v>
      </c>
      <c r="I32" s="8" t="n">
        <v>166.64</v>
      </c>
      <c r="J32" s="8" t="n">
        <v>499.93</v>
      </c>
    </row>
    <row r="33">
      <c r="A33" s="8" t="n">
        <v>18</v>
      </c>
      <c r="B33" s="8" t="n">
        <v>4195.8</v>
      </c>
      <c r="C33" s="8" t="n">
        <v>1473.79</v>
      </c>
      <c r="D33" s="8" t="n">
        <v>2007.67</v>
      </c>
      <c r="E33" s="8" t="n">
        <v>47.77</v>
      </c>
      <c r="F33" s="8" t="n">
        <v>545.45</v>
      </c>
      <c r="G33" s="8" t="n">
        <v>147.38</v>
      </c>
      <c r="H33" s="8" t="n">
        <v>398.07</v>
      </c>
      <c r="I33" s="8" t="n">
        <v>166.64</v>
      </c>
      <c r="J33" s="8" t="n">
        <v>499.93</v>
      </c>
    </row>
    <row r="34">
      <c r="A34" s="8" t="n">
        <v>19</v>
      </c>
      <c r="B34" s="8" t="n">
        <v>4195.8</v>
      </c>
      <c r="C34" s="8" t="n">
        <v>1473.79</v>
      </c>
      <c r="D34" s="8" t="n">
        <v>2007.67</v>
      </c>
      <c r="E34" s="8" t="n">
        <v>47.77</v>
      </c>
      <c r="F34" s="8" t="n">
        <v>545.45</v>
      </c>
      <c r="G34" s="8" t="n">
        <v>147.38</v>
      </c>
      <c r="H34" s="8" t="n">
        <v>398.07</v>
      </c>
      <c r="I34" s="8" t="n">
        <v>166.64</v>
      </c>
      <c r="J34" s="8" t="n">
        <v>499.93</v>
      </c>
    </row>
    <row r="35">
      <c r="A35" s="8" t="n">
        <v>20</v>
      </c>
      <c r="B35" s="8" t="n">
        <v>4195.8</v>
      </c>
      <c r="C35" s="8" t="n">
        <v>1473.79</v>
      </c>
      <c r="D35" s="8" t="n">
        <v>2007.67</v>
      </c>
      <c r="E35" s="8" t="n">
        <v>47.77</v>
      </c>
      <c r="F35" s="8" t="n">
        <v>545.45</v>
      </c>
      <c r="G35" s="8" t="n">
        <v>147.38</v>
      </c>
      <c r="H35" s="8" t="n">
        <v>398.07</v>
      </c>
      <c r="I35" s="8" t="n">
        <v>166.64</v>
      </c>
      <c r="J35" s="8" t="n">
        <v>499.93</v>
      </c>
    </row>
    <row r="36">
      <c r="A36" s="8" t="n">
        <v>21</v>
      </c>
      <c r="B36" s="8" t="n">
        <v>4195.8</v>
      </c>
      <c r="C36" s="8" t="n">
        <v>1473.79</v>
      </c>
      <c r="D36" s="8" t="n">
        <v>0</v>
      </c>
      <c r="E36" s="8" t="n">
        <v>47.77</v>
      </c>
      <c r="F36" s="8" t="n">
        <v>545.45</v>
      </c>
      <c r="G36" s="8" t="n">
        <v>147.38</v>
      </c>
      <c r="H36" s="8" t="n">
        <v>398.07</v>
      </c>
      <c r="I36" s="8" t="n">
        <v>668.5599999999999</v>
      </c>
      <c r="J36" s="8" t="n">
        <v>2005.68</v>
      </c>
    </row>
    <row r="37">
      <c r="A37" s="8" t="n">
        <v>22</v>
      </c>
      <c r="B37" s="8" t="n">
        <v>4195.8</v>
      </c>
      <c r="C37" s="8" t="n">
        <v>1473.79</v>
      </c>
      <c r="D37" s="8" t="n">
        <v>0</v>
      </c>
      <c r="E37" s="8" t="n">
        <v>47.77</v>
      </c>
      <c r="F37" s="8" t="n">
        <v>545.45</v>
      </c>
      <c r="G37" s="8" t="n">
        <v>147.38</v>
      </c>
      <c r="H37" s="8" t="n">
        <v>398.07</v>
      </c>
      <c r="I37" s="8" t="n">
        <v>668.5599999999999</v>
      </c>
      <c r="J37" s="8" t="n">
        <v>2005.68</v>
      </c>
    </row>
    <row r="38">
      <c r="A38" s="8" t="n">
        <v>23</v>
      </c>
      <c r="B38" s="8" t="n">
        <v>4195.8</v>
      </c>
      <c r="C38" s="8" t="n">
        <v>1473.79</v>
      </c>
      <c r="D38" s="8" t="n">
        <v>0</v>
      </c>
      <c r="E38" s="8" t="n">
        <v>47.77</v>
      </c>
      <c r="F38" s="8" t="n">
        <v>545.45</v>
      </c>
      <c r="G38" s="8" t="n">
        <v>147.38</v>
      </c>
      <c r="H38" s="8" t="n">
        <v>398.07</v>
      </c>
      <c r="I38" s="8" t="n">
        <v>668.5599999999999</v>
      </c>
      <c r="J38" s="8" t="n">
        <v>2005.68</v>
      </c>
    </row>
    <row r="39">
      <c r="A39" s="8" t="n">
        <v>24</v>
      </c>
      <c r="B39" s="8" t="n">
        <v>4195.8</v>
      </c>
      <c r="C39" s="8" t="n">
        <v>1473.79</v>
      </c>
      <c r="D39" s="8" t="n">
        <v>0</v>
      </c>
      <c r="E39" s="8" t="n">
        <v>47.77</v>
      </c>
      <c r="F39" s="8" t="n">
        <v>545.45</v>
      </c>
      <c r="G39" s="8" t="n">
        <v>147.38</v>
      </c>
      <c r="H39" s="8" t="n">
        <v>398.07</v>
      </c>
      <c r="I39" s="8" t="n">
        <v>668.5599999999999</v>
      </c>
      <c r="J39" s="8" t="n">
        <v>2005.68</v>
      </c>
    </row>
    <row r="40">
      <c r="A40" t="inlineStr">
        <is>
          <t>说明1：missing_fields: 正式级收入明细（flat 单点收入仅可作摘要）</t>
        </is>
      </c>
    </row>
    <row r="41">
      <c r="A41" t="inlineStr">
        <is>
          <t>说明2：structure_gaps: 行业变体未冻结(variant=flat_estimate, model=flat)；缺参考行组 price（单价）；缺参考行组 quantity（数量）；缺分产品量价 product_tree；产品爬坡/去化序列不足（仅单点）；城建税/教育费附加/地方教育附加缺明确政策口径</t>
        </is>
      </c>
    </row>
    <row r="42">
      <c r="A42" t="inlineStr">
        <is>
          <t>跨表依赖复核：附表6</t>
        </is>
      </c>
      <c r="B42" s="8">
        <f>'附表6'!A16</f>
        <v/>
      </c>
    </row>
  </sheetData>
  <mergeCells count="1">
    <mergeCell ref="A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3" t="inlineStr">
        <is>
          <t>附表6 总成本费用估算表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计算期1</t>
        </is>
      </c>
      <c r="E3" s="4" t="inlineStr">
        <is>
          <t>计算期2</t>
        </is>
      </c>
      <c r="F3" s="4" t="inlineStr">
        <is>
          <t>计算期3</t>
        </is>
      </c>
      <c r="G3" s="4" t="inlineStr">
        <is>
          <t>计算期4</t>
        </is>
      </c>
      <c r="H3" s="4" t="inlineStr">
        <is>
          <t>计算期5</t>
        </is>
      </c>
      <c r="I3" s="4" t="inlineStr">
        <is>
          <t>计算期6</t>
        </is>
      </c>
      <c r="J3" s="4" t="inlineStr">
        <is>
          <t>计算期7</t>
        </is>
      </c>
      <c r="K3" s="4" t="inlineStr">
        <is>
          <t>计算期8</t>
        </is>
      </c>
      <c r="L3" s="4" t="inlineStr">
        <is>
          <t>计算期9</t>
        </is>
      </c>
      <c r="M3" s="4" t="inlineStr">
        <is>
          <t>计算期10</t>
        </is>
      </c>
      <c r="N3" s="4" t="inlineStr">
        <is>
          <t>计算期11</t>
        </is>
      </c>
      <c r="O3" s="4" t="inlineStr">
        <is>
          <t>计算期12</t>
        </is>
      </c>
      <c r="P3" s="4" t="inlineStr">
        <is>
          <t>计算期13</t>
        </is>
      </c>
      <c r="Q3" s="4" t="inlineStr">
        <is>
          <t>计算期14</t>
        </is>
      </c>
      <c r="R3" s="4" t="inlineStr">
        <is>
          <t>计算期15</t>
        </is>
      </c>
      <c r="S3" s="4" t="inlineStr">
        <is>
          <t>计算期16</t>
        </is>
      </c>
      <c r="T3" s="4" t="inlineStr">
        <is>
          <t>计算期17</t>
        </is>
      </c>
      <c r="U3" s="4" t="inlineStr">
        <is>
          <t>计算期18</t>
        </is>
      </c>
      <c r="V3" s="4" t="inlineStr">
        <is>
          <t>计算期19</t>
        </is>
      </c>
      <c r="W3" s="4" t="inlineStr">
        <is>
          <t>计算期20</t>
        </is>
      </c>
      <c r="X3" s="4" t="inlineStr">
        <is>
          <t>计算期21</t>
        </is>
      </c>
      <c r="Y3" s="4" t="inlineStr">
        <is>
          <t>计算期22</t>
        </is>
      </c>
      <c r="Z3" s="4" t="inlineStr">
        <is>
          <t>计算期23</t>
        </is>
      </c>
      <c r="AA3" s="4" t="inlineStr">
        <is>
          <t>计算期24</t>
        </is>
      </c>
    </row>
    <row r="4">
      <c r="A4" s="5" t="inlineStr">
        <is>
          <t>1</t>
        </is>
      </c>
      <c r="B4" s="5" t="inlineStr">
        <is>
          <t>生产负荷（%）</t>
        </is>
      </c>
      <c r="C4" s="6" t="n">
        <v>100</v>
      </c>
      <c r="D4" s="6" t="n">
        <v>100</v>
      </c>
      <c r="E4" s="6" t="n">
        <v>100</v>
      </c>
      <c r="F4" s="6" t="n">
        <v>100</v>
      </c>
      <c r="G4" s="6" t="n">
        <v>100</v>
      </c>
      <c r="H4" s="6" t="n">
        <v>100</v>
      </c>
      <c r="I4" s="6" t="n">
        <v>100</v>
      </c>
      <c r="J4" s="6" t="n">
        <v>100</v>
      </c>
      <c r="K4" s="6" t="n">
        <v>100</v>
      </c>
      <c r="L4" s="6" t="n">
        <v>100</v>
      </c>
      <c r="M4" s="6" t="n">
        <v>100</v>
      </c>
      <c r="N4" s="6" t="n">
        <v>100</v>
      </c>
      <c r="O4" s="6" t="n">
        <v>100</v>
      </c>
      <c r="P4" s="6" t="n">
        <v>100</v>
      </c>
      <c r="Q4" s="6" t="n">
        <v>100</v>
      </c>
      <c r="R4" s="6" t="n">
        <v>100</v>
      </c>
      <c r="S4" s="6" t="n">
        <v>100</v>
      </c>
      <c r="T4" s="6" t="n">
        <v>100</v>
      </c>
      <c r="U4" s="6" t="n">
        <v>100</v>
      </c>
      <c r="V4" s="6" t="n">
        <v>100</v>
      </c>
      <c r="W4" s="6" t="n">
        <v>100</v>
      </c>
      <c r="X4" s="6" t="n">
        <v>100</v>
      </c>
      <c r="Y4" s="6" t="n">
        <v>100</v>
      </c>
      <c r="Z4" s="6" t="n">
        <v>100</v>
      </c>
      <c r="AA4" s="6" t="n">
        <v>100</v>
      </c>
    </row>
    <row r="5">
      <c r="A5" s="5" t="inlineStr">
        <is>
          <t>8</t>
        </is>
      </c>
      <c r="B5" s="5" t="inlineStr">
        <is>
          <t>经营成本</t>
        </is>
      </c>
      <c r="C5" s="6">
        <f>SUM(D5,E5,F5,G5,H5,I5,J5,K5,L5,M5,N5,O5,P5,Q5,R5,S5,T5,U5,V5,W5,X5,Y5,Z5,AA5)</f>
        <v/>
      </c>
      <c r="D5" s="6">
        <f>B16</f>
        <v/>
      </c>
      <c r="E5" s="6">
        <f>B17</f>
        <v/>
      </c>
      <c r="F5" s="6">
        <f>B18</f>
        <v/>
      </c>
      <c r="G5" s="6">
        <f>B19</f>
        <v/>
      </c>
      <c r="H5" s="6">
        <f>B20</f>
        <v/>
      </c>
      <c r="I5" s="6">
        <f>B21</f>
        <v/>
      </c>
      <c r="J5" s="6">
        <f>B22</f>
        <v/>
      </c>
      <c r="K5" s="6">
        <f>B23</f>
        <v/>
      </c>
      <c r="L5" s="6">
        <f>B24</f>
        <v/>
      </c>
      <c r="M5" s="6">
        <f>B25</f>
        <v/>
      </c>
      <c r="N5" s="6">
        <f>B26</f>
        <v/>
      </c>
      <c r="O5" s="6">
        <f>B27</f>
        <v/>
      </c>
      <c r="P5" s="6">
        <f>B28</f>
        <v/>
      </c>
      <c r="Q5" s="6">
        <f>B29</f>
        <v/>
      </c>
      <c r="R5" s="6">
        <f>B30</f>
        <v/>
      </c>
      <c r="S5" s="6">
        <f>B31</f>
        <v/>
      </c>
      <c r="T5" s="6">
        <f>B32</f>
        <v/>
      </c>
      <c r="U5" s="6">
        <f>B33</f>
        <v/>
      </c>
      <c r="V5" s="6">
        <f>B34</f>
        <v/>
      </c>
      <c r="W5" s="6">
        <f>B35</f>
        <v/>
      </c>
      <c r="X5" s="6">
        <f>B36</f>
        <v/>
      </c>
      <c r="Y5" s="6">
        <f>B37</f>
        <v/>
      </c>
      <c r="Z5" s="6">
        <f>B38</f>
        <v/>
      </c>
      <c r="AA5" s="6">
        <f>B39</f>
        <v/>
      </c>
    </row>
    <row r="6">
      <c r="A6" s="5" t="inlineStr">
        <is>
          <t>9</t>
        </is>
      </c>
      <c r="B6" s="5" t="inlineStr">
        <is>
          <t>折旧费</t>
        </is>
      </c>
      <c r="C6" s="6">
        <f>SUM(D6,E6,F6,G6,H6,I6,J6,K6,L6,M6,N6,O6,P6,Q6,R6,S6,T6,U6,V6,W6,X6,Y6,Z6,AA6)</f>
        <v/>
      </c>
      <c r="D6" s="6">
        <f>C16</f>
        <v/>
      </c>
      <c r="E6" s="6">
        <f>C17</f>
        <v/>
      </c>
      <c r="F6" s="6">
        <f>C18</f>
        <v/>
      </c>
      <c r="G6" s="6">
        <f>C19</f>
        <v/>
      </c>
      <c r="H6" s="6">
        <f>C20</f>
        <v/>
      </c>
      <c r="I6" s="6">
        <f>C21</f>
        <v/>
      </c>
      <c r="J6" s="6">
        <f>C22</f>
        <v/>
      </c>
      <c r="K6" s="6">
        <f>C23</f>
        <v/>
      </c>
      <c r="L6" s="6">
        <f>C24</f>
        <v/>
      </c>
      <c r="M6" s="6">
        <f>C25</f>
        <v/>
      </c>
      <c r="N6" s="6">
        <f>C26</f>
        <v/>
      </c>
      <c r="O6" s="6">
        <f>C27</f>
        <v/>
      </c>
      <c r="P6" s="6">
        <f>C28</f>
        <v/>
      </c>
      <c r="Q6" s="6">
        <f>C29</f>
        <v/>
      </c>
      <c r="R6" s="6">
        <f>C30</f>
        <v/>
      </c>
      <c r="S6" s="6">
        <f>C31</f>
        <v/>
      </c>
      <c r="T6" s="6">
        <f>C32</f>
        <v/>
      </c>
      <c r="U6" s="6">
        <f>C33</f>
        <v/>
      </c>
      <c r="V6" s="6">
        <f>C34</f>
        <v/>
      </c>
      <c r="W6" s="6">
        <f>C35</f>
        <v/>
      </c>
      <c r="X6" s="6">
        <f>C36</f>
        <v/>
      </c>
      <c r="Y6" s="6">
        <f>C37</f>
        <v/>
      </c>
      <c r="Z6" s="6">
        <f>C38</f>
        <v/>
      </c>
      <c r="AA6" s="6">
        <f>C39</f>
        <v/>
      </c>
    </row>
    <row r="7">
      <c r="A7" s="5" t="inlineStr">
        <is>
          <t>10</t>
        </is>
      </c>
      <c r="B7" s="5" t="inlineStr">
        <is>
          <t>摊销费</t>
        </is>
      </c>
      <c r="C7" s="6">
        <f>SUM(D7,E7,F7,G7,H7,I7,J7,K7,L7,M7,N7,O7,P7,Q7,R7,S7,T7,U7,V7,W7,X7,Y7,Z7,AA7)</f>
        <v/>
      </c>
      <c r="D7" s="6">
        <f>D16</f>
        <v/>
      </c>
      <c r="E7" s="6">
        <f>D17</f>
        <v/>
      </c>
      <c r="F7" s="6">
        <f>D18</f>
        <v/>
      </c>
      <c r="G7" s="6">
        <f>D19</f>
        <v/>
      </c>
      <c r="H7" s="6">
        <f>D20</f>
        <v/>
      </c>
      <c r="I7" s="6">
        <f>D21</f>
        <v/>
      </c>
      <c r="J7" s="6">
        <f>D22</f>
        <v/>
      </c>
      <c r="K7" s="6">
        <f>D23</f>
        <v/>
      </c>
      <c r="L7" s="6">
        <f>D24</f>
        <v/>
      </c>
      <c r="M7" s="6">
        <f>D25</f>
        <v/>
      </c>
      <c r="N7" s="6">
        <f>D26</f>
        <v/>
      </c>
      <c r="O7" s="6">
        <f>D27</f>
        <v/>
      </c>
      <c r="P7" s="6">
        <f>D28</f>
        <v/>
      </c>
      <c r="Q7" s="6">
        <f>D29</f>
        <v/>
      </c>
      <c r="R7" s="6">
        <f>D30</f>
        <v/>
      </c>
      <c r="S7" s="6">
        <f>D31</f>
        <v/>
      </c>
      <c r="T7" s="6">
        <f>D32</f>
        <v/>
      </c>
      <c r="U7" s="6">
        <f>D33</f>
        <v/>
      </c>
      <c r="V7" s="6">
        <f>D34</f>
        <v/>
      </c>
      <c r="W7" s="6">
        <f>D35</f>
        <v/>
      </c>
      <c r="X7" s="6">
        <f>D36</f>
        <v/>
      </c>
      <c r="Y7" s="6">
        <f>D37</f>
        <v/>
      </c>
      <c r="Z7" s="6">
        <f>D38</f>
        <v/>
      </c>
      <c r="AA7" s="6">
        <f>D39</f>
        <v/>
      </c>
    </row>
    <row r="8">
      <c r="A8" s="5" t="inlineStr">
        <is>
          <t>11</t>
        </is>
      </c>
      <c r="B8" s="5" t="inlineStr">
        <is>
          <t>财务费用</t>
        </is>
      </c>
      <c r="C8" s="6">
        <f>SUM(D8,E8,F8,G8,H8,I8,J8,K8,L8,M8,N8,O8,P8,Q8,R8,S8,T8,U8,V8,W8,X8,Y8,Z8,AA8)</f>
        <v/>
      </c>
      <c r="D8" s="6">
        <f>E16</f>
        <v/>
      </c>
      <c r="E8" s="6">
        <f>E17</f>
        <v/>
      </c>
      <c r="F8" s="6">
        <f>E18</f>
        <v/>
      </c>
      <c r="G8" s="6">
        <f>E19</f>
        <v/>
      </c>
      <c r="H8" s="6">
        <f>E20</f>
        <v/>
      </c>
      <c r="I8" s="6">
        <f>E21</f>
        <v/>
      </c>
      <c r="J8" s="6">
        <f>E22</f>
        <v/>
      </c>
      <c r="K8" s="6">
        <f>E23</f>
        <v/>
      </c>
      <c r="L8" s="6">
        <f>E24</f>
        <v/>
      </c>
      <c r="M8" s="6">
        <f>E25</f>
        <v/>
      </c>
      <c r="N8" s="6">
        <f>E26</f>
        <v/>
      </c>
      <c r="O8" s="6">
        <f>E27</f>
        <v/>
      </c>
      <c r="P8" s="6">
        <f>E28</f>
        <v/>
      </c>
      <c r="Q8" s="6">
        <f>E29</f>
        <v/>
      </c>
      <c r="R8" s="6">
        <f>E30</f>
        <v/>
      </c>
      <c r="S8" s="6">
        <f>E31</f>
        <v/>
      </c>
      <c r="T8" s="6">
        <f>E32</f>
        <v/>
      </c>
      <c r="U8" s="6">
        <f>E33</f>
        <v/>
      </c>
      <c r="V8" s="6">
        <f>E34</f>
        <v/>
      </c>
      <c r="W8" s="6">
        <f>E35</f>
        <v/>
      </c>
      <c r="X8" s="6">
        <f>E36</f>
        <v/>
      </c>
      <c r="Y8" s="6">
        <f>E37</f>
        <v/>
      </c>
      <c r="Z8" s="6">
        <f>E38</f>
        <v/>
      </c>
      <c r="AA8" s="6">
        <f>E39</f>
        <v/>
      </c>
    </row>
    <row r="9">
      <c r="A9" s="5" t="inlineStr">
        <is>
          <t>11.1</t>
        </is>
      </c>
      <c r="B9" s="5" t="inlineStr">
        <is>
          <t>长期贷款利息</t>
        </is>
      </c>
      <c r="C9" s="6">
        <f>SUM(D9,E9,F9,G9,H9,I9,J9,K9,L9,M9,N9,O9,P9,Q9,R9,S9,T9,U9,V9,W9,X9,Y9,Z9,AA9)</f>
        <v/>
      </c>
      <c r="D9" s="6">
        <f>E16</f>
        <v/>
      </c>
      <c r="E9" s="6">
        <f>E17</f>
        <v/>
      </c>
      <c r="F9" s="6">
        <f>E18</f>
        <v/>
      </c>
      <c r="G9" s="6">
        <f>E19</f>
        <v/>
      </c>
      <c r="H9" s="6">
        <f>E20</f>
        <v/>
      </c>
      <c r="I9" s="6">
        <f>E21</f>
        <v/>
      </c>
      <c r="J9" s="6">
        <f>E22</f>
        <v/>
      </c>
      <c r="K9" s="6">
        <f>E23</f>
        <v/>
      </c>
      <c r="L9" s="6">
        <f>E24</f>
        <v/>
      </c>
      <c r="M9" s="6">
        <f>E25</f>
        <v/>
      </c>
      <c r="N9" s="6">
        <f>E26</f>
        <v/>
      </c>
      <c r="O9" s="6">
        <f>E27</f>
        <v/>
      </c>
      <c r="P9" s="6">
        <f>E28</f>
        <v/>
      </c>
      <c r="Q9" s="6">
        <f>E29</f>
        <v/>
      </c>
      <c r="R9" s="6">
        <f>E30</f>
        <v/>
      </c>
      <c r="S9" s="6">
        <f>E31</f>
        <v/>
      </c>
      <c r="T9" s="6">
        <f>E32</f>
        <v/>
      </c>
      <c r="U9" s="6">
        <f>E33</f>
        <v/>
      </c>
      <c r="V9" s="6">
        <f>E34</f>
        <v/>
      </c>
      <c r="W9" s="6">
        <f>E35</f>
        <v/>
      </c>
      <c r="X9" s="6">
        <f>E36</f>
        <v/>
      </c>
      <c r="Y9" s="6">
        <f>E37</f>
        <v/>
      </c>
      <c r="Z9" s="6">
        <f>E38</f>
        <v/>
      </c>
      <c r="AA9" s="6">
        <f>E39</f>
        <v/>
      </c>
    </row>
    <row r="10">
      <c r="A10" s="5" t="inlineStr">
        <is>
          <t>12</t>
        </is>
      </c>
      <c r="B10" s="5" t="inlineStr">
        <is>
          <t>总成本费用</t>
        </is>
      </c>
      <c r="C10" s="6">
        <f>SUM(D10,E10,F10,G10,H10,I10,J10,K10,L10,M10,N10,O10,P10,Q10,R10,S10,T10,U10,V10,W10,X10,Y10,Z10,AA10)</f>
        <v/>
      </c>
      <c r="D10" s="6">
        <f>F16</f>
        <v/>
      </c>
      <c r="E10" s="6">
        <f>F17</f>
        <v/>
      </c>
      <c r="F10" s="6">
        <f>F18</f>
        <v/>
      </c>
      <c r="G10" s="6">
        <f>F19</f>
        <v/>
      </c>
      <c r="H10" s="6">
        <f>F20</f>
        <v/>
      </c>
      <c r="I10" s="6">
        <f>F21</f>
        <v/>
      </c>
      <c r="J10" s="6">
        <f>F22</f>
        <v/>
      </c>
      <c r="K10" s="6">
        <f>F23</f>
        <v/>
      </c>
      <c r="L10" s="6">
        <f>F24</f>
        <v/>
      </c>
      <c r="M10" s="6">
        <f>F25</f>
        <v/>
      </c>
      <c r="N10" s="6">
        <f>F26</f>
        <v/>
      </c>
      <c r="O10" s="6">
        <f>F27</f>
        <v/>
      </c>
      <c r="P10" s="6">
        <f>F28</f>
        <v/>
      </c>
      <c r="Q10" s="6">
        <f>F29</f>
        <v/>
      </c>
      <c r="R10" s="6">
        <f>F30</f>
        <v/>
      </c>
      <c r="S10" s="6">
        <f>F31</f>
        <v/>
      </c>
      <c r="T10" s="6">
        <f>F32</f>
        <v/>
      </c>
      <c r="U10" s="6">
        <f>F33</f>
        <v/>
      </c>
      <c r="V10" s="6">
        <f>F34</f>
        <v/>
      </c>
      <c r="W10" s="6">
        <f>F35</f>
        <v/>
      </c>
      <c r="X10" s="6">
        <f>F36</f>
        <v/>
      </c>
      <c r="Y10" s="6">
        <f>F37</f>
        <v/>
      </c>
      <c r="Z10" s="6">
        <f>F38</f>
        <v/>
      </c>
      <c r="AA10" s="6">
        <f>F39</f>
        <v/>
      </c>
    </row>
    <row r="11">
      <c r="A11" s="5" t="inlineStr">
        <is>
          <t>12.1</t>
        </is>
      </c>
      <c r="B11" s="5" t="inlineStr">
        <is>
          <t>固定成本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5" t="inlineStr">
        <is>
          <t>12.2</t>
        </is>
      </c>
      <c r="B12" s="5" t="inlineStr">
        <is>
          <t>变动成本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/>
    <row r="14">
      <c r="A14" t="inlineStr">
        <is>
          <t>引擎逐年计算区（供公式与跨表追溯）</t>
        </is>
      </c>
    </row>
    <row r="15">
      <c r="A15" s="7" t="inlineStr">
        <is>
          <t>运营年</t>
        </is>
      </c>
      <c r="B15" s="7" t="inlineStr">
        <is>
          <t>经营成本</t>
        </is>
      </c>
      <c r="C15" s="7" t="inlineStr">
        <is>
          <t>折旧费</t>
        </is>
      </c>
      <c r="D15" s="7" t="inlineStr">
        <is>
          <t>摊销费</t>
        </is>
      </c>
      <c r="E15" s="7" t="inlineStr">
        <is>
          <t>利息支出</t>
        </is>
      </c>
      <c r="F15" s="7" t="inlineStr">
        <is>
          <t>总成本费用</t>
        </is>
      </c>
    </row>
    <row r="16">
      <c r="A16" s="8" t="n">
        <v>1</v>
      </c>
      <c r="B16" s="8" t="n">
        <v>1473.79</v>
      </c>
      <c r="C16" s="8" t="n">
        <v>2007.67</v>
      </c>
      <c r="D16" s="8" t="n">
        <v>0</v>
      </c>
      <c r="E16" s="8" t="n">
        <v>955.1799999999999</v>
      </c>
      <c r="F16" s="8">
        <f>SUM(B16,C16,D16,E16)</f>
        <v/>
      </c>
    </row>
    <row r="17">
      <c r="A17" s="8" t="n">
        <v>2</v>
      </c>
      <c r="B17" s="8" t="n">
        <v>1473.79</v>
      </c>
      <c r="C17" s="8" t="n">
        <v>2007.67</v>
      </c>
      <c r="D17" s="8" t="n">
        <v>0</v>
      </c>
      <c r="E17" s="8" t="n">
        <v>891.5</v>
      </c>
      <c r="F17" s="8">
        <f>SUM(B17,C17,D17,E17)</f>
        <v/>
      </c>
    </row>
    <row r="18">
      <c r="A18" s="8" t="n">
        <v>3</v>
      </c>
      <c r="B18" s="8" t="n">
        <v>1473.79</v>
      </c>
      <c r="C18" s="8" t="n">
        <v>2007.67</v>
      </c>
      <c r="D18" s="8" t="n">
        <v>0</v>
      </c>
      <c r="E18" s="8" t="n">
        <v>827.8200000000001</v>
      </c>
      <c r="F18" s="8">
        <f>SUM(B18,C18,D18,E18)</f>
        <v/>
      </c>
    </row>
    <row r="19">
      <c r="A19" s="8" t="n">
        <v>4</v>
      </c>
      <c r="B19" s="8" t="n">
        <v>1473.79</v>
      </c>
      <c r="C19" s="8" t="n">
        <v>2007.67</v>
      </c>
      <c r="D19" s="8" t="n">
        <v>0</v>
      </c>
      <c r="E19" s="8" t="n">
        <v>764.14</v>
      </c>
      <c r="F19" s="8">
        <f>SUM(B19,C19,D19,E19)</f>
        <v/>
      </c>
    </row>
    <row r="20">
      <c r="A20" s="8" t="n">
        <v>5</v>
      </c>
      <c r="B20" s="8" t="n">
        <v>1473.79</v>
      </c>
      <c r="C20" s="8" t="n">
        <v>2007.67</v>
      </c>
      <c r="D20" s="8" t="n">
        <v>0</v>
      </c>
      <c r="E20" s="8" t="n">
        <v>700.47</v>
      </c>
      <c r="F20" s="8">
        <f>SUM(B20,C20,D20,E20)</f>
        <v/>
      </c>
    </row>
    <row r="21">
      <c r="A21" s="8" t="n">
        <v>6</v>
      </c>
      <c r="B21" s="8" t="n">
        <v>1473.79</v>
      </c>
      <c r="C21" s="8" t="n">
        <v>2007.67</v>
      </c>
      <c r="D21" s="8" t="n">
        <v>0</v>
      </c>
      <c r="E21" s="8" t="n">
        <v>636.79</v>
      </c>
      <c r="F21" s="8">
        <f>SUM(B21,C21,D21,E21)</f>
        <v/>
      </c>
    </row>
    <row r="22">
      <c r="A22" s="8" t="n">
        <v>7</v>
      </c>
      <c r="B22" s="8" t="n">
        <v>1473.79</v>
      </c>
      <c r="C22" s="8" t="n">
        <v>2007.67</v>
      </c>
      <c r="D22" s="8" t="n">
        <v>0</v>
      </c>
      <c r="E22" s="8" t="n">
        <v>573.11</v>
      </c>
      <c r="F22" s="8">
        <f>SUM(B22,C22,D22,E22)</f>
        <v/>
      </c>
    </row>
    <row r="23">
      <c r="A23" s="8" t="n">
        <v>8</v>
      </c>
      <c r="B23" s="8" t="n">
        <v>1473.79</v>
      </c>
      <c r="C23" s="8" t="n">
        <v>2007.67</v>
      </c>
      <c r="D23" s="8" t="n">
        <v>0</v>
      </c>
      <c r="E23" s="8" t="n">
        <v>509.43</v>
      </c>
      <c r="F23" s="8">
        <f>SUM(B23,C23,D23,E23)</f>
        <v/>
      </c>
    </row>
    <row r="24">
      <c r="A24" s="8" t="n">
        <v>9</v>
      </c>
      <c r="B24" s="8" t="n">
        <v>1473.79</v>
      </c>
      <c r="C24" s="8" t="n">
        <v>2007.67</v>
      </c>
      <c r="D24" s="8" t="n">
        <v>0</v>
      </c>
      <c r="E24" s="8" t="n">
        <v>445.75</v>
      </c>
      <c r="F24" s="8">
        <f>SUM(B24,C24,D24,E24)</f>
        <v/>
      </c>
    </row>
    <row r="25">
      <c r="A25" s="8" t="n">
        <v>10</v>
      </c>
      <c r="B25" s="8" t="n">
        <v>1473.79</v>
      </c>
      <c r="C25" s="8" t="n">
        <v>2007.67</v>
      </c>
      <c r="D25" s="8" t="n">
        <v>0</v>
      </c>
      <c r="E25" s="8" t="n">
        <v>382.07</v>
      </c>
      <c r="F25" s="8">
        <f>SUM(B25,C25,D25,E25)</f>
        <v/>
      </c>
    </row>
    <row r="26">
      <c r="A26" s="8" t="n">
        <v>11</v>
      </c>
      <c r="B26" s="8" t="n">
        <v>1473.79</v>
      </c>
      <c r="C26" s="8" t="n">
        <v>2007.67</v>
      </c>
      <c r="D26" s="8" t="n">
        <v>0</v>
      </c>
      <c r="E26" s="8" t="n">
        <v>318.39</v>
      </c>
      <c r="F26" s="8">
        <f>SUM(B26,C26,D26,E26)</f>
        <v/>
      </c>
    </row>
    <row r="27">
      <c r="A27" s="8" t="n">
        <v>12</v>
      </c>
      <c r="B27" s="8" t="n">
        <v>1473.79</v>
      </c>
      <c r="C27" s="8" t="n">
        <v>2007.67</v>
      </c>
      <c r="D27" s="8" t="n">
        <v>0</v>
      </c>
      <c r="E27" s="8" t="n">
        <v>254.71</v>
      </c>
      <c r="F27" s="8">
        <f>SUM(B27,C27,D27,E27)</f>
        <v/>
      </c>
    </row>
    <row r="28">
      <c r="A28" s="8" t="n">
        <v>13</v>
      </c>
      <c r="B28" s="8" t="n">
        <v>1473.79</v>
      </c>
      <c r="C28" s="8" t="n">
        <v>2007.67</v>
      </c>
      <c r="D28" s="8" t="n">
        <v>0</v>
      </c>
      <c r="E28" s="8" t="n">
        <v>191.04</v>
      </c>
      <c r="F28" s="8">
        <f>SUM(B28,C28,D28,E28)</f>
        <v/>
      </c>
    </row>
    <row r="29">
      <c r="A29" s="8" t="n">
        <v>14</v>
      </c>
      <c r="B29" s="8" t="n">
        <v>1473.79</v>
      </c>
      <c r="C29" s="8" t="n">
        <v>2007.67</v>
      </c>
      <c r="D29" s="8" t="n">
        <v>0</v>
      </c>
      <c r="E29" s="8" t="n">
        <v>127.36</v>
      </c>
      <c r="F29" s="8">
        <f>SUM(B29,C29,D29,E29)</f>
        <v/>
      </c>
    </row>
    <row r="30">
      <c r="A30" s="8" t="n">
        <v>15</v>
      </c>
      <c r="B30" s="8" t="n">
        <v>1473.79</v>
      </c>
      <c r="C30" s="8" t="n">
        <v>2007.67</v>
      </c>
      <c r="D30" s="8" t="n">
        <v>0</v>
      </c>
      <c r="E30" s="8" t="n">
        <v>63.68</v>
      </c>
      <c r="F30" s="8">
        <f>SUM(B30,C30,D30,E30)</f>
        <v/>
      </c>
    </row>
    <row r="31">
      <c r="A31" s="8" t="n">
        <v>16</v>
      </c>
      <c r="B31" s="8" t="n">
        <v>1473.79</v>
      </c>
      <c r="C31" s="8" t="n">
        <v>2007.67</v>
      </c>
      <c r="D31" s="8" t="n">
        <v>0</v>
      </c>
      <c r="E31" s="8" t="n">
        <v>0</v>
      </c>
      <c r="F31" s="8">
        <f>SUM(B31,C31,D31,E31)</f>
        <v/>
      </c>
    </row>
    <row r="32">
      <c r="A32" s="8" t="n">
        <v>17</v>
      </c>
      <c r="B32" s="8" t="n">
        <v>1473.79</v>
      </c>
      <c r="C32" s="8" t="n">
        <v>2007.67</v>
      </c>
      <c r="D32" s="8" t="n">
        <v>0</v>
      </c>
      <c r="E32" s="8" t="n">
        <v>0</v>
      </c>
      <c r="F32" s="8">
        <f>SUM(B32,C32,D32,E32)</f>
        <v/>
      </c>
    </row>
    <row r="33">
      <c r="A33" s="8" t="n">
        <v>18</v>
      </c>
      <c r="B33" s="8" t="n">
        <v>1473.79</v>
      </c>
      <c r="C33" s="8" t="n">
        <v>2007.67</v>
      </c>
      <c r="D33" s="8" t="n">
        <v>0</v>
      </c>
      <c r="E33" s="8" t="n">
        <v>0</v>
      </c>
      <c r="F33" s="8">
        <f>SUM(B33,C33,D33,E33)</f>
        <v/>
      </c>
    </row>
    <row r="34">
      <c r="A34" s="8" t="n">
        <v>19</v>
      </c>
      <c r="B34" s="8" t="n">
        <v>1473.79</v>
      </c>
      <c r="C34" s="8" t="n">
        <v>2007.67</v>
      </c>
      <c r="D34" s="8" t="n">
        <v>0</v>
      </c>
      <c r="E34" s="8" t="n">
        <v>0</v>
      </c>
      <c r="F34" s="8">
        <f>SUM(B34,C34,D34,E34)</f>
        <v/>
      </c>
    </row>
    <row r="35">
      <c r="A35" s="8" t="n">
        <v>20</v>
      </c>
      <c r="B35" s="8" t="n">
        <v>1473.79</v>
      </c>
      <c r="C35" s="8" t="n">
        <v>2007.67</v>
      </c>
      <c r="D35" s="8" t="n">
        <v>0</v>
      </c>
      <c r="E35" s="8" t="n">
        <v>0</v>
      </c>
      <c r="F35" s="8">
        <f>SUM(B35,C35,D35,E35)</f>
        <v/>
      </c>
    </row>
    <row r="36">
      <c r="A36" s="8" t="n">
        <v>21</v>
      </c>
      <c r="B36" s="8" t="n">
        <v>1473.79</v>
      </c>
      <c r="C36" s="8" t="n">
        <v>0</v>
      </c>
      <c r="D36" s="8" t="n">
        <v>0</v>
      </c>
      <c r="E36" s="8" t="n">
        <v>0</v>
      </c>
      <c r="F36" s="8">
        <f>SUM(B36,C36,D36,E36)</f>
        <v/>
      </c>
    </row>
    <row r="37">
      <c r="A37" s="8" t="n">
        <v>22</v>
      </c>
      <c r="B37" s="8" t="n">
        <v>1473.79</v>
      </c>
      <c r="C37" s="8" t="n">
        <v>0</v>
      </c>
      <c r="D37" s="8" t="n">
        <v>0</v>
      </c>
      <c r="E37" s="8" t="n">
        <v>0</v>
      </c>
      <c r="F37" s="8">
        <f>SUM(B37,C37,D37,E37)</f>
        <v/>
      </c>
    </row>
    <row r="38">
      <c r="A38" s="8" t="n">
        <v>23</v>
      </c>
      <c r="B38" s="8" t="n">
        <v>1473.79</v>
      </c>
      <c r="C38" s="8" t="n">
        <v>0</v>
      </c>
      <c r="D38" s="8" t="n">
        <v>0</v>
      </c>
      <c r="E38" s="8" t="n">
        <v>0</v>
      </c>
      <c r="F38" s="8">
        <f>SUM(B38,C38,D38,E38)</f>
        <v/>
      </c>
    </row>
    <row r="39">
      <c r="A39" s="8" t="n">
        <v>24</v>
      </c>
      <c r="B39" s="8" t="n">
        <v>1473.79</v>
      </c>
      <c r="C39" s="8" t="n">
        <v>0</v>
      </c>
      <c r="D39" s="8" t="n">
        <v>0</v>
      </c>
      <c r="E39" s="8" t="n">
        <v>0</v>
      </c>
      <c r="F39" s="8">
        <f>SUM(B39,C39,D39,E39)</f>
        <v/>
      </c>
    </row>
    <row r="40">
      <c r="A40" t="inlineStr">
        <is>
          <t>说明1：missing_fields: cost_items 成本明细树（≥3 项；默认总成本率不算 reference）</t>
        </is>
      </c>
    </row>
    <row r="41">
      <c r="A41" t="inlineStr">
        <is>
          <t>说明2：structure_gaps: 行业变体未冻结(variant=flat_estimate, model=flat)；缺参考行组 raw（外购原材料费）；缺参考行组 fuel（外购燃料及动力费/外购燃料和动力费）；缺参考行组 wage（工资及福利费）；缺参考行组 repair（修理费）；缺 cost_items 成本明细树（≥3 项）；固定/变动成本分类未确认（cost_behavior）；名称猜测仅估算，不得升 reference</t>
        </is>
      </c>
    </row>
    <row r="42">
      <c r="A42" t="inlineStr">
        <is>
          <t>跨表依赖复核：附表4</t>
        </is>
      </c>
      <c r="B42" s="8">
        <f>'附表4'!C4</f>
        <v/>
      </c>
    </row>
    <row r="43">
      <c r="A43" t="inlineStr">
        <is>
          <t>跨表依赖复核：附表5</t>
        </is>
      </c>
      <c r="B43" s="8">
        <f>'附表5'!A16</f>
        <v/>
      </c>
    </row>
    <row r="44">
      <c r="A44" t="inlineStr">
        <is>
          <t>跨表依赖复核：附表6-1</t>
        </is>
      </c>
      <c r="B44" s="8">
        <f>'附表6-1'!A11</f>
        <v/>
      </c>
    </row>
    <row r="45">
      <c r="A45" t="inlineStr">
        <is>
          <t>跨表依赖复核：附表6-2</t>
        </is>
      </c>
      <c r="B45" s="8">
        <f>'附表6-2'!A8</f>
        <v/>
      </c>
    </row>
    <row r="46">
      <c r="A46" t="inlineStr">
        <is>
          <t>跨表依赖复核：附表6-3</t>
        </is>
      </c>
      <c r="B46" s="8">
        <f>'附表6-3'!A8</f>
        <v/>
      </c>
    </row>
    <row r="47">
      <c r="A47" t="inlineStr">
        <is>
          <t>跨表依赖复核：附表8</t>
        </is>
      </c>
      <c r="B47" s="8">
        <f>'附表8'!A24</f>
        <v/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3" t="inlineStr">
        <is>
          <t>附表6-1 工资及附加估算表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单位</t>
        </is>
      </c>
      <c r="D3" s="4" t="inlineStr">
        <is>
          <t>人数</t>
        </is>
      </c>
      <c r="E3" s="4" t="inlineStr">
        <is>
          <t>人均年工资</t>
        </is>
      </c>
      <c r="F3" s="4" t="inlineStr">
        <is>
          <t>合计</t>
        </is>
      </c>
      <c r="G3" s="4" t="inlineStr">
        <is>
          <t>分年1</t>
        </is>
      </c>
      <c r="H3" s="4" t="inlineStr">
        <is>
          <t>分年2</t>
        </is>
      </c>
      <c r="I3" s="4" t="inlineStr">
        <is>
          <t>分年3</t>
        </is>
      </c>
      <c r="J3" s="4" t="inlineStr">
        <is>
          <t>分年4</t>
        </is>
      </c>
      <c r="K3" s="4" t="inlineStr">
        <is>
          <t>分年5</t>
        </is>
      </c>
      <c r="L3" s="4" t="inlineStr">
        <is>
          <t>分年6</t>
        </is>
      </c>
      <c r="M3" s="4" t="inlineStr">
        <is>
          <t>分年7</t>
        </is>
      </c>
      <c r="N3" s="4" t="inlineStr">
        <is>
          <t>分年8</t>
        </is>
      </c>
      <c r="O3" s="4" t="inlineStr">
        <is>
          <t>分年9</t>
        </is>
      </c>
      <c r="P3" s="4" t="inlineStr">
        <is>
          <t>分年10</t>
        </is>
      </c>
      <c r="Q3" s="4" t="inlineStr">
        <is>
          <t>分年11</t>
        </is>
      </c>
      <c r="R3" s="4" t="inlineStr">
        <is>
          <t>分年12</t>
        </is>
      </c>
      <c r="S3" s="4" t="inlineStr">
        <is>
          <t>分年13</t>
        </is>
      </c>
      <c r="T3" s="4" t="inlineStr">
        <is>
          <t>分年14</t>
        </is>
      </c>
      <c r="U3" s="4" t="inlineStr">
        <is>
          <t>分年15</t>
        </is>
      </c>
      <c r="V3" s="4" t="inlineStr">
        <is>
          <t>分年16</t>
        </is>
      </c>
      <c r="W3" s="4" t="inlineStr">
        <is>
          <t>分年17</t>
        </is>
      </c>
      <c r="X3" s="4" t="inlineStr">
        <is>
          <t>分年18</t>
        </is>
      </c>
      <c r="Y3" s="4" t="inlineStr">
        <is>
          <t>分年19</t>
        </is>
      </c>
      <c r="Z3" s="4" t="inlineStr">
        <is>
          <t>分年20</t>
        </is>
      </c>
      <c r="AA3" s="4" t="inlineStr">
        <is>
          <t>分年21</t>
        </is>
      </c>
      <c r="AB3" s="4" t="inlineStr">
        <is>
          <t>分年22</t>
        </is>
      </c>
      <c r="AC3" s="4" t="inlineStr">
        <is>
          <t>分年23</t>
        </is>
      </c>
      <c r="AD3" s="4" t="inlineStr">
        <is>
          <t>分年24</t>
        </is>
      </c>
    </row>
    <row r="4">
      <c r="A4" s="5" t="inlineStr">
        <is>
          <t>1</t>
        </is>
      </c>
      <c r="B4" s="5" t="inlineStr">
        <is>
          <t>劳动定员</t>
        </is>
      </c>
      <c r="C4" s="5" t="inlineStr">
        <is>
          <t>人</t>
        </is>
      </c>
      <c r="D4" s="5" t="n"/>
      <c r="E4" s="5" t="n"/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>
      <c r="A5" s="5" t="inlineStr">
        <is>
          <t>2</t>
        </is>
      </c>
      <c r="B5" s="5" t="inlineStr">
        <is>
          <t>工资额</t>
        </is>
      </c>
      <c r="C5" s="5" t="inlineStr">
        <is>
          <t>万元</t>
        </is>
      </c>
      <c r="D5" s="5" t="n"/>
      <c r="E5" s="5" t="n"/>
      <c r="F5" s="6">
        <f>SUM(G5,H5,I5,J5,K5,L5,M5,N5,O5,P5,Q5,R5,S5,T5,U5,V5,W5,X5,Y5,Z5,AA5,AB5,AC5,AD5)</f>
        <v/>
      </c>
      <c r="G5" s="6">
        <f>B11</f>
        <v/>
      </c>
      <c r="H5" s="6">
        <f>B12</f>
        <v/>
      </c>
      <c r="I5" s="6">
        <f>B13</f>
        <v/>
      </c>
      <c r="J5" s="6">
        <f>B14</f>
        <v/>
      </c>
      <c r="K5" s="6">
        <f>B15</f>
        <v/>
      </c>
      <c r="L5" s="6">
        <f>B16</f>
        <v/>
      </c>
      <c r="M5" s="6">
        <f>B17</f>
        <v/>
      </c>
      <c r="N5" s="6">
        <f>B18</f>
        <v/>
      </c>
      <c r="O5" s="6">
        <f>B19</f>
        <v/>
      </c>
      <c r="P5" s="6">
        <f>B20</f>
        <v/>
      </c>
      <c r="Q5" s="6">
        <f>B21</f>
        <v/>
      </c>
      <c r="R5" s="6">
        <f>B22</f>
        <v/>
      </c>
      <c r="S5" s="6">
        <f>B23</f>
        <v/>
      </c>
      <c r="T5" s="6">
        <f>B24</f>
        <v/>
      </c>
      <c r="U5" s="6">
        <f>B25</f>
        <v/>
      </c>
      <c r="V5" s="6">
        <f>B26</f>
        <v/>
      </c>
      <c r="W5" s="6">
        <f>B27</f>
        <v/>
      </c>
      <c r="X5" s="6">
        <f>B28</f>
        <v/>
      </c>
      <c r="Y5" s="6">
        <f>B29</f>
        <v/>
      </c>
      <c r="Z5" s="6">
        <f>B30</f>
        <v/>
      </c>
      <c r="AA5" s="6">
        <f>B31</f>
        <v/>
      </c>
      <c r="AB5" s="6">
        <f>B32</f>
        <v/>
      </c>
      <c r="AC5" s="6">
        <f>B33</f>
        <v/>
      </c>
      <c r="AD5" s="6">
        <f>B34</f>
        <v/>
      </c>
    </row>
    <row r="6">
      <c r="A6" s="5" t="inlineStr">
        <is>
          <t>3</t>
        </is>
      </c>
      <c r="B6" s="5" t="inlineStr">
        <is>
          <t>福利费</t>
        </is>
      </c>
      <c r="C6" s="5" t="inlineStr">
        <is>
          <t>万元</t>
        </is>
      </c>
      <c r="D6" s="5" t="n"/>
      <c r="E6" s="5" t="n"/>
      <c r="F6" s="6">
        <f>SUM(G6,H6,I6,J6,K6,L6,M6,N6,O6,P6,Q6,R6,S6,T6,U6,V6,W6,X6,Y6,Z6,AA6,AB6,AC6,AD6)</f>
        <v/>
      </c>
      <c r="G6" s="6">
        <f>C11</f>
        <v/>
      </c>
      <c r="H6" s="6">
        <f>C12</f>
        <v/>
      </c>
      <c r="I6" s="6">
        <f>C13</f>
        <v/>
      </c>
      <c r="J6" s="6">
        <f>C14</f>
        <v/>
      </c>
      <c r="K6" s="6">
        <f>C15</f>
        <v/>
      </c>
      <c r="L6" s="6">
        <f>C16</f>
        <v/>
      </c>
      <c r="M6" s="6">
        <f>C17</f>
        <v/>
      </c>
      <c r="N6" s="6">
        <f>C18</f>
        <v/>
      </c>
      <c r="O6" s="6">
        <f>C19</f>
        <v/>
      </c>
      <c r="P6" s="6">
        <f>C20</f>
        <v/>
      </c>
      <c r="Q6" s="6">
        <f>C21</f>
        <v/>
      </c>
      <c r="R6" s="6">
        <f>C22</f>
        <v/>
      </c>
      <c r="S6" s="6">
        <f>C23</f>
        <v/>
      </c>
      <c r="T6" s="6">
        <f>C24</f>
        <v/>
      </c>
      <c r="U6" s="6">
        <f>C25</f>
        <v/>
      </c>
      <c r="V6" s="6">
        <f>C26</f>
        <v/>
      </c>
      <c r="W6" s="6">
        <f>C27</f>
        <v/>
      </c>
      <c r="X6" s="6">
        <f>C28</f>
        <v/>
      </c>
      <c r="Y6" s="6">
        <f>C29</f>
        <v/>
      </c>
      <c r="Z6" s="6">
        <f>C30</f>
        <v/>
      </c>
      <c r="AA6" s="6">
        <f>C31</f>
        <v/>
      </c>
      <c r="AB6" s="6">
        <f>C32</f>
        <v/>
      </c>
      <c r="AC6" s="6">
        <f>C33</f>
        <v/>
      </c>
      <c r="AD6" s="6">
        <f>C34</f>
        <v/>
      </c>
    </row>
    <row r="7">
      <c r="A7" s="5" t="inlineStr"/>
      <c r="B7" s="5" t="inlineStr">
        <is>
          <t>合计</t>
        </is>
      </c>
      <c r="C7" s="5" t="inlineStr">
        <is>
          <t>万元</t>
        </is>
      </c>
      <c r="D7" s="5" t="n"/>
      <c r="E7" s="5" t="n"/>
      <c r="F7" s="6">
        <f>SUM(G7,H7,I7,J7,K7,L7,M7,N7,O7,P7,Q7,R7,S7,T7,U7,V7,W7,X7,Y7,Z7,AA7,AB7,AC7,AD7)</f>
        <v/>
      </c>
      <c r="G7" s="6">
        <f>D11</f>
        <v/>
      </c>
      <c r="H7" s="6">
        <f>D12</f>
        <v/>
      </c>
      <c r="I7" s="6">
        <f>D13</f>
        <v/>
      </c>
      <c r="J7" s="6">
        <f>D14</f>
        <v/>
      </c>
      <c r="K7" s="6">
        <f>D15</f>
        <v/>
      </c>
      <c r="L7" s="6">
        <f>D16</f>
        <v/>
      </c>
      <c r="M7" s="6">
        <f>D17</f>
        <v/>
      </c>
      <c r="N7" s="6">
        <f>D18</f>
        <v/>
      </c>
      <c r="O7" s="6">
        <f>D19</f>
        <v/>
      </c>
      <c r="P7" s="6">
        <f>D20</f>
        <v/>
      </c>
      <c r="Q7" s="6">
        <f>D21</f>
        <v/>
      </c>
      <c r="R7" s="6">
        <f>D22</f>
        <v/>
      </c>
      <c r="S7" s="6">
        <f>D23</f>
        <v/>
      </c>
      <c r="T7" s="6">
        <f>D24</f>
        <v/>
      </c>
      <c r="U7" s="6">
        <f>D25</f>
        <v/>
      </c>
      <c r="V7" s="6">
        <f>D26</f>
        <v/>
      </c>
      <c r="W7" s="6">
        <f>D27</f>
        <v/>
      </c>
      <c r="X7" s="6">
        <f>D28</f>
        <v/>
      </c>
      <c r="Y7" s="6">
        <f>D29</f>
        <v/>
      </c>
      <c r="Z7" s="6">
        <f>D30</f>
        <v/>
      </c>
      <c r="AA7" s="6">
        <f>D31</f>
        <v/>
      </c>
      <c r="AB7" s="6">
        <f>D32</f>
        <v/>
      </c>
      <c r="AC7" s="6">
        <f>D33</f>
        <v/>
      </c>
      <c r="AD7" s="6">
        <f>D34</f>
        <v/>
      </c>
    </row>
    <row r="8"/>
    <row r="9">
      <c r="A9" t="inlineStr">
        <is>
          <t>引擎逐年计算区（供公式与跨表追溯）</t>
        </is>
      </c>
    </row>
    <row r="10">
      <c r="A10" s="7" t="inlineStr">
        <is>
          <t>运营年</t>
        </is>
      </c>
      <c r="B10" s="7" t="inlineStr">
        <is>
          <t>工资</t>
        </is>
      </c>
      <c r="C10" s="7" t="inlineStr">
        <is>
          <t>职工福利及附加</t>
        </is>
      </c>
      <c r="D10" s="7" t="inlineStr">
        <is>
          <t>工资及附加合计</t>
        </is>
      </c>
    </row>
    <row r="11">
      <c r="A11" s="8" t="n">
        <v>1</v>
      </c>
      <c r="B11" s="8" t="n">
        <v>221.07</v>
      </c>
      <c r="C11" s="8" t="n">
        <v>30.95</v>
      </c>
      <c r="D11" s="8">
        <f>B11+C11</f>
        <v/>
      </c>
    </row>
    <row r="12">
      <c r="A12" s="8" t="n">
        <v>2</v>
      </c>
      <c r="B12" s="8" t="n">
        <v>221.07</v>
      </c>
      <c r="C12" s="8" t="n">
        <v>30.95</v>
      </c>
      <c r="D12" s="8">
        <f>B12+C12</f>
        <v/>
      </c>
    </row>
    <row r="13">
      <c r="A13" s="8" t="n">
        <v>3</v>
      </c>
      <c r="B13" s="8" t="n">
        <v>221.07</v>
      </c>
      <c r="C13" s="8" t="n">
        <v>30.95</v>
      </c>
      <c r="D13" s="8">
        <f>B13+C13</f>
        <v/>
      </c>
    </row>
    <row r="14">
      <c r="A14" s="8" t="n">
        <v>4</v>
      </c>
      <c r="B14" s="8" t="n">
        <v>221.07</v>
      </c>
      <c r="C14" s="8" t="n">
        <v>30.95</v>
      </c>
      <c r="D14" s="8">
        <f>B14+C14</f>
        <v/>
      </c>
    </row>
    <row r="15">
      <c r="A15" s="8" t="n">
        <v>5</v>
      </c>
      <c r="B15" s="8" t="n">
        <v>221.07</v>
      </c>
      <c r="C15" s="8" t="n">
        <v>30.95</v>
      </c>
      <c r="D15" s="8">
        <f>B15+C15</f>
        <v/>
      </c>
    </row>
    <row r="16">
      <c r="A16" s="8" t="n">
        <v>6</v>
      </c>
      <c r="B16" s="8" t="n">
        <v>221.07</v>
      </c>
      <c r="C16" s="8" t="n">
        <v>30.95</v>
      </c>
      <c r="D16" s="8">
        <f>B16+C16</f>
        <v/>
      </c>
    </row>
    <row r="17">
      <c r="A17" s="8" t="n">
        <v>7</v>
      </c>
      <c r="B17" s="8" t="n">
        <v>221.07</v>
      </c>
      <c r="C17" s="8" t="n">
        <v>30.95</v>
      </c>
      <c r="D17" s="8">
        <f>B17+C17</f>
        <v/>
      </c>
    </row>
    <row r="18">
      <c r="A18" s="8" t="n">
        <v>8</v>
      </c>
      <c r="B18" s="8" t="n">
        <v>221.07</v>
      </c>
      <c r="C18" s="8" t="n">
        <v>30.95</v>
      </c>
      <c r="D18" s="8">
        <f>B18+C18</f>
        <v/>
      </c>
    </row>
    <row r="19">
      <c r="A19" s="8" t="n">
        <v>9</v>
      </c>
      <c r="B19" s="8" t="n">
        <v>221.07</v>
      </c>
      <c r="C19" s="8" t="n">
        <v>30.95</v>
      </c>
      <c r="D19" s="8">
        <f>B19+C19</f>
        <v/>
      </c>
    </row>
    <row r="20">
      <c r="A20" s="8" t="n">
        <v>10</v>
      </c>
      <c r="B20" s="8" t="n">
        <v>221.07</v>
      </c>
      <c r="C20" s="8" t="n">
        <v>30.95</v>
      </c>
      <c r="D20" s="8">
        <f>B20+C20</f>
        <v/>
      </c>
    </row>
    <row r="21">
      <c r="A21" s="8" t="n">
        <v>11</v>
      </c>
      <c r="B21" s="8" t="n">
        <v>221.07</v>
      </c>
      <c r="C21" s="8" t="n">
        <v>30.95</v>
      </c>
      <c r="D21" s="8">
        <f>B21+C21</f>
        <v/>
      </c>
    </row>
    <row r="22">
      <c r="A22" s="8" t="n">
        <v>12</v>
      </c>
      <c r="B22" s="8" t="n">
        <v>221.07</v>
      </c>
      <c r="C22" s="8" t="n">
        <v>30.95</v>
      </c>
      <c r="D22" s="8">
        <f>B22+C22</f>
        <v/>
      </c>
    </row>
    <row r="23">
      <c r="A23" s="8" t="n">
        <v>13</v>
      </c>
      <c r="B23" s="8" t="n">
        <v>221.07</v>
      </c>
      <c r="C23" s="8" t="n">
        <v>30.95</v>
      </c>
      <c r="D23" s="8">
        <f>B23+C23</f>
        <v/>
      </c>
    </row>
    <row r="24">
      <c r="A24" s="8" t="n">
        <v>14</v>
      </c>
      <c r="B24" s="8" t="n">
        <v>221.07</v>
      </c>
      <c r="C24" s="8" t="n">
        <v>30.95</v>
      </c>
      <c r="D24" s="8">
        <f>B24+C24</f>
        <v/>
      </c>
    </row>
    <row r="25">
      <c r="A25" s="8" t="n">
        <v>15</v>
      </c>
      <c r="B25" s="8" t="n">
        <v>221.07</v>
      </c>
      <c r="C25" s="8" t="n">
        <v>30.95</v>
      </c>
      <c r="D25" s="8">
        <f>B25+C25</f>
        <v/>
      </c>
    </row>
    <row r="26">
      <c r="A26" s="8" t="n">
        <v>16</v>
      </c>
      <c r="B26" s="8" t="n">
        <v>221.07</v>
      </c>
      <c r="C26" s="8" t="n">
        <v>30.95</v>
      </c>
      <c r="D26" s="8">
        <f>B26+C26</f>
        <v/>
      </c>
    </row>
    <row r="27">
      <c r="A27" s="8" t="n">
        <v>17</v>
      </c>
      <c r="B27" s="8" t="n">
        <v>221.07</v>
      </c>
      <c r="C27" s="8" t="n">
        <v>30.95</v>
      </c>
      <c r="D27" s="8">
        <f>B27+C27</f>
        <v/>
      </c>
    </row>
    <row r="28">
      <c r="A28" s="8" t="n">
        <v>18</v>
      </c>
      <c r="B28" s="8" t="n">
        <v>221.07</v>
      </c>
      <c r="C28" s="8" t="n">
        <v>30.95</v>
      </c>
      <c r="D28" s="8">
        <f>B28+C28</f>
        <v/>
      </c>
    </row>
    <row r="29">
      <c r="A29" s="8" t="n">
        <v>19</v>
      </c>
      <c r="B29" s="8" t="n">
        <v>221.07</v>
      </c>
      <c r="C29" s="8" t="n">
        <v>30.95</v>
      </c>
      <c r="D29" s="8">
        <f>B29+C29</f>
        <v/>
      </c>
    </row>
    <row r="30">
      <c r="A30" s="8" t="n">
        <v>20</v>
      </c>
      <c r="B30" s="8" t="n">
        <v>221.07</v>
      </c>
      <c r="C30" s="8" t="n">
        <v>30.95</v>
      </c>
      <c r="D30" s="8">
        <f>B30+C30</f>
        <v/>
      </c>
    </row>
    <row r="31">
      <c r="A31" s="8" t="n">
        <v>21</v>
      </c>
      <c r="B31" s="8" t="n">
        <v>221.07</v>
      </c>
      <c r="C31" s="8" t="n">
        <v>30.95</v>
      </c>
      <c r="D31" s="8">
        <f>B31+C31</f>
        <v/>
      </c>
    </row>
    <row r="32">
      <c r="A32" s="8" t="n">
        <v>22</v>
      </c>
      <c r="B32" s="8" t="n">
        <v>221.07</v>
      </c>
      <c r="C32" s="8" t="n">
        <v>30.95</v>
      </c>
      <c r="D32" s="8">
        <f>B32+C32</f>
        <v/>
      </c>
    </row>
    <row r="33">
      <c r="A33" s="8" t="n">
        <v>23</v>
      </c>
      <c r="B33" s="8" t="n">
        <v>221.07</v>
      </c>
      <c r="C33" s="8" t="n">
        <v>30.95</v>
      </c>
      <c r="D33" s="8">
        <f>B33+C33</f>
        <v/>
      </c>
    </row>
    <row r="34">
      <c r="A34" s="8" t="n">
        <v>24</v>
      </c>
      <c r="B34" s="8" t="n">
        <v>221.07</v>
      </c>
      <c r="C34" s="8" t="n">
        <v>30.95</v>
      </c>
      <c r="D34" s="8">
        <f>B34+C34</f>
        <v/>
      </c>
    </row>
    <row r="35">
      <c r="A35" t="inlineStr">
        <is>
          <t>说明1：missing_fields: staff_detail 劳动定员（人数×人均年工资，可多类）</t>
        </is>
      </c>
    </row>
    <row r="36">
      <c r="A36" t="inlineStr">
        <is>
          <t>说明2：structure_gaps: 行业变体未冻结(variant=flat_estimate, model=flat)；工资表缺可复算的人员类别×人数×人均年工资</t>
        </is>
      </c>
    </row>
  </sheetData>
  <mergeCells count="1">
    <mergeCell ref="A1:A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3" t="inlineStr">
        <is>
          <t>附表6-2 固定资产折旧费估算表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折旧年限</t>
        </is>
      </c>
      <c r="E3" s="4" t="inlineStr">
        <is>
          <t>分年1</t>
        </is>
      </c>
      <c r="F3" s="4" t="inlineStr">
        <is>
          <t>分年2</t>
        </is>
      </c>
      <c r="G3" s="4" t="inlineStr">
        <is>
          <t>分年3</t>
        </is>
      </c>
      <c r="H3" s="4" t="inlineStr">
        <is>
          <t>分年4</t>
        </is>
      </c>
      <c r="I3" s="4" t="inlineStr">
        <is>
          <t>分年5</t>
        </is>
      </c>
      <c r="J3" s="4" t="inlineStr">
        <is>
          <t>分年6</t>
        </is>
      </c>
      <c r="K3" s="4" t="inlineStr">
        <is>
          <t>分年7</t>
        </is>
      </c>
      <c r="L3" s="4" t="inlineStr">
        <is>
          <t>分年8</t>
        </is>
      </c>
      <c r="M3" s="4" t="inlineStr">
        <is>
          <t>分年9</t>
        </is>
      </c>
      <c r="N3" s="4" t="inlineStr">
        <is>
          <t>分年10</t>
        </is>
      </c>
      <c r="O3" s="4" t="inlineStr">
        <is>
          <t>分年11</t>
        </is>
      </c>
      <c r="P3" s="4" t="inlineStr">
        <is>
          <t>分年12</t>
        </is>
      </c>
      <c r="Q3" s="4" t="inlineStr">
        <is>
          <t>分年13</t>
        </is>
      </c>
      <c r="R3" s="4" t="inlineStr">
        <is>
          <t>分年14</t>
        </is>
      </c>
      <c r="S3" s="4" t="inlineStr">
        <is>
          <t>分年15</t>
        </is>
      </c>
      <c r="T3" s="4" t="inlineStr">
        <is>
          <t>分年16</t>
        </is>
      </c>
      <c r="U3" s="4" t="inlineStr">
        <is>
          <t>分年17</t>
        </is>
      </c>
      <c r="V3" s="4" t="inlineStr">
        <is>
          <t>分年18</t>
        </is>
      </c>
      <c r="W3" s="4" t="inlineStr">
        <is>
          <t>分年19</t>
        </is>
      </c>
      <c r="X3" s="4" t="inlineStr">
        <is>
          <t>分年20</t>
        </is>
      </c>
      <c r="Y3" s="4" t="inlineStr">
        <is>
          <t>分年21</t>
        </is>
      </c>
      <c r="Z3" s="4" t="inlineStr">
        <is>
          <t>分年22</t>
        </is>
      </c>
      <c r="AA3" s="4" t="inlineStr">
        <is>
          <t>分年23</t>
        </is>
      </c>
      <c r="AB3" s="4" t="inlineStr">
        <is>
          <t>分年24</t>
        </is>
      </c>
    </row>
    <row r="4">
      <c r="A4" s="5" t="inlineStr"/>
      <c r="B4" s="5" t="inlineStr">
        <is>
          <t>合计</t>
        </is>
      </c>
      <c r="C4" s="6">
        <f>SUM(E4,F4,G4,H4,I4,J4,K4,L4,M4,N4,O4,P4,Q4,R4,S4,T4,U4,V4,W4,X4,Y4,Z4,AA4,AB4)</f>
        <v/>
      </c>
      <c r="D4" s="5" t="n"/>
      <c r="E4" s="6">
        <f>E8</f>
        <v/>
      </c>
      <c r="F4" s="6">
        <f>E9</f>
        <v/>
      </c>
      <c r="G4" s="6">
        <f>E10</f>
        <v/>
      </c>
      <c r="H4" s="6">
        <f>E11</f>
        <v/>
      </c>
      <c r="I4" s="6">
        <f>E12</f>
        <v/>
      </c>
      <c r="J4" s="6">
        <f>E13</f>
        <v/>
      </c>
      <c r="K4" s="6">
        <f>E14</f>
        <v/>
      </c>
      <c r="L4" s="6">
        <f>E15</f>
        <v/>
      </c>
      <c r="M4" s="6">
        <f>E16</f>
        <v/>
      </c>
      <c r="N4" s="6">
        <f>E17</f>
        <v/>
      </c>
      <c r="O4" s="6">
        <f>E18</f>
        <v/>
      </c>
      <c r="P4" s="6">
        <f>E19</f>
        <v/>
      </c>
      <c r="Q4" s="6">
        <f>E20</f>
        <v/>
      </c>
      <c r="R4" s="6">
        <f>E21</f>
        <v/>
      </c>
      <c r="S4" s="6">
        <f>E22</f>
        <v/>
      </c>
      <c r="T4" s="6">
        <f>E23</f>
        <v/>
      </c>
      <c r="U4" s="6">
        <f>E24</f>
        <v/>
      </c>
      <c r="V4" s="6">
        <f>E25</f>
        <v/>
      </c>
      <c r="W4" s="6">
        <f>E26</f>
        <v/>
      </c>
      <c r="X4" s="6">
        <f>E27</f>
        <v/>
      </c>
      <c r="Y4" s="6">
        <f>E28</f>
        <v/>
      </c>
      <c r="Z4" s="6">
        <f>E29</f>
        <v/>
      </c>
      <c r="AA4" s="6">
        <f>E30</f>
        <v/>
      </c>
      <c r="AB4" s="6">
        <f>E31</f>
        <v/>
      </c>
    </row>
    <row r="5"/>
    <row r="6">
      <c r="A6" t="inlineStr">
        <is>
          <t>引擎逐年计算区（供公式与跨表追溯）</t>
        </is>
      </c>
    </row>
    <row r="7">
      <c r="A7" s="7" t="inlineStr">
        <is>
          <t>运营年</t>
        </is>
      </c>
      <c r="B7" s="7" t="inlineStr">
        <is>
          <t>固定资产原值</t>
        </is>
      </c>
      <c r="C7" s="7" t="inlineStr">
        <is>
          <t>残值率</t>
        </is>
      </c>
      <c r="D7" s="7" t="inlineStr">
        <is>
          <t>折旧年限</t>
        </is>
      </c>
      <c r="E7" s="7" t="inlineStr">
        <is>
          <t>当期折旧费</t>
        </is>
      </c>
      <c r="F7" s="7" t="inlineStr">
        <is>
          <t>累计折旧</t>
        </is>
      </c>
      <c r="G7" s="7" t="inlineStr">
        <is>
          <t>净值</t>
        </is>
      </c>
    </row>
    <row r="8">
      <c r="A8" s="8" t="n">
        <v>1</v>
      </c>
      <c r="B8" s="8" t="n">
        <v>42266.75</v>
      </c>
      <c r="C8" s="8" t="n">
        <v>0.05</v>
      </c>
      <c r="D8" s="8" t="n">
        <v>20</v>
      </c>
      <c r="E8" s="8" t="n">
        <v>2007.67</v>
      </c>
      <c r="F8" s="8">
        <f>E8</f>
        <v/>
      </c>
      <c r="G8" s="8">
        <f>B8-F8</f>
        <v/>
      </c>
    </row>
    <row r="9">
      <c r="A9" s="8" t="n">
        <v>2</v>
      </c>
      <c r="B9" s="8" t="n">
        <v>42266.75</v>
      </c>
      <c r="C9" s="8" t="n">
        <v>0.05</v>
      </c>
      <c r="D9" s="8" t="n">
        <v>20</v>
      </c>
      <c r="E9" s="8" t="n">
        <v>2007.67</v>
      </c>
      <c r="F9" s="8">
        <f>F8+E9</f>
        <v/>
      </c>
      <c r="G9" s="8">
        <f>B9-F9</f>
        <v/>
      </c>
    </row>
    <row r="10">
      <c r="A10" s="8" t="n">
        <v>3</v>
      </c>
      <c r="B10" s="8" t="n">
        <v>42266.75</v>
      </c>
      <c r="C10" s="8" t="n">
        <v>0.05</v>
      </c>
      <c r="D10" s="8" t="n">
        <v>20</v>
      </c>
      <c r="E10" s="8" t="n">
        <v>2007.67</v>
      </c>
      <c r="F10" s="8">
        <f>F9+E10</f>
        <v/>
      </c>
      <c r="G10" s="8">
        <f>B10-F10</f>
        <v/>
      </c>
    </row>
    <row r="11">
      <c r="A11" s="8" t="n">
        <v>4</v>
      </c>
      <c r="B11" s="8" t="n">
        <v>42266.75</v>
      </c>
      <c r="C11" s="8" t="n">
        <v>0.05</v>
      </c>
      <c r="D11" s="8" t="n">
        <v>20</v>
      </c>
      <c r="E11" s="8" t="n">
        <v>2007.67</v>
      </c>
      <c r="F11" s="8">
        <f>F10+E11</f>
        <v/>
      </c>
      <c r="G11" s="8">
        <f>B11-F11</f>
        <v/>
      </c>
    </row>
    <row r="12">
      <c r="A12" s="8" t="n">
        <v>5</v>
      </c>
      <c r="B12" s="8" t="n">
        <v>42266.75</v>
      </c>
      <c r="C12" s="8" t="n">
        <v>0.05</v>
      </c>
      <c r="D12" s="8" t="n">
        <v>20</v>
      </c>
      <c r="E12" s="8" t="n">
        <v>2007.67</v>
      </c>
      <c r="F12" s="8">
        <f>F11+E12</f>
        <v/>
      </c>
      <c r="G12" s="8">
        <f>B12-F12</f>
        <v/>
      </c>
    </row>
    <row r="13">
      <c r="A13" s="8" t="n">
        <v>6</v>
      </c>
      <c r="B13" s="8" t="n">
        <v>42266.75</v>
      </c>
      <c r="C13" s="8" t="n">
        <v>0.05</v>
      </c>
      <c r="D13" s="8" t="n">
        <v>20</v>
      </c>
      <c r="E13" s="8" t="n">
        <v>2007.67</v>
      </c>
      <c r="F13" s="8">
        <f>F12+E13</f>
        <v/>
      </c>
      <c r="G13" s="8">
        <f>B13-F13</f>
        <v/>
      </c>
    </row>
    <row r="14">
      <c r="A14" s="8" t="n">
        <v>7</v>
      </c>
      <c r="B14" s="8" t="n">
        <v>42266.75</v>
      </c>
      <c r="C14" s="8" t="n">
        <v>0.05</v>
      </c>
      <c r="D14" s="8" t="n">
        <v>20</v>
      </c>
      <c r="E14" s="8" t="n">
        <v>2007.67</v>
      </c>
      <c r="F14" s="8">
        <f>F13+E14</f>
        <v/>
      </c>
      <c r="G14" s="8">
        <f>B14-F14</f>
        <v/>
      </c>
    </row>
    <row r="15">
      <c r="A15" s="8" t="n">
        <v>8</v>
      </c>
      <c r="B15" s="8" t="n">
        <v>42266.75</v>
      </c>
      <c r="C15" s="8" t="n">
        <v>0.05</v>
      </c>
      <c r="D15" s="8" t="n">
        <v>20</v>
      </c>
      <c r="E15" s="8" t="n">
        <v>2007.67</v>
      </c>
      <c r="F15" s="8">
        <f>F14+E15</f>
        <v/>
      </c>
      <c r="G15" s="8">
        <f>B15-F15</f>
        <v/>
      </c>
    </row>
    <row r="16">
      <c r="A16" s="8" t="n">
        <v>9</v>
      </c>
      <c r="B16" s="8" t="n">
        <v>42266.75</v>
      </c>
      <c r="C16" s="8" t="n">
        <v>0.05</v>
      </c>
      <c r="D16" s="8" t="n">
        <v>20</v>
      </c>
      <c r="E16" s="8" t="n">
        <v>2007.67</v>
      </c>
      <c r="F16" s="8">
        <f>F15+E16</f>
        <v/>
      </c>
      <c r="G16" s="8">
        <f>B16-F16</f>
        <v/>
      </c>
    </row>
    <row r="17">
      <c r="A17" s="8" t="n">
        <v>10</v>
      </c>
      <c r="B17" s="8" t="n">
        <v>42266.75</v>
      </c>
      <c r="C17" s="8" t="n">
        <v>0.05</v>
      </c>
      <c r="D17" s="8" t="n">
        <v>20</v>
      </c>
      <c r="E17" s="8" t="n">
        <v>2007.67</v>
      </c>
      <c r="F17" s="8">
        <f>F16+E17</f>
        <v/>
      </c>
      <c r="G17" s="8">
        <f>B17-F17</f>
        <v/>
      </c>
    </row>
    <row r="18">
      <c r="A18" s="8" t="n">
        <v>11</v>
      </c>
      <c r="B18" s="8" t="n">
        <v>42266.75</v>
      </c>
      <c r="C18" s="8" t="n">
        <v>0.05</v>
      </c>
      <c r="D18" s="8" t="n">
        <v>20</v>
      </c>
      <c r="E18" s="8" t="n">
        <v>2007.67</v>
      </c>
      <c r="F18" s="8">
        <f>F17+E18</f>
        <v/>
      </c>
      <c r="G18" s="8">
        <f>B18-F18</f>
        <v/>
      </c>
    </row>
    <row r="19">
      <c r="A19" s="8" t="n">
        <v>12</v>
      </c>
      <c r="B19" s="8" t="n">
        <v>42266.75</v>
      </c>
      <c r="C19" s="8" t="n">
        <v>0.05</v>
      </c>
      <c r="D19" s="8" t="n">
        <v>20</v>
      </c>
      <c r="E19" s="8" t="n">
        <v>2007.67</v>
      </c>
      <c r="F19" s="8">
        <f>F18+E19</f>
        <v/>
      </c>
      <c r="G19" s="8">
        <f>B19-F19</f>
        <v/>
      </c>
    </row>
    <row r="20">
      <c r="A20" s="8" t="n">
        <v>13</v>
      </c>
      <c r="B20" s="8" t="n">
        <v>42266.75</v>
      </c>
      <c r="C20" s="8" t="n">
        <v>0.05</v>
      </c>
      <c r="D20" s="8" t="n">
        <v>20</v>
      </c>
      <c r="E20" s="8" t="n">
        <v>2007.67</v>
      </c>
      <c r="F20" s="8">
        <f>F19+E20</f>
        <v/>
      </c>
      <c r="G20" s="8">
        <f>B20-F20</f>
        <v/>
      </c>
    </row>
    <row r="21">
      <c r="A21" s="8" t="n">
        <v>14</v>
      </c>
      <c r="B21" s="8" t="n">
        <v>42266.75</v>
      </c>
      <c r="C21" s="8" t="n">
        <v>0.05</v>
      </c>
      <c r="D21" s="8" t="n">
        <v>20</v>
      </c>
      <c r="E21" s="8" t="n">
        <v>2007.67</v>
      </c>
      <c r="F21" s="8">
        <f>F20+E21</f>
        <v/>
      </c>
      <c r="G21" s="8">
        <f>B21-F21</f>
        <v/>
      </c>
    </row>
    <row r="22">
      <c r="A22" s="8" t="n">
        <v>15</v>
      </c>
      <c r="B22" s="8" t="n">
        <v>42266.75</v>
      </c>
      <c r="C22" s="8" t="n">
        <v>0.05</v>
      </c>
      <c r="D22" s="8" t="n">
        <v>20</v>
      </c>
      <c r="E22" s="8" t="n">
        <v>2007.67</v>
      </c>
      <c r="F22" s="8">
        <f>F21+E22</f>
        <v/>
      </c>
      <c r="G22" s="8">
        <f>B22-F22</f>
        <v/>
      </c>
    </row>
    <row r="23">
      <c r="A23" s="8" t="n">
        <v>16</v>
      </c>
      <c r="B23" s="8" t="n">
        <v>42266.75</v>
      </c>
      <c r="C23" s="8" t="n">
        <v>0.05</v>
      </c>
      <c r="D23" s="8" t="n">
        <v>20</v>
      </c>
      <c r="E23" s="8" t="n">
        <v>2007.67</v>
      </c>
      <c r="F23" s="8">
        <f>F22+E23</f>
        <v/>
      </c>
      <c r="G23" s="8">
        <f>B23-F23</f>
        <v/>
      </c>
    </row>
    <row r="24">
      <c r="A24" s="8" t="n">
        <v>17</v>
      </c>
      <c r="B24" s="8" t="n">
        <v>42266.75</v>
      </c>
      <c r="C24" s="8" t="n">
        <v>0.05</v>
      </c>
      <c r="D24" s="8" t="n">
        <v>20</v>
      </c>
      <c r="E24" s="8" t="n">
        <v>2007.67</v>
      </c>
      <c r="F24" s="8">
        <f>F23+E24</f>
        <v/>
      </c>
      <c r="G24" s="8">
        <f>B24-F24</f>
        <v/>
      </c>
    </row>
    <row r="25">
      <c r="A25" s="8" t="n">
        <v>18</v>
      </c>
      <c r="B25" s="8" t="n">
        <v>42266.75</v>
      </c>
      <c r="C25" s="8" t="n">
        <v>0.05</v>
      </c>
      <c r="D25" s="8" t="n">
        <v>20</v>
      </c>
      <c r="E25" s="8" t="n">
        <v>2007.67</v>
      </c>
      <c r="F25" s="8">
        <f>F24+E25</f>
        <v/>
      </c>
      <c r="G25" s="8">
        <f>B25-F25</f>
        <v/>
      </c>
    </row>
    <row r="26">
      <c r="A26" s="8" t="n">
        <v>19</v>
      </c>
      <c r="B26" s="8" t="n">
        <v>42266.75</v>
      </c>
      <c r="C26" s="8" t="n">
        <v>0.05</v>
      </c>
      <c r="D26" s="8" t="n">
        <v>20</v>
      </c>
      <c r="E26" s="8" t="n">
        <v>2007.67</v>
      </c>
      <c r="F26" s="8">
        <f>F25+E26</f>
        <v/>
      </c>
      <c r="G26" s="8">
        <f>B26-F26</f>
        <v/>
      </c>
    </row>
    <row r="27">
      <c r="A27" s="8" t="n">
        <v>20</v>
      </c>
      <c r="B27" s="8" t="n">
        <v>42266.75</v>
      </c>
      <c r="C27" s="8" t="n">
        <v>0.05</v>
      </c>
      <c r="D27" s="8" t="n">
        <v>20</v>
      </c>
      <c r="E27" s="8" t="n">
        <v>2007.67</v>
      </c>
      <c r="F27" s="8">
        <f>F26+E27</f>
        <v/>
      </c>
      <c r="G27" s="8">
        <f>B27-F27</f>
        <v/>
      </c>
    </row>
    <row r="28">
      <c r="A28" s="8" t="n">
        <v>21</v>
      </c>
      <c r="B28" s="8" t="n">
        <v>42266.75</v>
      </c>
      <c r="C28" s="8" t="n">
        <v>0.05</v>
      </c>
      <c r="D28" s="8" t="n">
        <v>20</v>
      </c>
      <c r="E28" s="8" t="n">
        <v>0</v>
      </c>
      <c r="F28" s="8">
        <f>F27+E28</f>
        <v/>
      </c>
      <c r="G28" s="8">
        <f>B28-F28</f>
        <v/>
      </c>
    </row>
    <row r="29">
      <c r="A29" s="8" t="n">
        <v>22</v>
      </c>
      <c r="B29" s="8" t="n">
        <v>42266.75</v>
      </c>
      <c r="C29" s="8" t="n">
        <v>0.05</v>
      </c>
      <c r="D29" s="8" t="n">
        <v>20</v>
      </c>
      <c r="E29" s="8" t="n">
        <v>0</v>
      </c>
      <c r="F29" s="8">
        <f>F28+E29</f>
        <v/>
      </c>
      <c r="G29" s="8">
        <f>B29-F29</f>
        <v/>
      </c>
    </row>
    <row r="30">
      <c r="A30" s="8" t="n">
        <v>23</v>
      </c>
      <c r="B30" s="8" t="n">
        <v>42266.75</v>
      </c>
      <c r="C30" s="8" t="n">
        <v>0.05</v>
      </c>
      <c r="D30" s="8" t="n">
        <v>20</v>
      </c>
      <c r="E30" s="8" t="n">
        <v>0</v>
      </c>
      <c r="F30" s="8">
        <f>F29+E30</f>
        <v/>
      </c>
      <c r="G30" s="8">
        <f>B30-F30</f>
        <v/>
      </c>
    </row>
    <row r="31">
      <c r="A31" s="8" t="n">
        <v>24</v>
      </c>
      <c r="B31" s="8" t="n">
        <v>42266.75</v>
      </c>
      <c r="C31" s="8" t="n">
        <v>0.05</v>
      </c>
      <c r="D31" s="8" t="n">
        <v>20</v>
      </c>
      <c r="E31" s="8" t="n">
        <v>0</v>
      </c>
      <c r="F31" s="8">
        <f>F30+E31</f>
        <v/>
      </c>
      <c r="G31" s="8">
        <f>B31-F31</f>
        <v/>
      </c>
    </row>
    <row r="32">
      <c r="A32" t="inlineStr">
        <is>
          <t>说明1：missing_fields: asset_classes 资产类别原值与折旧年限（≥2 类）</t>
        </is>
      </c>
    </row>
    <row r="33">
      <c r="A33" t="inlineStr">
        <is>
          <t>说明2：structure_gaps: 行业变体未冻结(variant=flat_estimate, model=flat)；缺参考行组 building（房屋、建筑物/房屋建筑物）；缺参考行组 equipment（机器设备）；缺参考行组 original（原值）；缺参考行组 depreciation（当期折旧费）；缺参考行组 net（净值）；缺资产类别折旧（房屋/设备等），综合原值合计不算 reference；缺累计折旧/净值滚动列；折旧表缺至少 2 类资产的原值×年限明细</t>
        </is>
      </c>
    </row>
    <row r="34">
      <c r="A34" t="inlineStr">
        <is>
          <t>跨表依赖复核：附表1</t>
        </is>
      </c>
      <c r="B34" s="8">
        <f>'附表1'!J4</f>
        <v/>
      </c>
    </row>
  </sheetData>
  <mergeCells count="1">
    <mergeCell ref="A1:A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3" t="inlineStr">
        <is>
          <t>附表6-3 无形资产及其他资产摊销估算表</t>
        </is>
      </c>
    </row>
    <row r="2">
      <c r="A2" t="inlineStr">
        <is>
          <t>匡算预览｜未批准，不得用于正式报批；口径：not_applicable；有效：否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摊销年限</t>
        </is>
      </c>
      <c r="E3" s="4" t="inlineStr">
        <is>
          <t>分年1</t>
        </is>
      </c>
      <c r="F3" s="4" t="inlineStr">
        <is>
          <t>分年2</t>
        </is>
      </c>
      <c r="G3" s="4" t="inlineStr">
        <is>
          <t>分年3</t>
        </is>
      </c>
      <c r="H3" s="4" t="inlineStr">
        <is>
          <t>分年4</t>
        </is>
      </c>
      <c r="I3" s="4" t="inlineStr">
        <is>
          <t>分年5</t>
        </is>
      </c>
      <c r="J3" s="4" t="inlineStr">
        <is>
          <t>分年6</t>
        </is>
      </c>
      <c r="K3" s="4" t="inlineStr">
        <is>
          <t>分年7</t>
        </is>
      </c>
      <c r="L3" s="4" t="inlineStr">
        <is>
          <t>分年8</t>
        </is>
      </c>
      <c r="M3" s="4" t="inlineStr">
        <is>
          <t>分年9</t>
        </is>
      </c>
      <c r="N3" s="4" t="inlineStr">
        <is>
          <t>分年10</t>
        </is>
      </c>
      <c r="O3" s="4" t="inlineStr">
        <is>
          <t>分年11</t>
        </is>
      </c>
      <c r="P3" s="4" t="inlineStr">
        <is>
          <t>分年12</t>
        </is>
      </c>
      <c r="Q3" s="4" t="inlineStr">
        <is>
          <t>分年13</t>
        </is>
      </c>
      <c r="R3" s="4" t="inlineStr">
        <is>
          <t>分年14</t>
        </is>
      </c>
      <c r="S3" s="4" t="inlineStr">
        <is>
          <t>分年15</t>
        </is>
      </c>
      <c r="T3" s="4" t="inlineStr">
        <is>
          <t>分年16</t>
        </is>
      </c>
      <c r="U3" s="4" t="inlineStr">
        <is>
          <t>分年17</t>
        </is>
      </c>
      <c r="V3" s="4" t="inlineStr">
        <is>
          <t>分年18</t>
        </is>
      </c>
      <c r="W3" s="4" t="inlineStr">
        <is>
          <t>分年19</t>
        </is>
      </c>
      <c r="X3" s="4" t="inlineStr">
        <is>
          <t>分年20</t>
        </is>
      </c>
      <c r="Y3" s="4" t="inlineStr">
        <is>
          <t>分年21</t>
        </is>
      </c>
      <c r="Z3" s="4" t="inlineStr">
        <is>
          <t>分年22</t>
        </is>
      </c>
      <c r="AA3" s="4" t="inlineStr">
        <is>
          <t>分年23</t>
        </is>
      </c>
      <c r="AB3" s="4" t="inlineStr">
        <is>
          <t>分年24</t>
        </is>
      </c>
    </row>
    <row r="4">
      <c r="A4" s="5" t="inlineStr"/>
      <c r="B4" s="5" t="inlineStr">
        <is>
          <t>合计</t>
        </is>
      </c>
      <c r="C4" s="6">
        <f>SUM(E4,F4,G4,H4,I4,J4,K4,L4,M4,N4,O4,P4,Q4,R4,S4,T4,U4,V4,W4,X4,Y4,Z4,AA4,AB4)</f>
        <v/>
      </c>
      <c r="D4" s="5" t="n"/>
      <c r="E4" s="6">
        <f>D8</f>
        <v/>
      </c>
      <c r="F4" s="6">
        <f>D9</f>
        <v/>
      </c>
      <c r="G4" s="6">
        <f>D10</f>
        <v/>
      </c>
      <c r="H4" s="6">
        <f>D11</f>
        <v/>
      </c>
      <c r="I4" s="6">
        <f>D12</f>
        <v/>
      </c>
      <c r="J4" s="6">
        <f>D13</f>
        <v/>
      </c>
      <c r="K4" s="6">
        <f>D14</f>
        <v/>
      </c>
      <c r="L4" s="6">
        <f>D15</f>
        <v/>
      </c>
      <c r="M4" s="6">
        <f>D16</f>
        <v/>
      </c>
      <c r="N4" s="6">
        <f>D17</f>
        <v/>
      </c>
      <c r="O4" s="6">
        <f>D18</f>
        <v/>
      </c>
      <c r="P4" s="6">
        <f>D19</f>
        <v/>
      </c>
      <c r="Q4" s="6">
        <f>D20</f>
        <v/>
      </c>
      <c r="R4" s="6">
        <f>D21</f>
        <v/>
      </c>
      <c r="S4" s="6">
        <f>D22</f>
        <v/>
      </c>
      <c r="T4" s="6">
        <f>D23</f>
        <v/>
      </c>
      <c r="U4" s="6">
        <f>D24</f>
        <v/>
      </c>
      <c r="V4" s="6">
        <f>D25</f>
        <v/>
      </c>
      <c r="W4" s="6">
        <f>D26</f>
        <v/>
      </c>
      <c r="X4" s="6">
        <f>D27</f>
        <v/>
      </c>
      <c r="Y4" s="6">
        <f>D28</f>
        <v/>
      </c>
      <c r="Z4" s="6">
        <f>D29</f>
        <v/>
      </c>
      <c r="AA4" s="6">
        <f>D30</f>
        <v/>
      </c>
      <c r="AB4" s="6">
        <f>D31</f>
        <v/>
      </c>
    </row>
    <row r="5"/>
    <row r="6">
      <c r="A6" t="inlineStr">
        <is>
          <t>引擎逐年计算区（供公式与跨表追溯）</t>
        </is>
      </c>
    </row>
    <row r="7">
      <c r="A7" s="7" t="inlineStr">
        <is>
          <t>运营年</t>
        </is>
      </c>
      <c r="B7" s="7" t="inlineStr">
        <is>
          <t>摊销基数</t>
        </is>
      </c>
      <c r="C7" s="7" t="inlineStr">
        <is>
          <t>摊销年限</t>
        </is>
      </c>
      <c r="D7" s="7" t="inlineStr">
        <is>
          <t>当期摊销费</t>
        </is>
      </c>
    </row>
    <row r="8">
      <c r="A8" s="8" t="n">
        <v>1</v>
      </c>
      <c r="B8" s="8" t="n">
        <v>0</v>
      </c>
      <c r="C8" s="8" t="n">
        <v>10</v>
      </c>
      <c r="D8" s="8">
        <f>IF(A8&lt;=C8,B8/C8,0)</f>
        <v/>
      </c>
    </row>
    <row r="9">
      <c r="A9" s="8" t="n">
        <v>2</v>
      </c>
      <c r="B9" s="8" t="n">
        <v>0</v>
      </c>
      <c r="C9" s="8" t="n">
        <v>10</v>
      </c>
      <c r="D9" s="8">
        <f>IF(A9&lt;=C9,B9/C9,0)</f>
        <v/>
      </c>
    </row>
    <row r="10">
      <c r="A10" s="8" t="n">
        <v>3</v>
      </c>
      <c r="B10" s="8" t="n">
        <v>0</v>
      </c>
      <c r="C10" s="8" t="n">
        <v>10</v>
      </c>
      <c r="D10" s="8">
        <f>IF(A10&lt;=C10,B10/C10,0)</f>
        <v/>
      </c>
    </row>
    <row r="11">
      <c r="A11" s="8" t="n">
        <v>4</v>
      </c>
      <c r="B11" s="8" t="n">
        <v>0</v>
      </c>
      <c r="C11" s="8" t="n">
        <v>10</v>
      </c>
      <c r="D11" s="8">
        <f>IF(A11&lt;=C11,B11/C11,0)</f>
        <v/>
      </c>
    </row>
    <row r="12">
      <c r="A12" s="8" t="n">
        <v>5</v>
      </c>
      <c r="B12" s="8" t="n">
        <v>0</v>
      </c>
      <c r="C12" s="8" t="n">
        <v>10</v>
      </c>
      <c r="D12" s="8">
        <f>IF(A12&lt;=C12,B12/C12,0)</f>
        <v/>
      </c>
    </row>
    <row r="13">
      <c r="A13" s="8" t="n">
        <v>6</v>
      </c>
      <c r="B13" s="8" t="n">
        <v>0</v>
      </c>
      <c r="C13" s="8" t="n">
        <v>10</v>
      </c>
      <c r="D13" s="8">
        <f>IF(A13&lt;=C13,B13/C13,0)</f>
        <v/>
      </c>
    </row>
    <row r="14">
      <c r="A14" s="8" t="n">
        <v>7</v>
      </c>
      <c r="B14" s="8" t="n">
        <v>0</v>
      </c>
      <c r="C14" s="8" t="n">
        <v>10</v>
      </c>
      <c r="D14" s="8">
        <f>IF(A14&lt;=C14,B14/C14,0)</f>
        <v/>
      </c>
    </row>
    <row r="15">
      <c r="A15" s="8" t="n">
        <v>8</v>
      </c>
      <c r="B15" s="8" t="n">
        <v>0</v>
      </c>
      <c r="C15" s="8" t="n">
        <v>10</v>
      </c>
      <c r="D15" s="8">
        <f>IF(A15&lt;=C15,B15/C15,0)</f>
        <v/>
      </c>
    </row>
    <row r="16">
      <c r="A16" s="8" t="n">
        <v>9</v>
      </c>
      <c r="B16" s="8" t="n">
        <v>0</v>
      </c>
      <c r="C16" s="8" t="n">
        <v>10</v>
      </c>
      <c r="D16" s="8">
        <f>IF(A16&lt;=C16,B16/C16,0)</f>
        <v/>
      </c>
    </row>
    <row r="17">
      <c r="A17" s="8" t="n">
        <v>10</v>
      </c>
      <c r="B17" s="8" t="n">
        <v>0</v>
      </c>
      <c r="C17" s="8" t="n">
        <v>10</v>
      </c>
      <c r="D17" s="8">
        <f>IF(A17&lt;=C17,B17/C17,0)</f>
        <v/>
      </c>
    </row>
    <row r="18">
      <c r="A18" s="8" t="n">
        <v>11</v>
      </c>
      <c r="B18" s="8" t="n">
        <v>0</v>
      </c>
      <c r="C18" s="8" t="n">
        <v>10</v>
      </c>
      <c r="D18" s="8">
        <f>IF(A18&lt;=C18,B18/C18,0)</f>
        <v/>
      </c>
    </row>
    <row r="19">
      <c r="A19" s="8" t="n">
        <v>12</v>
      </c>
      <c r="B19" s="8" t="n">
        <v>0</v>
      </c>
      <c r="C19" s="8" t="n">
        <v>10</v>
      </c>
      <c r="D19" s="8">
        <f>IF(A19&lt;=C19,B19/C19,0)</f>
        <v/>
      </c>
    </row>
    <row r="20">
      <c r="A20" s="8" t="n">
        <v>13</v>
      </c>
      <c r="B20" s="8" t="n">
        <v>0</v>
      </c>
      <c r="C20" s="8" t="n">
        <v>10</v>
      </c>
      <c r="D20" s="8">
        <f>IF(A20&lt;=C20,B20/C20,0)</f>
        <v/>
      </c>
    </row>
    <row r="21">
      <c r="A21" s="8" t="n">
        <v>14</v>
      </c>
      <c r="B21" s="8" t="n">
        <v>0</v>
      </c>
      <c r="C21" s="8" t="n">
        <v>10</v>
      </c>
      <c r="D21" s="8">
        <f>IF(A21&lt;=C21,B21/C21,0)</f>
        <v/>
      </c>
    </row>
    <row r="22">
      <c r="A22" s="8" t="n">
        <v>15</v>
      </c>
      <c r="B22" s="8" t="n">
        <v>0</v>
      </c>
      <c r="C22" s="8" t="n">
        <v>10</v>
      </c>
      <c r="D22" s="8">
        <f>IF(A22&lt;=C22,B22/C22,0)</f>
        <v/>
      </c>
    </row>
    <row r="23">
      <c r="A23" s="8" t="n">
        <v>16</v>
      </c>
      <c r="B23" s="8" t="n">
        <v>0</v>
      </c>
      <c r="C23" s="8" t="n">
        <v>10</v>
      </c>
      <c r="D23" s="8">
        <f>IF(A23&lt;=C23,B23/C23,0)</f>
        <v/>
      </c>
    </row>
    <row r="24">
      <c r="A24" s="8" t="n">
        <v>17</v>
      </c>
      <c r="B24" s="8" t="n">
        <v>0</v>
      </c>
      <c r="C24" s="8" t="n">
        <v>10</v>
      </c>
      <c r="D24" s="8">
        <f>IF(A24&lt;=C24,B24/C24,0)</f>
        <v/>
      </c>
    </row>
    <row r="25">
      <c r="A25" s="8" t="n">
        <v>18</v>
      </c>
      <c r="B25" s="8" t="n">
        <v>0</v>
      </c>
      <c r="C25" s="8" t="n">
        <v>10</v>
      </c>
      <c r="D25" s="8">
        <f>IF(A25&lt;=C25,B25/C25,0)</f>
        <v/>
      </c>
    </row>
    <row r="26">
      <c r="A26" s="8" t="n">
        <v>19</v>
      </c>
      <c r="B26" s="8" t="n">
        <v>0</v>
      </c>
      <c r="C26" s="8" t="n">
        <v>10</v>
      </c>
      <c r="D26" s="8">
        <f>IF(A26&lt;=C26,B26/C26,0)</f>
        <v/>
      </c>
    </row>
    <row r="27">
      <c r="A27" s="8" t="n">
        <v>20</v>
      </c>
      <c r="B27" s="8" t="n">
        <v>0</v>
      </c>
      <c r="C27" s="8" t="n">
        <v>10</v>
      </c>
      <c r="D27" s="8">
        <f>IF(A27&lt;=C27,B27/C27,0)</f>
        <v/>
      </c>
    </row>
    <row r="28">
      <c r="A28" s="8" t="n">
        <v>21</v>
      </c>
      <c r="B28" s="8" t="n">
        <v>0</v>
      </c>
      <c r="C28" s="8" t="n">
        <v>10</v>
      </c>
      <c r="D28" s="8">
        <f>IF(A28&lt;=C28,B28/C28,0)</f>
        <v/>
      </c>
    </row>
    <row r="29">
      <c r="A29" s="8" t="n">
        <v>22</v>
      </c>
      <c r="B29" s="8" t="n">
        <v>0</v>
      </c>
      <c r="C29" s="8" t="n">
        <v>10</v>
      </c>
      <c r="D29" s="8">
        <f>IF(A29&lt;=C29,B29/C29,0)</f>
        <v/>
      </c>
    </row>
    <row r="30">
      <c r="A30" s="8" t="n">
        <v>23</v>
      </c>
      <c r="B30" s="8" t="n">
        <v>0</v>
      </c>
      <c r="C30" s="8" t="n">
        <v>10</v>
      </c>
      <c r="D30" s="8">
        <f>IF(A30&lt;=C30,B30/C30,0)</f>
        <v/>
      </c>
    </row>
    <row r="31">
      <c r="A31" s="8" t="n">
        <v>24</v>
      </c>
      <c r="B31" s="8" t="n">
        <v>0</v>
      </c>
      <c r="C31" s="8" t="n">
        <v>10</v>
      </c>
      <c r="D31" s="8">
        <f>IF(A31&lt;=C31,B31/C31,0)</f>
        <v/>
      </c>
    </row>
    <row r="32">
      <c r="A32" t="inlineStr">
        <is>
          <t>跨表依赖复核：附表1</t>
        </is>
      </c>
      <c r="B32" s="8">
        <f>'附表1'!J4</f>
        <v/>
      </c>
    </row>
  </sheetData>
  <mergeCells count="1">
    <mergeCell ref="A1:A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3" t="inlineStr">
        <is>
          <t>附表7 利润与利润分配表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计算期1</t>
        </is>
      </c>
      <c r="E3" s="4" t="inlineStr">
        <is>
          <t>计算期2</t>
        </is>
      </c>
      <c r="F3" s="4" t="inlineStr">
        <is>
          <t>计算期3</t>
        </is>
      </c>
      <c r="G3" s="4" t="inlineStr">
        <is>
          <t>计算期4</t>
        </is>
      </c>
      <c r="H3" s="4" t="inlineStr">
        <is>
          <t>计算期5</t>
        </is>
      </c>
      <c r="I3" s="4" t="inlineStr">
        <is>
          <t>计算期6</t>
        </is>
      </c>
      <c r="J3" s="4" t="inlineStr">
        <is>
          <t>计算期7</t>
        </is>
      </c>
      <c r="K3" s="4" t="inlineStr">
        <is>
          <t>计算期8</t>
        </is>
      </c>
      <c r="L3" s="4" t="inlineStr">
        <is>
          <t>计算期9</t>
        </is>
      </c>
      <c r="M3" s="4" t="inlineStr">
        <is>
          <t>计算期10</t>
        </is>
      </c>
      <c r="N3" s="4" t="inlineStr">
        <is>
          <t>计算期11</t>
        </is>
      </c>
      <c r="O3" s="4" t="inlineStr">
        <is>
          <t>计算期12</t>
        </is>
      </c>
      <c r="P3" s="4" t="inlineStr">
        <is>
          <t>计算期13</t>
        </is>
      </c>
      <c r="Q3" s="4" t="inlineStr">
        <is>
          <t>计算期14</t>
        </is>
      </c>
      <c r="R3" s="4" t="inlineStr">
        <is>
          <t>计算期15</t>
        </is>
      </c>
      <c r="S3" s="4" t="inlineStr">
        <is>
          <t>计算期16</t>
        </is>
      </c>
      <c r="T3" s="4" t="inlineStr">
        <is>
          <t>计算期17</t>
        </is>
      </c>
      <c r="U3" s="4" t="inlineStr">
        <is>
          <t>计算期18</t>
        </is>
      </c>
      <c r="V3" s="4" t="inlineStr">
        <is>
          <t>计算期19</t>
        </is>
      </c>
      <c r="W3" s="4" t="inlineStr">
        <is>
          <t>计算期20</t>
        </is>
      </c>
      <c r="X3" s="4" t="inlineStr">
        <is>
          <t>计算期21</t>
        </is>
      </c>
      <c r="Y3" s="4" t="inlineStr">
        <is>
          <t>计算期22</t>
        </is>
      </c>
      <c r="Z3" s="4" t="inlineStr">
        <is>
          <t>计算期23</t>
        </is>
      </c>
      <c r="AA3" s="4" t="inlineStr">
        <is>
          <t>计算期24</t>
        </is>
      </c>
    </row>
    <row r="4">
      <c r="A4" s="5" t="inlineStr">
        <is>
          <t>1</t>
        </is>
      </c>
      <c r="B4" s="5" t="inlineStr">
        <is>
          <t>营业收入</t>
        </is>
      </c>
      <c r="C4" s="6">
        <f>SUM(D4,E4,F4,G4,H4,I4,J4,K4,L4,M4,N4,O4,P4,Q4,R4,S4,T4,U4,V4,W4,X4,Y4,Z4,AA4)</f>
        <v/>
      </c>
      <c r="D4" s="6">
        <f>B24</f>
        <v/>
      </c>
      <c r="E4" s="6">
        <f>B25</f>
        <v/>
      </c>
      <c r="F4" s="6">
        <f>B26</f>
        <v/>
      </c>
      <c r="G4" s="6">
        <f>B27</f>
        <v/>
      </c>
      <c r="H4" s="6">
        <f>B28</f>
        <v/>
      </c>
      <c r="I4" s="6">
        <f>B29</f>
        <v/>
      </c>
      <c r="J4" s="6">
        <f>B30</f>
        <v/>
      </c>
      <c r="K4" s="6">
        <f>B31</f>
        <v/>
      </c>
      <c r="L4" s="6">
        <f>B32</f>
        <v/>
      </c>
      <c r="M4" s="6">
        <f>B33</f>
        <v/>
      </c>
      <c r="N4" s="6">
        <f>B34</f>
        <v/>
      </c>
      <c r="O4" s="6">
        <f>B35</f>
        <v/>
      </c>
      <c r="P4" s="6">
        <f>B36</f>
        <v/>
      </c>
      <c r="Q4" s="6">
        <f>B37</f>
        <v/>
      </c>
      <c r="R4" s="6">
        <f>B38</f>
        <v/>
      </c>
      <c r="S4" s="6">
        <f>B39</f>
        <v/>
      </c>
      <c r="T4" s="6">
        <f>B40</f>
        <v/>
      </c>
      <c r="U4" s="6">
        <f>B41</f>
        <v/>
      </c>
      <c r="V4" s="6">
        <f>B42</f>
        <v/>
      </c>
      <c r="W4" s="6">
        <f>B43</f>
        <v/>
      </c>
      <c r="X4" s="6">
        <f>B44</f>
        <v/>
      </c>
      <c r="Y4" s="6">
        <f>B45</f>
        <v/>
      </c>
      <c r="Z4" s="6">
        <f>B46</f>
        <v/>
      </c>
      <c r="AA4" s="6">
        <f>B47</f>
        <v/>
      </c>
    </row>
    <row r="5">
      <c r="A5" s="5" t="inlineStr">
        <is>
          <t>2</t>
        </is>
      </c>
      <c r="B5" s="5" t="inlineStr">
        <is>
          <t>营业税金及附加</t>
        </is>
      </c>
      <c r="C5" s="6">
        <f>SUM(D5,E5,F5,G5,H5,I5,J5,K5,L5,M5,N5,O5,P5,Q5,R5,S5,T5,U5,V5,W5,X5,Y5,Z5,AA5)</f>
        <v/>
      </c>
      <c r="D5" s="6">
        <f>D24</f>
        <v/>
      </c>
      <c r="E5" s="6">
        <f>D25</f>
        <v/>
      </c>
      <c r="F5" s="6">
        <f>D26</f>
        <v/>
      </c>
      <c r="G5" s="6">
        <f>D27</f>
        <v/>
      </c>
      <c r="H5" s="6">
        <f>D28</f>
        <v/>
      </c>
      <c r="I5" s="6">
        <f>D29</f>
        <v/>
      </c>
      <c r="J5" s="6">
        <f>D30</f>
        <v/>
      </c>
      <c r="K5" s="6">
        <f>D31</f>
        <v/>
      </c>
      <c r="L5" s="6">
        <f>D32</f>
        <v/>
      </c>
      <c r="M5" s="6">
        <f>D33</f>
        <v/>
      </c>
      <c r="N5" s="6">
        <f>D34</f>
        <v/>
      </c>
      <c r="O5" s="6">
        <f>D35</f>
        <v/>
      </c>
      <c r="P5" s="6">
        <f>D36</f>
        <v/>
      </c>
      <c r="Q5" s="6">
        <f>D37</f>
        <v/>
      </c>
      <c r="R5" s="6">
        <f>D38</f>
        <v/>
      </c>
      <c r="S5" s="6">
        <f>D39</f>
        <v/>
      </c>
      <c r="T5" s="6">
        <f>D40</f>
        <v/>
      </c>
      <c r="U5" s="6">
        <f>D41</f>
        <v/>
      </c>
      <c r="V5" s="6">
        <f>D42</f>
        <v/>
      </c>
      <c r="W5" s="6">
        <f>D43</f>
        <v/>
      </c>
      <c r="X5" s="6">
        <f>D44</f>
        <v/>
      </c>
      <c r="Y5" s="6">
        <f>D45</f>
        <v/>
      </c>
      <c r="Z5" s="6">
        <f>D46</f>
        <v/>
      </c>
      <c r="AA5" s="6">
        <f>D47</f>
        <v/>
      </c>
    </row>
    <row r="6">
      <c r="A6" s="5" t="inlineStr">
        <is>
          <t>3</t>
        </is>
      </c>
      <c r="B6" s="5" t="inlineStr">
        <is>
          <t>总成本费用</t>
        </is>
      </c>
      <c r="C6" s="6">
        <f>SUM(D6,E6,F6,G6,H6,I6,J6,K6,L6,M6,N6,O6,P6,Q6,R6,S6,T6,U6,V6,W6,X6,Y6,Z6,AA6)</f>
        <v/>
      </c>
      <c r="D6" s="6">
        <f>C24</f>
        <v/>
      </c>
      <c r="E6" s="6">
        <f>C25</f>
        <v/>
      </c>
      <c r="F6" s="6">
        <f>C26</f>
        <v/>
      </c>
      <c r="G6" s="6">
        <f>C27</f>
        <v/>
      </c>
      <c r="H6" s="6">
        <f>C28</f>
        <v/>
      </c>
      <c r="I6" s="6">
        <f>C29</f>
        <v/>
      </c>
      <c r="J6" s="6">
        <f>C30</f>
        <v/>
      </c>
      <c r="K6" s="6">
        <f>C31</f>
        <v/>
      </c>
      <c r="L6" s="6">
        <f>C32</f>
        <v/>
      </c>
      <c r="M6" s="6">
        <f>C33</f>
        <v/>
      </c>
      <c r="N6" s="6">
        <f>C34</f>
        <v/>
      </c>
      <c r="O6" s="6">
        <f>C35</f>
        <v/>
      </c>
      <c r="P6" s="6">
        <f>C36</f>
        <v/>
      </c>
      <c r="Q6" s="6">
        <f>C37</f>
        <v/>
      </c>
      <c r="R6" s="6">
        <f>C38</f>
        <v/>
      </c>
      <c r="S6" s="6">
        <f>C39</f>
        <v/>
      </c>
      <c r="T6" s="6">
        <f>C40</f>
        <v/>
      </c>
      <c r="U6" s="6">
        <f>C41</f>
        <v/>
      </c>
      <c r="V6" s="6">
        <f>C42</f>
        <v/>
      </c>
      <c r="W6" s="6">
        <f>C43</f>
        <v/>
      </c>
      <c r="X6" s="6">
        <f>C44</f>
        <v/>
      </c>
      <c r="Y6" s="6">
        <f>C45</f>
        <v/>
      </c>
      <c r="Z6" s="6">
        <f>C46</f>
        <v/>
      </c>
      <c r="AA6" s="6">
        <f>C47</f>
        <v/>
      </c>
    </row>
    <row r="7">
      <c r="A7" s="5" t="inlineStr">
        <is>
          <t>4</t>
        </is>
      </c>
      <c r="B7" s="5" t="inlineStr">
        <is>
          <t>利润总额</t>
        </is>
      </c>
      <c r="C7" s="6">
        <f>SUM(D7,E7,F7,G7,H7,I7,J7,K7,L7,M7,N7,O7,P7,Q7,R7,S7,T7,U7,V7,W7,X7,Y7,Z7,AA7)</f>
        <v/>
      </c>
      <c r="D7" s="6">
        <f>E24</f>
        <v/>
      </c>
      <c r="E7" s="6">
        <f>E25</f>
        <v/>
      </c>
      <c r="F7" s="6">
        <f>E26</f>
        <v/>
      </c>
      <c r="G7" s="6">
        <f>E27</f>
        <v/>
      </c>
      <c r="H7" s="6">
        <f>E28</f>
        <v/>
      </c>
      <c r="I7" s="6">
        <f>E29</f>
        <v/>
      </c>
      <c r="J7" s="6">
        <f>E30</f>
        <v/>
      </c>
      <c r="K7" s="6">
        <f>E31</f>
        <v/>
      </c>
      <c r="L7" s="6">
        <f>E32</f>
        <v/>
      </c>
      <c r="M7" s="6">
        <f>E33</f>
        <v/>
      </c>
      <c r="N7" s="6">
        <f>E34</f>
        <v/>
      </c>
      <c r="O7" s="6">
        <f>E35</f>
        <v/>
      </c>
      <c r="P7" s="6">
        <f>E36</f>
        <v/>
      </c>
      <c r="Q7" s="6">
        <f>E37</f>
        <v/>
      </c>
      <c r="R7" s="6">
        <f>E38</f>
        <v/>
      </c>
      <c r="S7" s="6">
        <f>E39</f>
        <v/>
      </c>
      <c r="T7" s="6">
        <f>E40</f>
        <v/>
      </c>
      <c r="U7" s="6">
        <f>E41</f>
        <v/>
      </c>
      <c r="V7" s="6">
        <f>E42</f>
        <v/>
      </c>
      <c r="W7" s="6">
        <f>E43</f>
        <v/>
      </c>
      <c r="X7" s="6">
        <f>E44</f>
        <v/>
      </c>
      <c r="Y7" s="6">
        <f>E45</f>
        <v/>
      </c>
      <c r="Z7" s="6">
        <f>E46</f>
        <v/>
      </c>
      <c r="AA7" s="6">
        <f>E47</f>
        <v/>
      </c>
    </row>
    <row r="8">
      <c r="A8" s="5" t="inlineStr">
        <is>
          <t>5</t>
        </is>
      </c>
      <c r="B8" s="5" t="inlineStr">
        <is>
          <t>弥补以前年度亏损</t>
        </is>
      </c>
      <c r="C8" s="6">
        <f>SUM(D8,E8,F8,G8,H8,I8,J8,K8,L8,M8,N8,O8,P8,Q8,R8,S8,T8,U8,V8,W8,X8,Y8,Z8,AA8)</f>
        <v/>
      </c>
      <c r="D8" s="6">
        <f>H24</f>
        <v/>
      </c>
      <c r="E8" s="6">
        <f>H25</f>
        <v/>
      </c>
      <c r="F8" s="6">
        <f>H26</f>
        <v/>
      </c>
      <c r="G8" s="6">
        <f>H27</f>
        <v/>
      </c>
      <c r="H8" s="6">
        <f>H28</f>
        <v/>
      </c>
      <c r="I8" s="6">
        <f>H29</f>
        <v/>
      </c>
      <c r="J8" s="6">
        <f>H30</f>
        <v/>
      </c>
      <c r="K8" s="6">
        <f>H31</f>
        <v/>
      </c>
      <c r="L8" s="6">
        <f>H32</f>
        <v/>
      </c>
      <c r="M8" s="6">
        <f>H33</f>
        <v/>
      </c>
      <c r="N8" s="6">
        <f>H34</f>
        <v/>
      </c>
      <c r="O8" s="6">
        <f>H35</f>
        <v/>
      </c>
      <c r="P8" s="6">
        <f>H36</f>
        <v/>
      </c>
      <c r="Q8" s="6">
        <f>H37</f>
        <v/>
      </c>
      <c r="R8" s="6">
        <f>H38</f>
        <v/>
      </c>
      <c r="S8" s="6">
        <f>H39</f>
        <v/>
      </c>
      <c r="T8" s="6">
        <f>H40</f>
        <v/>
      </c>
      <c r="U8" s="6">
        <f>H41</f>
        <v/>
      </c>
      <c r="V8" s="6">
        <f>H42</f>
        <v/>
      </c>
      <c r="W8" s="6">
        <f>H43</f>
        <v/>
      </c>
      <c r="X8" s="6">
        <f>H44</f>
        <v/>
      </c>
      <c r="Y8" s="6">
        <f>H45</f>
        <v/>
      </c>
      <c r="Z8" s="6">
        <f>H46</f>
        <v/>
      </c>
      <c r="AA8" s="6">
        <f>H47</f>
        <v/>
      </c>
    </row>
    <row r="9">
      <c r="A9" s="5" t="inlineStr">
        <is>
          <t>6</t>
        </is>
      </c>
      <c r="B9" s="5" t="inlineStr">
        <is>
          <t>应纳税所得额</t>
        </is>
      </c>
      <c r="C9" s="6">
        <f>SUM(D9,E9,F9,G9,H9,I9,J9,K9,L9,M9,N9,O9,P9,Q9,R9,S9,T9,U9,V9,W9,X9,Y9,Z9,AA9)</f>
        <v/>
      </c>
      <c r="D9" s="6">
        <f>I24</f>
        <v/>
      </c>
      <c r="E9" s="6">
        <f>I25</f>
        <v/>
      </c>
      <c r="F9" s="6">
        <f>I26</f>
        <v/>
      </c>
      <c r="G9" s="6">
        <f>I27</f>
        <v/>
      </c>
      <c r="H9" s="6">
        <f>I28</f>
        <v/>
      </c>
      <c r="I9" s="6">
        <f>I29</f>
        <v/>
      </c>
      <c r="J9" s="6">
        <f>I30</f>
        <v/>
      </c>
      <c r="K9" s="6">
        <f>I31</f>
        <v/>
      </c>
      <c r="L9" s="6">
        <f>I32</f>
        <v/>
      </c>
      <c r="M9" s="6">
        <f>I33</f>
        <v/>
      </c>
      <c r="N9" s="6">
        <f>I34</f>
        <v/>
      </c>
      <c r="O9" s="6">
        <f>I35</f>
        <v/>
      </c>
      <c r="P9" s="6">
        <f>I36</f>
        <v/>
      </c>
      <c r="Q9" s="6">
        <f>I37</f>
        <v/>
      </c>
      <c r="R9" s="6">
        <f>I38</f>
        <v/>
      </c>
      <c r="S9" s="6">
        <f>I39</f>
        <v/>
      </c>
      <c r="T9" s="6">
        <f>I40</f>
        <v/>
      </c>
      <c r="U9" s="6">
        <f>I41</f>
        <v/>
      </c>
      <c r="V9" s="6">
        <f>I42</f>
        <v/>
      </c>
      <c r="W9" s="6">
        <f>I43</f>
        <v/>
      </c>
      <c r="X9" s="6">
        <f>I44</f>
        <v/>
      </c>
      <c r="Y9" s="6">
        <f>I45</f>
        <v/>
      </c>
      <c r="Z9" s="6">
        <f>I46</f>
        <v/>
      </c>
      <c r="AA9" s="6">
        <f>I47</f>
        <v/>
      </c>
    </row>
    <row r="10">
      <c r="A10" s="5" t="inlineStr">
        <is>
          <t>7</t>
        </is>
      </c>
      <c r="B10" s="5" t="inlineStr">
        <is>
          <t>所得税</t>
        </is>
      </c>
      <c r="C10" s="6">
        <f>SUM(D10,E10,F10,G10,H10,I10,J10,K10,L10,M10,N10,O10,P10,Q10,R10,S10,T10,U10,V10,W10,X10,Y10,Z10,AA10)</f>
        <v/>
      </c>
      <c r="D10" s="6">
        <f>J24</f>
        <v/>
      </c>
      <c r="E10" s="6">
        <f>J25</f>
        <v/>
      </c>
      <c r="F10" s="6">
        <f>J26</f>
        <v/>
      </c>
      <c r="G10" s="6">
        <f>J27</f>
        <v/>
      </c>
      <c r="H10" s="6">
        <f>J28</f>
        <v/>
      </c>
      <c r="I10" s="6">
        <f>J29</f>
        <v/>
      </c>
      <c r="J10" s="6">
        <f>J30</f>
        <v/>
      </c>
      <c r="K10" s="6">
        <f>J31</f>
        <v/>
      </c>
      <c r="L10" s="6">
        <f>J32</f>
        <v/>
      </c>
      <c r="M10" s="6">
        <f>J33</f>
        <v/>
      </c>
      <c r="N10" s="6">
        <f>J34</f>
        <v/>
      </c>
      <c r="O10" s="6">
        <f>J35</f>
        <v/>
      </c>
      <c r="P10" s="6">
        <f>J36</f>
        <v/>
      </c>
      <c r="Q10" s="6">
        <f>J37</f>
        <v/>
      </c>
      <c r="R10" s="6">
        <f>J38</f>
        <v/>
      </c>
      <c r="S10" s="6">
        <f>J39</f>
        <v/>
      </c>
      <c r="T10" s="6">
        <f>J40</f>
        <v/>
      </c>
      <c r="U10" s="6">
        <f>J41</f>
        <v/>
      </c>
      <c r="V10" s="6">
        <f>J42</f>
        <v/>
      </c>
      <c r="W10" s="6">
        <f>J43</f>
        <v/>
      </c>
      <c r="X10" s="6">
        <f>J44</f>
        <v/>
      </c>
      <c r="Y10" s="6">
        <f>J45</f>
        <v/>
      </c>
      <c r="Z10" s="6">
        <f>J46</f>
        <v/>
      </c>
      <c r="AA10" s="6">
        <f>J47</f>
        <v/>
      </c>
    </row>
    <row r="11">
      <c r="A11" s="5" t="inlineStr">
        <is>
          <t>8</t>
        </is>
      </c>
      <c r="B11" s="5" t="inlineStr">
        <is>
          <t>净利润</t>
        </is>
      </c>
      <c r="C11" s="6">
        <f>SUM(D11,E11,F11,G11,H11,I11,J11,K11,L11,M11,N11,O11,P11,Q11,R11,S11,T11,U11,V11,W11,X11,Y11,Z11,AA11)</f>
        <v/>
      </c>
      <c r="D11" s="6">
        <f>K24</f>
        <v/>
      </c>
      <c r="E11" s="6">
        <f>K25</f>
        <v/>
      </c>
      <c r="F11" s="6">
        <f>K26</f>
        <v/>
      </c>
      <c r="G11" s="6">
        <f>K27</f>
        <v/>
      </c>
      <c r="H11" s="6">
        <f>K28</f>
        <v/>
      </c>
      <c r="I11" s="6">
        <f>K29</f>
        <v/>
      </c>
      <c r="J11" s="6">
        <f>K30</f>
        <v/>
      </c>
      <c r="K11" s="6">
        <f>K31</f>
        <v/>
      </c>
      <c r="L11" s="6">
        <f>K32</f>
        <v/>
      </c>
      <c r="M11" s="6">
        <f>K33</f>
        <v/>
      </c>
      <c r="N11" s="6">
        <f>K34</f>
        <v/>
      </c>
      <c r="O11" s="6">
        <f>K35</f>
        <v/>
      </c>
      <c r="P11" s="6">
        <f>K36</f>
        <v/>
      </c>
      <c r="Q11" s="6">
        <f>K37</f>
        <v/>
      </c>
      <c r="R11" s="6">
        <f>K38</f>
        <v/>
      </c>
      <c r="S11" s="6">
        <f>K39</f>
        <v/>
      </c>
      <c r="T11" s="6">
        <f>K40</f>
        <v/>
      </c>
      <c r="U11" s="6">
        <f>K41</f>
        <v/>
      </c>
      <c r="V11" s="6">
        <f>K42</f>
        <v/>
      </c>
      <c r="W11" s="6">
        <f>K43</f>
        <v/>
      </c>
      <c r="X11" s="6">
        <f>K44</f>
        <v/>
      </c>
      <c r="Y11" s="6">
        <f>K45</f>
        <v/>
      </c>
      <c r="Z11" s="6">
        <f>K46</f>
        <v/>
      </c>
      <c r="AA11" s="6">
        <f>K47</f>
        <v/>
      </c>
    </row>
    <row r="12">
      <c r="A12" s="5" t="inlineStr">
        <is>
          <t>9</t>
        </is>
      </c>
      <c r="B12" s="5" t="inlineStr">
        <is>
          <t>期初未分配利润</t>
        </is>
      </c>
      <c r="C12" s="6">
        <f>SUM(D12,E12,F12,G12,H12,I12,J12,K12,L12,M12,N12,O12,P12,Q12,R12,S12,T12,U12,V12,W12,X12,Y12,Z12,AA12)</f>
        <v/>
      </c>
      <c r="D12" s="6">
        <f>L24</f>
        <v/>
      </c>
      <c r="E12" s="6">
        <f>L25</f>
        <v/>
      </c>
      <c r="F12" s="6">
        <f>L26</f>
        <v/>
      </c>
      <c r="G12" s="6">
        <f>L27</f>
        <v/>
      </c>
      <c r="H12" s="6">
        <f>L28</f>
        <v/>
      </c>
      <c r="I12" s="6">
        <f>L29</f>
        <v/>
      </c>
      <c r="J12" s="6">
        <f>L30</f>
        <v/>
      </c>
      <c r="K12" s="6">
        <f>L31</f>
        <v/>
      </c>
      <c r="L12" s="6">
        <f>L32</f>
        <v/>
      </c>
      <c r="M12" s="6">
        <f>L33</f>
        <v/>
      </c>
      <c r="N12" s="6">
        <f>L34</f>
        <v/>
      </c>
      <c r="O12" s="6">
        <f>L35</f>
        <v/>
      </c>
      <c r="P12" s="6">
        <f>L36</f>
        <v/>
      </c>
      <c r="Q12" s="6">
        <f>L37</f>
        <v/>
      </c>
      <c r="R12" s="6">
        <f>L38</f>
        <v/>
      </c>
      <c r="S12" s="6">
        <f>L39</f>
        <v/>
      </c>
      <c r="T12" s="6">
        <f>L40</f>
        <v/>
      </c>
      <c r="U12" s="6">
        <f>L41</f>
        <v/>
      </c>
      <c r="V12" s="6">
        <f>L42</f>
        <v/>
      </c>
      <c r="W12" s="6">
        <f>L43</f>
        <v/>
      </c>
      <c r="X12" s="6">
        <f>L44</f>
        <v/>
      </c>
      <c r="Y12" s="6">
        <f>L45</f>
        <v/>
      </c>
      <c r="Z12" s="6">
        <f>L46</f>
        <v/>
      </c>
      <c r="AA12" s="6">
        <f>L47</f>
        <v/>
      </c>
    </row>
    <row r="13">
      <c r="A13" s="5" t="inlineStr">
        <is>
          <t>10</t>
        </is>
      </c>
      <c r="B13" s="5" t="inlineStr">
        <is>
          <t>可供分配的利润</t>
        </is>
      </c>
      <c r="C13" s="6">
        <f>SUM(D13,E13,F13,G13,H13,I13,J13,K13,L13,M13,N13,O13,P13,Q13,R13,S13,T13,U13,V13,W13,X13,Y13,Z13,AA13)</f>
        <v/>
      </c>
      <c r="D13" s="6">
        <f>M24</f>
        <v/>
      </c>
      <c r="E13" s="6">
        <f>M25</f>
        <v/>
      </c>
      <c r="F13" s="6">
        <f>M26</f>
        <v/>
      </c>
      <c r="G13" s="6">
        <f>M27</f>
        <v/>
      </c>
      <c r="H13" s="6">
        <f>M28</f>
        <v/>
      </c>
      <c r="I13" s="6">
        <f>M29</f>
        <v/>
      </c>
      <c r="J13" s="6">
        <f>M30</f>
        <v/>
      </c>
      <c r="K13" s="6">
        <f>M31</f>
        <v/>
      </c>
      <c r="L13" s="6">
        <f>M32</f>
        <v/>
      </c>
      <c r="M13" s="6">
        <f>M33</f>
        <v/>
      </c>
      <c r="N13" s="6">
        <f>M34</f>
        <v/>
      </c>
      <c r="O13" s="6">
        <f>M35</f>
        <v/>
      </c>
      <c r="P13" s="6">
        <f>M36</f>
        <v/>
      </c>
      <c r="Q13" s="6">
        <f>M37</f>
        <v/>
      </c>
      <c r="R13" s="6">
        <f>M38</f>
        <v/>
      </c>
      <c r="S13" s="6">
        <f>M39</f>
        <v/>
      </c>
      <c r="T13" s="6">
        <f>M40</f>
        <v/>
      </c>
      <c r="U13" s="6">
        <f>M41</f>
        <v/>
      </c>
      <c r="V13" s="6">
        <f>M42</f>
        <v/>
      </c>
      <c r="W13" s="6">
        <f>M43</f>
        <v/>
      </c>
      <c r="X13" s="6">
        <f>M44</f>
        <v/>
      </c>
      <c r="Y13" s="6">
        <f>M45</f>
        <v/>
      </c>
      <c r="Z13" s="6">
        <f>M46</f>
        <v/>
      </c>
      <c r="AA13" s="6">
        <f>M47</f>
        <v/>
      </c>
    </row>
    <row r="14">
      <c r="A14" s="5" t="inlineStr">
        <is>
          <t>11</t>
        </is>
      </c>
      <c r="B14" s="5" t="inlineStr">
        <is>
          <t>提取法定盈余公积金</t>
        </is>
      </c>
      <c r="C14" s="6">
        <f>SUM(D14,E14,F14,G14,H14,I14,J14,K14,L14,M14,N14,O14,P14,Q14,R14,S14,T14,U14,V14,W14,X14,Y14,Z14,AA14)</f>
        <v/>
      </c>
      <c r="D14" s="6">
        <f>N24</f>
        <v/>
      </c>
      <c r="E14" s="6">
        <f>N25</f>
        <v/>
      </c>
      <c r="F14" s="6">
        <f>N26</f>
        <v/>
      </c>
      <c r="G14" s="6">
        <f>N27</f>
        <v/>
      </c>
      <c r="H14" s="6">
        <f>N28</f>
        <v/>
      </c>
      <c r="I14" s="6">
        <f>N29</f>
        <v/>
      </c>
      <c r="J14" s="6">
        <f>N30</f>
        <v/>
      </c>
      <c r="K14" s="6">
        <f>N31</f>
        <v/>
      </c>
      <c r="L14" s="6">
        <f>N32</f>
        <v/>
      </c>
      <c r="M14" s="6">
        <f>N33</f>
        <v/>
      </c>
      <c r="N14" s="6">
        <f>N34</f>
        <v/>
      </c>
      <c r="O14" s="6">
        <f>N35</f>
        <v/>
      </c>
      <c r="P14" s="6">
        <f>N36</f>
        <v/>
      </c>
      <c r="Q14" s="6">
        <f>N37</f>
        <v/>
      </c>
      <c r="R14" s="6">
        <f>N38</f>
        <v/>
      </c>
      <c r="S14" s="6">
        <f>N39</f>
        <v/>
      </c>
      <c r="T14" s="6">
        <f>N40</f>
        <v/>
      </c>
      <c r="U14" s="6">
        <f>N41</f>
        <v/>
      </c>
      <c r="V14" s="6">
        <f>N42</f>
        <v/>
      </c>
      <c r="W14" s="6">
        <f>N43</f>
        <v/>
      </c>
      <c r="X14" s="6">
        <f>N44</f>
        <v/>
      </c>
      <c r="Y14" s="6">
        <f>N45</f>
        <v/>
      </c>
      <c r="Z14" s="6">
        <f>N46</f>
        <v/>
      </c>
      <c r="AA14" s="6">
        <f>N47</f>
        <v/>
      </c>
    </row>
    <row r="15">
      <c r="A15" s="5" t="inlineStr">
        <is>
          <t>12</t>
        </is>
      </c>
      <c r="B15" s="5" t="inlineStr">
        <is>
          <t>可供投资者分配的利润</t>
        </is>
      </c>
      <c r="C15" s="6">
        <f>SUM(D15,E15,F15,G15,H15,I15,J15,K15,L15,M15,N15,O15,P15,Q15,R15,S15,T15,U15,V15,W15,X15,Y15,Z15,AA15)</f>
        <v/>
      </c>
      <c r="D15" s="6">
        <f>O24</f>
        <v/>
      </c>
      <c r="E15" s="6">
        <f>O25</f>
        <v/>
      </c>
      <c r="F15" s="6">
        <f>O26</f>
        <v/>
      </c>
      <c r="G15" s="6">
        <f>O27</f>
        <v/>
      </c>
      <c r="H15" s="6">
        <f>O28</f>
        <v/>
      </c>
      <c r="I15" s="6">
        <f>O29</f>
        <v/>
      </c>
      <c r="J15" s="6">
        <f>O30</f>
        <v/>
      </c>
      <c r="K15" s="6">
        <f>O31</f>
        <v/>
      </c>
      <c r="L15" s="6">
        <f>O32</f>
        <v/>
      </c>
      <c r="M15" s="6">
        <f>O33</f>
        <v/>
      </c>
      <c r="N15" s="6">
        <f>O34</f>
        <v/>
      </c>
      <c r="O15" s="6">
        <f>O35</f>
        <v/>
      </c>
      <c r="P15" s="6">
        <f>O36</f>
        <v/>
      </c>
      <c r="Q15" s="6">
        <f>O37</f>
        <v/>
      </c>
      <c r="R15" s="6">
        <f>O38</f>
        <v/>
      </c>
      <c r="S15" s="6">
        <f>O39</f>
        <v/>
      </c>
      <c r="T15" s="6">
        <f>O40</f>
        <v/>
      </c>
      <c r="U15" s="6">
        <f>O41</f>
        <v/>
      </c>
      <c r="V15" s="6">
        <f>O42</f>
        <v/>
      </c>
      <c r="W15" s="6">
        <f>O43</f>
        <v/>
      </c>
      <c r="X15" s="6">
        <f>O44</f>
        <v/>
      </c>
      <c r="Y15" s="6">
        <f>O45</f>
        <v/>
      </c>
      <c r="Z15" s="6">
        <f>O46</f>
        <v/>
      </c>
      <c r="AA15" s="6">
        <f>O47</f>
        <v/>
      </c>
    </row>
    <row r="16">
      <c r="A16" s="5" t="inlineStr">
        <is>
          <t>13</t>
        </is>
      </c>
      <c r="B16" s="5" t="inlineStr">
        <is>
          <t>提取任意盈余公积金</t>
        </is>
      </c>
      <c r="C16" s="6">
        <f>SUM(D16,E16,F16,G16,H16,I16,J16,K16,L16,M16,N16,O16,P16,Q16,R16,S16,T16,U16,V16,W16,X16,Y16,Z16,AA16)</f>
        <v/>
      </c>
      <c r="D16" s="6">
        <f>P24</f>
        <v/>
      </c>
      <c r="E16" s="6">
        <f>P25</f>
        <v/>
      </c>
      <c r="F16" s="6">
        <f>P26</f>
        <v/>
      </c>
      <c r="G16" s="6">
        <f>P27</f>
        <v/>
      </c>
      <c r="H16" s="6">
        <f>P28</f>
        <v/>
      </c>
      <c r="I16" s="6">
        <f>P29</f>
        <v/>
      </c>
      <c r="J16" s="6">
        <f>P30</f>
        <v/>
      </c>
      <c r="K16" s="6">
        <f>P31</f>
        <v/>
      </c>
      <c r="L16" s="6">
        <f>P32</f>
        <v/>
      </c>
      <c r="M16" s="6">
        <f>P33</f>
        <v/>
      </c>
      <c r="N16" s="6">
        <f>P34</f>
        <v/>
      </c>
      <c r="O16" s="6">
        <f>P35</f>
        <v/>
      </c>
      <c r="P16" s="6">
        <f>P36</f>
        <v/>
      </c>
      <c r="Q16" s="6">
        <f>P37</f>
        <v/>
      </c>
      <c r="R16" s="6">
        <f>P38</f>
        <v/>
      </c>
      <c r="S16" s="6">
        <f>P39</f>
        <v/>
      </c>
      <c r="T16" s="6">
        <f>P40</f>
        <v/>
      </c>
      <c r="U16" s="6">
        <f>P41</f>
        <v/>
      </c>
      <c r="V16" s="6">
        <f>P42</f>
        <v/>
      </c>
      <c r="W16" s="6">
        <f>P43</f>
        <v/>
      </c>
      <c r="X16" s="6">
        <f>P44</f>
        <v/>
      </c>
      <c r="Y16" s="6">
        <f>P45</f>
        <v/>
      </c>
      <c r="Z16" s="6">
        <f>P46</f>
        <v/>
      </c>
      <c r="AA16" s="6">
        <f>P47</f>
        <v/>
      </c>
    </row>
    <row r="17">
      <c r="A17" s="5" t="inlineStr">
        <is>
          <t>14</t>
        </is>
      </c>
      <c r="B17" s="5" t="inlineStr">
        <is>
          <t>投资各方利润分配</t>
        </is>
      </c>
      <c r="C17" s="6">
        <f>SUM(D17,E17,F17,G17,H17,I17,J17,K17,L17,M17,N17,O17,P17,Q17,R17,S17,T17,U17,V17,W17,X17,Y17,Z17,AA17)</f>
        <v/>
      </c>
      <c r="D17" s="6">
        <f>Q24</f>
        <v/>
      </c>
      <c r="E17" s="6">
        <f>Q25</f>
        <v/>
      </c>
      <c r="F17" s="6">
        <f>Q26</f>
        <v/>
      </c>
      <c r="G17" s="6">
        <f>Q27</f>
        <v/>
      </c>
      <c r="H17" s="6">
        <f>Q28</f>
        <v/>
      </c>
      <c r="I17" s="6">
        <f>Q29</f>
        <v/>
      </c>
      <c r="J17" s="6">
        <f>Q30</f>
        <v/>
      </c>
      <c r="K17" s="6">
        <f>Q31</f>
        <v/>
      </c>
      <c r="L17" s="6">
        <f>Q32</f>
        <v/>
      </c>
      <c r="M17" s="6">
        <f>Q33</f>
        <v/>
      </c>
      <c r="N17" s="6">
        <f>Q34</f>
        <v/>
      </c>
      <c r="O17" s="6">
        <f>Q35</f>
        <v/>
      </c>
      <c r="P17" s="6">
        <f>Q36</f>
        <v/>
      </c>
      <c r="Q17" s="6">
        <f>Q37</f>
        <v/>
      </c>
      <c r="R17" s="6">
        <f>Q38</f>
        <v/>
      </c>
      <c r="S17" s="6">
        <f>Q39</f>
        <v/>
      </c>
      <c r="T17" s="6">
        <f>Q40</f>
        <v/>
      </c>
      <c r="U17" s="6">
        <f>Q41</f>
        <v/>
      </c>
      <c r="V17" s="6">
        <f>Q42</f>
        <v/>
      </c>
      <c r="W17" s="6">
        <f>Q43</f>
        <v/>
      </c>
      <c r="X17" s="6">
        <f>Q44</f>
        <v/>
      </c>
      <c r="Y17" s="6">
        <f>Q45</f>
        <v/>
      </c>
      <c r="Z17" s="6">
        <f>Q46</f>
        <v/>
      </c>
      <c r="AA17" s="6">
        <f>Q47</f>
        <v/>
      </c>
    </row>
    <row r="18">
      <c r="A18" s="5" t="inlineStr">
        <is>
          <t>15</t>
        </is>
      </c>
      <c r="B18" s="5" t="inlineStr">
        <is>
          <t>未分配利润</t>
        </is>
      </c>
      <c r="C18" s="6">
        <f>SUM(D18,E18,F18,G18,H18,I18,J18,K18,L18,M18,N18,O18,P18,Q18,R18,S18,T18,U18,V18,W18,X18,Y18,Z18,AA18)</f>
        <v/>
      </c>
      <c r="D18" s="6">
        <f>R24</f>
        <v/>
      </c>
      <c r="E18" s="6">
        <f>R25</f>
        <v/>
      </c>
      <c r="F18" s="6">
        <f>R26</f>
        <v/>
      </c>
      <c r="G18" s="6">
        <f>R27</f>
        <v/>
      </c>
      <c r="H18" s="6">
        <f>R28</f>
        <v/>
      </c>
      <c r="I18" s="6">
        <f>R29</f>
        <v/>
      </c>
      <c r="J18" s="6">
        <f>R30</f>
        <v/>
      </c>
      <c r="K18" s="6">
        <f>R31</f>
        <v/>
      </c>
      <c r="L18" s="6">
        <f>R32</f>
        <v/>
      </c>
      <c r="M18" s="6">
        <f>R33</f>
        <v/>
      </c>
      <c r="N18" s="6">
        <f>R34</f>
        <v/>
      </c>
      <c r="O18" s="6">
        <f>R35</f>
        <v/>
      </c>
      <c r="P18" s="6">
        <f>R36</f>
        <v/>
      </c>
      <c r="Q18" s="6">
        <f>R37</f>
        <v/>
      </c>
      <c r="R18" s="6">
        <f>R38</f>
        <v/>
      </c>
      <c r="S18" s="6">
        <f>R39</f>
        <v/>
      </c>
      <c r="T18" s="6">
        <f>R40</f>
        <v/>
      </c>
      <c r="U18" s="6">
        <f>R41</f>
        <v/>
      </c>
      <c r="V18" s="6">
        <f>R42</f>
        <v/>
      </c>
      <c r="W18" s="6">
        <f>R43</f>
        <v/>
      </c>
      <c r="X18" s="6">
        <f>R44</f>
        <v/>
      </c>
      <c r="Y18" s="6">
        <f>R45</f>
        <v/>
      </c>
      <c r="Z18" s="6">
        <f>R46</f>
        <v/>
      </c>
      <c r="AA18" s="6">
        <f>R47</f>
        <v/>
      </c>
    </row>
    <row r="19">
      <c r="A19" s="5" t="inlineStr">
        <is>
          <t>16</t>
        </is>
      </c>
      <c r="B19" s="5" t="inlineStr">
        <is>
          <t>息税前利润（EBIT）</t>
        </is>
      </c>
      <c r="C19" s="6">
        <f>SUM(D19,E19,F19,G19,H19,I19,J19,K19,L19,M19,N19,O19,P19,Q19,R19,S19,T19,U19,V19,W19,X19,Y19,Z19,AA19)</f>
        <v/>
      </c>
      <c r="D19" s="6">
        <f>F24</f>
        <v/>
      </c>
      <c r="E19" s="6">
        <f>F25</f>
        <v/>
      </c>
      <c r="F19" s="6">
        <f>F26</f>
        <v/>
      </c>
      <c r="G19" s="6">
        <f>F27</f>
        <v/>
      </c>
      <c r="H19" s="6">
        <f>F28</f>
        <v/>
      </c>
      <c r="I19" s="6">
        <f>F29</f>
        <v/>
      </c>
      <c r="J19" s="6">
        <f>F30</f>
        <v/>
      </c>
      <c r="K19" s="6">
        <f>F31</f>
        <v/>
      </c>
      <c r="L19" s="6">
        <f>F32</f>
        <v/>
      </c>
      <c r="M19" s="6">
        <f>F33</f>
        <v/>
      </c>
      <c r="N19" s="6">
        <f>F34</f>
        <v/>
      </c>
      <c r="O19" s="6">
        <f>F35</f>
        <v/>
      </c>
      <c r="P19" s="6">
        <f>F36</f>
        <v/>
      </c>
      <c r="Q19" s="6">
        <f>F37</f>
        <v/>
      </c>
      <c r="R19" s="6">
        <f>F38</f>
        <v/>
      </c>
      <c r="S19" s="6">
        <f>F39</f>
        <v/>
      </c>
      <c r="T19" s="6">
        <f>F40</f>
        <v/>
      </c>
      <c r="U19" s="6">
        <f>F41</f>
        <v/>
      </c>
      <c r="V19" s="6">
        <f>F42</f>
        <v/>
      </c>
      <c r="W19" s="6">
        <f>F43</f>
        <v/>
      </c>
      <c r="X19" s="6">
        <f>F44</f>
        <v/>
      </c>
      <c r="Y19" s="6">
        <f>F45</f>
        <v/>
      </c>
      <c r="Z19" s="6">
        <f>F46</f>
        <v/>
      </c>
      <c r="AA19" s="6">
        <f>F47</f>
        <v/>
      </c>
    </row>
    <row r="20">
      <c r="A20" s="5" t="inlineStr">
        <is>
          <t>17</t>
        </is>
      </c>
      <c r="B20" s="5" t="inlineStr">
        <is>
          <t>息税折旧摊销前利润（EBITDA）</t>
        </is>
      </c>
      <c r="C20" s="6">
        <f>SUM(D20,E20,F20,G20,H20,I20,J20,K20,L20,M20,N20,O20,P20,Q20,R20,S20,T20,U20,V20,W20,X20,Y20,Z20,AA20)</f>
        <v/>
      </c>
      <c r="D20" s="6">
        <f>G24</f>
        <v/>
      </c>
      <c r="E20" s="6">
        <f>G25</f>
        <v/>
      </c>
      <c r="F20" s="6">
        <f>G26</f>
        <v/>
      </c>
      <c r="G20" s="6">
        <f>G27</f>
        <v/>
      </c>
      <c r="H20" s="6">
        <f>G28</f>
        <v/>
      </c>
      <c r="I20" s="6">
        <f>G29</f>
        <v/>
      </c>
      <c r="J20" s="6">
        <f>G30</f>
        <v/>
      </c>
      <c r="K20" s="6">
        <f>G31</f>
        <v/>
      </c>
      <c r="L20" s="6">
        <f>G32</f>
        <v/>
      </c>
      <c r="M20" s="6">
        <f>G33</f>
        <v/>
      </c>
      <c r="N20" s="6">
        <f>G34</f>
        <v/>
      </c>
      <c r="O20" s="6">
        <f>G35</f>
        <v/>
      </c>
      <c r="P20" s="6">
        <f>G36</f>
        <v/>
      </c>
      <c r="Q20" s="6">
        <f>G37</f>
        <v/>
      </c>
      <c r="R20" s="6">
        <f>G38</f>
        <v/>
      </c>
      <c r="S20" s="6">
        <f>G39</f>
        <v/>
      </c>
      <c r="T20" s="6">
        <f>G40</f>
        <v/>
      </c>
      <c r="U20" s="6">
        <f>G41</f>
        <v/>
      </c>
      <c r="V20" s="6">
        <f>G42</f>
        <v/>
      </c>
      <c r="W20" s="6">
        <f>G43</f>
        <v/>
      </c>
      <c r="X20" s="6">
        <f>G44</f>
        <v/>
      </c>
      <c r="Y20" s="6">
        <f>G45</f>
        <v/>
      </c>
      <c r="Z20" s="6">
        <f>G46</f>
        <v/>
      </c>
      <c r="AA20" s="6">
        <f>G47</f>
        <v/>
      </c>
    </row>
    <row r="21"/>
    <row r="22">
      <c r="A22" t="inlineStr">
        <is>
          <t>引擎逐年计算区（供公式与跨表追溯）</t>
        </is>
      </c>
    </row>
    <row r="23">
      <c r="A23" s="7" t="inlineStr">
        <is>
          <t>运营年</t>
        </is>
      </c>
      <c r="B23" s="7" t="inlineStr">
        <is>
          <t>营业收入</t>
        </is>
      </c>
      <c r="C23" s="7" t="inlineStr">
        <is>
          <t>总成本费用</t>
        </is>
      </c>
      <c r="D23" s="7" t="inlineStr">
        <is>
          <t>税金及附加</t>
        </is>
      </c>
      <c r="E23" s="7" t="inlineStr">
        <is>
          <t>利润总额</t>
        </is>
      </c>
      <c r="F23" s="7" t="inlineStr">
        <is>
          <t>息税前利润(EBIT)</t>
        </is>
      </c>
      <c r="G23" s="7" t="inlineStr">
        <is>
          <t>息税折旧摊销前利润(EBITDA)</t>
        </is>
      </c>
      <c r="H23" s="7" t="inlineStr">
        <is>
          <t>弥补以前年度亏损</t>
        </is>
      </c>
      <c r="I23" s="7" t="inlineStr">
        <is>
          <t>应纳税所得额</t>
        </is>
      </c>
      <c r="J23" s="7" t="inlineStr">
        <is>
          <t>所得税</t>
        </is>
      </c>
      <c r="K23" s="7" t="inlineStr">
        <is>
          <t>净利润</t>
        </is>
      </c>
      <c r="L23" s="7" t="inlineStr">
        <is>
          <t>期初未分配利润</t>
        </is>
      </c>
      <c r="M23" s="7" t="inlineStr">
        <is>
          <t>可供分配的利润</t>
        </is>
      </c>
      <c r="N23" s="7" t="inlineStr">
        <is>
          <t>提取法定盈余公积金</t>
        </is>
      </c>
      <c r="O23" s="7" t="inlineStr">
        <is>
          <t>可供投资者分配的利润</t>
        </is>
      </c>
      <c r="P23" s="7" t="inlineStr">
        <is>
          <t>提取任意盈余公积金</t>
        </is>
      </c>
      <c r="Q23" s="7" t="inlineStr">
        <is>
          <t>投资各方利润分配</t>
        </is>
      </c>
      <c r="R23" s="7" t="inlineStr">
        <is>
          <t>未分配利润</t>
        </is>
      </c>
    </row>
    <row r="24">
      <c r="A24" s="8" t="n">
        <v>1</v>
      </c>
      <c r="B24" s="8">
        <f>'附表5'!B16</f>
        <v/>
      </c>
      <c r="C24" s="8">
        <f>'附表6'!F16</f>
        <v/>
      </c>
      <c r="D24" s="8">
        <f>'附表5'!E16</f>
        <v/>
      </c>
      <c r="E24" s="8">
        <f>B24-C24-D24</f>
        <v/>
      </c>
      <c r="F24" s="8">
        <f>E24+'附表6'!E16</f>
        <v/>
      </c>
      <c r="G24" s="8">
        <f>F24+'附表6'!C16+'附表6'!D16</f>
        <v/>
      </c>
      <c r="H24" s="8" t="n">
        <v>0</v>
      </c>
      <c r="I24" s="8">
        <f>MAX(E24-H24,0)</f>
        <v/>
      </c>
      <c r="J24" s="8" t="n">
        <v>0</v>
      </c>
      <c r="K24" s="8">
        <f>E24-J24</f>
        <v/>
      </c>
      <c r="L24" s="8" t="n">
        <v>0</v>
      </c>
      <c r="M24" s="8">
        <f>L24+K24</f>
        <v/>
      </c>
      <c r="N24" s="8">
        <f>MAX(K24,0)*10%</f>
        <v/>
      </c>
      <c r="O24" s="8">
        <f>M24-N24</f>
        <v/>
      </c>
      <c r="R24" s="8">
        <f>O24-N(P24)-N(Q24)</f>
        <v/>
      </c>
    </row>
    <row r="25">
      <c r="A25" s="8" t="n">
        <v>2</v>
      </c>
      <c r="B25" s="8">
        <f>'附表5'!B17</f>
        <v/>
      </c>
      <c r="C25" s="8">
        <f>'附表6'!F17</f>
        <v/>
      </c>
      <c r="D25" s="8">
        <f>'附表5'!E17</f>
        <v/>
      </c>
      <c r="E25" s="8">
        <f>B25-C25-D25</f>
        <v/>
      </c>
      <c r="F25" s="8">
        <f>E25+'附表6'!E17</f>
        <v/>
      </c>
      <c r="G25" s="8">
        <f>F25+'附表6'!C17+'附表6'!D17</f>
        <v/>
      </c>
      <c r="H25" s="8" t="n">
        <v>0</v>
      </c>
      <c r="I25" s="8">
        <f>MAX(E25-H25,0)</f>
        <v/>
      </c>
      <c r="J25" s="8" t="n">
        <v>0</v>
      </c>
      <c r="K25" s="8">
        <f>E25-J25</f>
        <v/>
      </c>
      <c r="L25" s="8">
        <f>R24</f>
        <v/>
      </c>
      <c r="M25" s="8">
        <f>L25+K25</f>
        <v/>
      </c>
      <c r="N25" s="8">
        <f>MAX(K25,0)*10%</f>
        <v/>
      </c>
      <c r="O25" s="8">
        <f>M25-N25</f>
        <v/>
      </c>
      <c r="R25" s="8">
        <f>O25-N(P25)-N(Q25)</f>
        <v/>
      </c>
    </row>
    <row r="26">
      <c r="A26" s="8" t="n">
        <v>3</v>
      </c>
      <c r="B26" s="8">
        <f>'附表5'!B18</f>
        <v/>
      </c>
      <c r="C26" s="8">
        <f>'附表6'!F18</f>
        <v/>
      </c>
      <c r="D26" s="8">
        <f>'附表5'!E18</f>
        <v/>
      </c>
      <c r="E26" s="8">
        <f>B26-C26-D26</f>
        <v/>
      </c>
      <c r="F26" s="8">
        <f>E26+'附表6'!E18</f>
        <v/>
      </c>
      <c r="G26" s="8">
        <f>F26+'附表6'!C18+'附表6'!D18</f>
        <v/>
      </c>
      <c r="H26" s="8" t="n">
        <v>0</v>
      </c>
      <c r="I26" s="8">
        <f>MAX(E26-H26,0)</f>
        <v/>
      </c>
      <c r="J26" s="8" t="n">
        <v>0</v>
      </c>
      <c r="K26" s="8">
        <f>E26-J26</f>
        <v/>
      </c>
      <c r="L26" s="8">
        <f>R25</f>
        <v/>
      </c>
      <c r="M26" s="8">
        <f>L26+K26</f>
        <v/>
      </c>
      <c r="N26" s="8">
        <f>MAX(K26,0)*10%</f>
        <v/>
      </c>
      <c r="O26" s="8">
        <f>M26-N26</f>
        <v/>
      </c>
      <c r="R26" s="8">
        <f>O26-N(P26)-N(Q26)</f>
        <v/>
      </c>
    </row>
    <row r="27">
      <c r="A27" s="8" t="n">
        <v>4</v>
      </c>
      <c r="B27" s="8">
        <f>'附表5'!B19</f>
        <v/>
      </c>
      <c r="C27" s="8">
        <f>'附表6'!F19</f>
        <v/>
      </c>
      <c r="D27" s="8">
        <f>'附表5'!E19</f>
        <v/>
      </c>
      <c r="E27" s="8">
        <f>B27-C27-D27</f>
        <v/>
      </c>
      <c r="F27" s="8">
        <f>E27+'附表6'!E19</f>
        <v/>
      </c>
      <c r="G27" s="8">
        <f>F27+'附表6'!C19+'附表6'!D19</f>
        <v/>
      </c>
      <c r="H27" s="8" t="n">
        <v>0</v>
      </c>
      <c r="I27" s="8">
        <f>MAX(E27-H27,0)</f>
        <v/>
      </c>
      <c r="J27" s="8" t="n">
        <v>0</v>
      </c>
      <c r="K27" s="8">
        <f>E27-J27</f>
        <v/>
      </c>
      <c r="L27" s="8">
        <f>R26</f>
        <v/>
      </c>
      <c r="M27" s="8">
        <f>L27+K27</f>
        <v/>
      </c>
      <c r="N27" s="8">
        <f>MAX(K27,0)*10%</f>
        <v/>
      </c>
      <c r="O27" s="8">
        <f>M27-N27</f>
        <v/>
      </c>
      <c r="R27" s="8">
        <f>O27-N(P27)-N(Q27)</f>
        <v/>
      </c>
    </row>
    <row r="28">
      <c r="A28" s="8" t="n">
        <v>5</v>
      </c>
      <c r="B28" s="8">
        <f>'附表5'!B20</f>
        <v/>
      </c>
      <c r="C28" s="8">
        <f>'附表6'!F20</f>
        <v/>
      </c>
      <c r="D28" s="8">
        <f>'附表5'!E20</f>
        <v/>
      </c>
      <c r="E28" s="8">
        <f>B28-C28-D28</f>
        <v/>
      </c>
      <c r="F28" s="8">
        <f>E28+'附表6'!E20</f>
        <v/>
      </c>
      <c r="G28" s="8">
        <f>F28+'附表6'!C20+'附表6'!D20</f>
        <v/>
      </c>
      <c r="H28" s="8" t="n">
        <v>0</v>
      </c>
      <c r="I28" s="8">
        <f>MAX(E28-H28,0)</f>
        <v/>
      </c>
      <c r="J28" s="8" t="n">
        <v>0</v>
      </c>
      <c r="K28" s="8">
        <f>E28-J28</f>
        <v/>
      </c>
      <c r="L28" s="8">
        <f>R27</f>
        <v/>
      </c>
      <c r="M28" s="8">
        <f>L28+K28</f>
        <v/>
      </c>
      <c r="N28" s="8">
        <f>MAX(K28,0)*10%</f>
        <v/>
      </c>
      <c r="O28" s="8">
        <f>M28-N28</f>
        <v/>
      </c>
      <c r="R28" s="8">
        <f>O28-N(P28)-N(Q28)</f>
        <v/>
      </c>
    </row>
    <row r="29">
      <c r="A29" s="8" t="n">
        <v>6</v>
      </c>
      <c r="B29" s="8">
        <f>'附表5'!B21</f>
        <v/>
      </c>
      <c r="C29" s="8">
        <f>'附表6'!F21</f>
        <v/>
      </c>
      <c r="D29" s="8">
        <f>'附表5'!E21</f>
        <v/>
      </c>
      <c r="E29" s="8">
        <f>B29-C29-D29</f>
        <v/>
      </c>
      <c r="F29" s="8">
        <f>E29+'附表6'!E21</f>
        <v/>
      </c>
      <c r="G29" s="8">
        <f>F29+'附表6'!C21+'附表6'!D21</f>
        <v/>
      </c>
      <c r="H29" s="8" t="n">
        <v>0</v>
      </c>
      <c r="I29" s="8">
        <f>MAX(E29-H29,0)</f>
        <v/>
      </c>
      <c r="J29" s="8" t="n">
        <v>7.45</v>
      </c>
      <c r="K29" s="8">
        <f>E29-J29</f>
        <v/>
      </c>
      <c r="L29" s="8">
        <f>R28</f>
        <v/>
      </c>
      <c r="M29" s="8">
        <f>L29+K29</f>
        <v/>
      </c>
      <c r="N29" s="8">
        <f>MAX(K29,0)*10%</f>
        <v/>
      </c>
      <c r="O29" s="8">
        <f>M29-N29</f>
        <v/>
      </c>
      <c r="R29" s="8">
        <f>O29-N(P29)-N(Q29)</f>
        <v/>
      </c>
    </row>
    <row r="30">
      <c r="A30" s="8" t="n">
        <v>7</v>
      </c>
      <c r="B30" s="8">
        <f>'附表5'!B22</f>
        <v/>
      </c>
      <c r="C30" s="8">
        <f>'附表6'!F22</f>
        <v/>
      </c>
      <c r="D30" s="8">
        <f>'附表5'!E22</f>
        <v/>
      </c>
      <c r="E30" s="8">
        <f>B30-C30-D30</f>
        <v/>
      </c>
      <c r="F30" s="8">
        <f>E30+'附表6'!E22</f>
        <v/>
      </c>
      <c r="G30" s="8">
        <f>F30+'附表6'!C22+'附表6'!D22</f>
        <v/>
      </c>
      <c r="H30" s="8" t="n">
        <v>0</v>
      </c>
      <c r="I30" s="8">
        <f>MAX(E30-H30,0)</f>
        <v/>
      </c>
      <c r="J30" s="8" t="n">
        <v>23.36</v>
      </c>
      <c r="K30" s="8">
        <f>E30-J30</f>
        <v/>
      </c>
      <c r="L30" s="8">
        <f>R29</f>
        <v/>
      </c>
      <c r="M30" s="8">
        <f>L30+K30</f>
        <v/>
      </c>
      <c r="N30" s="8">
        <f>MAX(K30,0)*10%</f>
        <v/>
      </c>
      <c r="O30" s="8">
        <f>M30-N30</f>
        <v/>
      </c>
      <c r="R30" s="8">
        <f>O30-N(P30)-N(Q30)</f>
        <v/>
      </c>
    </row>
    <row r="31">
      <c r="A31" s="8" t="n">
        <v>8</v>
      </c>
      <c r="B31" s="8">
        <f>'附表5'!B23</f>
        <v/>
      </c>
      <c r="C31" s="8">
        <f>'附表6'!F23</f>
        <v/>
      </c>
      <c r="D31" s="8">
        <f>'附表5'!E23</f>
        <v/>
      </c>
      <c r="E31" s="8">
        <f>B31-C31-D31</f>
        <v/>
      </c>
      <c r="F31" s="8">
        <f>E31+'附表6'!E23</f>
        <v/>
      </c>
      <c r="G31" s="8">
        <f>F31+'附表6'!C23+'附表6'!D23</f>
        <v/>
      </c>
      <c r="H31" s="8" t="n">
        <v>0</v>
      </c>
      <c r="I31" s="8">
        <f>MAX(E31-H31,0)</f>
        <v/>
      </c>
      <c r="J31" s="8" t="n">
        <v>39.28</v>
      </c>
      <c r="K31" s="8">
        <f>E31-J31</f>
        <v/>
      </c>
      <c r="L31" s="8">
        <f>R30</f>
        <v/>
      </c>
      <c r="M31" s="8">
        <f>L31+K31</f>
        <v/>
      </c>
      <c r="N31" s="8">
        <f>MAX(K31,0)*10%</f>
        <v/>
      </c>
      <c r="O31" s="8">
        <f>M31-N31</f>
        <v/>
      </c>
      <c r="R31" s="8">
        <f>O31-N(P31)-N(Q31)</f>
        <v/>
      </c>
    </row>
    <row r="32">
      <c r="A32" s="8" t="n">
        <v>9</v>
      </c>
      <c r="B32" s="8">
        <f>'附表5'!B24</f>
        <v/>
      </c>
      <c r="C32" s="8">
        <f>'附表6'!F24</f>
        <v/>
      </c>
      <c r="D32" s="8">
        <f>'附表5'!E24</f>
        <v/>
      </c>
      <c r="E32" s="8">
        <f>B32-C32-D32</f>
        <v/>
      </c>
      <c r="F32" s="8">
        <f>E32+'附表6'!E24</f>
        <v/>
      </c>
      <c r="G32" s="8">
        <f>F32+'附表6'!C24+'附表6'!D24</f>
        <v/>
      </c>
      <c r="H32" s="8" t="n">
        <v>0</v>
      </c>
      <c r="I32" s="8">
        <f>MAX(E32-H32,0)</f>
        <v/>
      </c>
      <c r="J32" s="8" t="n">
        <v>55.2</v>
      </c>
      <c r="K32" s="8">
        <f>E32-J32</f>
        <v/>
      </c>
      <c r="L32" s="8">
        <f>R31</f>
        <v/>
      </c>
      <c r="M32" s="8">
        <f>L32+K32</f>
        <v/>
      </c>
      <c r="N32" s="8">
        <f>MAX(K32,0)*10%</f>
        <v/>
      </c>
      <c r="O32" s="8">
        <f>M32-N32</f>
        <v/>
      </c>
      <c r="R32" s="8">
        <f>O32-N(P32)-N(Q32)</f>
        <v/>
      </c>
    </row>
    <row r="33">
      <c r="A33" s="8" t="n">
        <v>10</v>
      </c>
      <c r="B33" s="8">
        <f>'附表5'!B25</f>
        <v/>
      </c>
      <c r="C33" s="8">
        <f>'附表6'!F25</f>
        <v/>
      </c>
      <c r="D33" s="8">
        <f>'附表5'!E25</f>
        <v/>
      </c>
      <c r="E33" s="8">
        <f>B33-C33-D33</f>
        <v/>
      </c>
      <c r="F33" s="8">
        <f>E33+'附表6'!E25</f>
        <v/>
      </c>
      <c r="G33" s="8">
        <f>F33+'附表6'!C25+'附表6'!D25</f>
        <v/>
      </c>
      <c r="H33" s="8" t="n">
        <v>0</v>
      </c>
      <c r="I33" s="8">
        <f>MAX(E33-H33,0)</f>
        <v/>
      </c>
      <c r="J33" s="8" t="n">
        <v>71.12</v>
      </c>
      <c r="K33" s="8">
        <f>E33-J33</f>
        <v/>
      </c>
      <c r="L33" s="8">
        <f>R32</f>
        <v/>
      </c>
      <c r="M33" s="8">
        <f>L33+K33</f>
        <v/>
      </c>
      <c r="N33" s="8">
        <f>MAX(K33,0)*10%</f>
        <v/>
      </c>
      <c r="O33" s="8">
        <f>M33-N33</f>
        <v/>
      </c>
      <c r="R33" s="8">
        <f>O33-N(P33)-N(Q33)</f>
        <v/>
      </c>
    </row>
    <row r="34">
      <c r="A34" s="8" t="n">
        <v>11</v>
      </c>
      <c r="B34" s="8">
        <f>'附表5'!B26</f>
        <v/>
      </c>
      <c r="C34" s="8">
        <f>'附表6'!F26</f>
        <v/>
      </c>
      <c r="D34" s="8">
        <f>'附表5'!E26</f>
        <v/>
      </c>
      <c r="E34" s="8">
        <f>B34-C34-D34</f>
        <v/>
      </c>
      <c r="F34" s="8">
        <f>E34+'附表6'!E26</f>
        <v/>
      </c>
      <c r="G34" s="8">
        <f>F34+'附表6'!C26+'附表6'!D26</f>
        <v/>
      </c>
      <c r="H34" s="8" t="n">
        <v>0</v>
      </c>
      <c r="I34" s="8">
        <f>MAX(E34-H34,0)</f>
        <v/>
      </c>
      <c r="J34" s="8" t="n">
        <v>87.05</v>
      </c>
      <c r="K34" s="8">
        <f>E34-J34</f>
        <v/>
      </c>
      <c r="L34" s="8">
        <f>R33</f>
        <v/>
      </c>
      <c r="M34" s="8">
        <f>L34+K34</f>
        <v/>
      </c>
      <c r="N34" s="8">
        <f>MAX(K34,0)*10%</f>
        <v/>
      </c>
      <c r="O34" s="8">
        <f>M34-N34</f>
        <v/>
      </c>
      <c r="R34" s="8">
        <f>O34-N(P34)-N(Q34)</f>
        <v/>
      </c>
    </row>
    <row r="35">
      <c r="A35" s="8" t="n">
        <v>12</v>
      </c>
      <c r="B35" s="8">
        <f>'附表5'!B27</f>
        <v/>
      </c>
      <c r="C35" s="8">
        <f>'附表6'!F27</f>
        <v/>
      </c>
      <c r="D35" s="8">
        <f>'附表5'!E27</f>
        <v/>
      </c>
      <c r="E35" s="8">
        <f>B35-C35-D35</f>
        <v/>
      </c>
      <c r="F35" s="8">
        <f>E35+'附表6'!E27</f>
        <v/>
      </c>
      <c r="G35" s="8">
        <f>F35+'附表6'!C27+'附表6'!D27</f>
        <v/>
      </c>
      <c r="H35" s="8" t="n">
        <v>0</v>
      </c>
      <c r="I35" s="8">
        <f>MAX(E35-H35,0)</f>
        <v/>
      </c>
      <c r="J35" s="8" t="n">
        <v>102.97</v>
      </c>
      <c r="K35" s="8">
        <f>E35-J35</f>
        <v/>
      </c>
      <c r="L35" s="8">
        <f>R34</f>
        <v/>
      </c>
      <c r="M35" s="8">
        <f>L35+K35</f>
        <v/>
      </c>
      <c r="N35" s="8">
        <f>MAX(K35,0)*10%</f>
        <v/>
      </c>
      <c r="O35" s="8">
        <f>M35-N35</f>
        <v/>
      </c>
      <c r="R35" s="8">
        <f>O35-N(P35)-N(Q35)</f>
        <v/>
      </c>
    </row>
    <row r="36">
      <c r="A36" s="8" t="n">
        <v>13</v>
      </c>
      <c r="B36" s="8">
        <f>'附表5'!B28</f>
        <v/>
      </c>
      <c r="C36" s="8">
        <f>'附表6'!F28</f>
        <v/>
      </c>
      <c r="D36" s="8">
        <f>'附表5'!E28</f>
        <v/>
      </c>
      <c r="E36" s="8">
        <f>B36-C36-D36</f>
        <v/>
      </c>
      <c r="F36" s="8">
        <f>E36+'附表6'!E28</f>
        <v/>
      </c>
      <c r="G36" s="8">
        <f>F36+'附表6'!C28+'附表6'!D28</f>
        <v/>
      </c>
      <c r="H36" s="8" t="n">
        <v>0</v>
      </c>
      <c r="I36" s="8">
        <f>MAX(E36-H36,0)</f>
        <v/>
      </c>
      <c r="J36" s="8" t="n">
        <v>118.88</v>
      </c>
      <c r="K36" s="8">
        <f>E36-J36</f>
        <v/>
      </c>
      <c r="L36" s="8">
        <f>R35</f>
        <v/>
      </c>
      <c r="M36" s="8">
        <f>L36+K36</f>
        <v/>
      </c>
      <c r="N36" s="8">
        <f>MAX(K36,0)*10%</f>
        <v/>
      </c>
      <c r="O36" s="8">
        <f>M36-N36</f>
        <v/>
      </c>
      <c r="R36" s="8">
        <f>O36-N(P36)-N(Q36)</f>
        <v/>
      </c>
    </row>
    <row r="37">
      <c r="A37" s="8" t="n">
        <v>14</v>
      </c>
      <c r="B37" s="8">
        <f>'附表5'!B29</f>
        <v/>
      </c>
      <c r="C37" s="8">
        <f>'附表6'!F29</f>
        <v/>
      </c>
      <c r="D37" s="8">
        <f>'附表5'!E29</f>
        <v/>
      </c>
      <c r="E37" s="8">
        <f>B37-C37-D37</f>
        <v/>
      </c>
      <c r="F37" s="8">
        <f>E37+'附表6'!E29</f>
        <v/>
      </c>
      <c r="G37" s="8">
        <f>F37+'附表6'!C29+'附表6'!D29</f>
        <v/>
      </c>
      <c r="H37" s="8" t="n">
        <v>0</v>
      </c>
      <c r="I37" s="8">
        <f>MAX(E37-H37,0)</f>
        <v/>
      </c>
      <c r="J37" s="8" t="n">
        <v>134.8</v>
      </c>
      <c r="K37" s="8">
        <f>E37-J37</f>
        <v/>
      </c>
      <c r="L37" s="8">
        <f>R36</f>
        <v/>
      </c>
      <c r="M37" s="8">
        <f>L37+K37</f>
        <v/>
      </c>
      <c r="N37" s="8">
        <f>MAX(K37,0)*10%</f>
        <v/>
      </c>
      <c r="O37" s="8">
        <f>M37-N37</f>
        <v/>
      </c>
      <c r="R37" s="8">
        <f>O37-N(P37)-N(Q37)</f>
        <v/>
      </c>
    </row>
    <row r="38">
      <c r="A38" s="8" t="n">
        <v>15</v>
      </c>
      <c r="B38" s="8">
        <f>'附表5'!B30</f>
        <v/>
      </c>
      <c r="C38" s="8">
        <f>'附表6'!F30</f>
        <v/>
      </c>
      <c r="D38" s="8">
        <f>'附表5'!E30</f>
        <v/>
      </c>
      <c r="E38" s="8">
        <f>B38-C38-D38</f>
        <v/>
      </c>
      <c r="F38" s="8">
        <f>E38+'附表6'!E30</f>
        <v/>
      </c>
      <c r="G38" s="8">
        <f>F38+'附表6'!C30+'附表6'!D30</f>
        <v/>
      </c>
      <c r="H38" s="8" t="n">
        <v>0</v>
      </c>
      <c r="I38" s="8">
        <f>MAX(E38-H38,0)</f>
        <v/>
      </c>
      <c r="J38" s="8" t="n">
        <v>150.72</v>
      </c>
      <c r="K38" s="8">
        <f>E38-J38</f>
        <v/>
      </c>
      <c r="L38" s="8">
        <f>R37</f>
        <v/>
      </c>
      <c r="M38" s="8">
        <f>L38+K38</f>
        <v/>
      </c>
      <c r="N38" s="8">
        <f>MAX(K38,0)*10%</f>
        <v/>
      </c>
      <c r="O38" s="8">
        <f>M38-N38</f>
        <v/>
      </c>
      <c r="R38" s="8">
        <f>O38-N(P38)-N(Q38)</f>
        <v/>
      </c>
    </row>
    <row r="39">
      <c r="A39" s="8" t="n">
        <v>16</v>
      </c>
      <c r="B39" s="8">
        <f>'附表5'!B31</f>
        <v/>
      </c>
      <c r="C39" s="8">
        <f>'附表6'!F31</f>
        <v/>
      </c>
      <c r="D39" s="8">
        <f>'附表5'!E31</f>
        <v/>
      </c>
      <c r="E39" s="8">
        <f>B39-C39-D39</f>
        <v/>
      </c>
      <c r="F39" s="8">
        <f>E39+'附表6'!E31</f>
        <v/>
      </c>
      <c r="G39" s="8">
        <f>F39+'附表6'!C31+'附表6'!D31</f>
        <v/>
      </c>
      <c r="H39" s="8" t="n">
        <v>0</v>
      </c>
      <c r="I39" s="8">
        <f>MAX(E39-H39,0)</f>
        <v/>
      </c>
      <c r="J39" s="8" t="n">
        <v>166.64</v>
      </c>
      <c r="K39" s="8">
        <f>E39-J39</f>
        <v/>
      </c>
      <c r="L39" s="8">
        <f>R38</f>
        <v/>
      </c>
      <c r="M39" s="8">
        <f>L39+K39</f>
        <v/>
      </c>
      <c r="N39" s="8">
        <f>MAX(K39,0)*10%</f>
        <v/>
      </c>
      <c r="O39" s="8">
        <f>M39-N39</f>
        <v/>
      </c>
      <c r="R39" s="8">
        <f>O39-N(P39)-N(Q39)</f>
        <v/>
      </c>
    </row>
    <row r="40">
      <c r="A40" s="8" t="n">
        <v>17</v>
      </c>
      <c r="B40" s="8">
        <f>'附表5'!B32</f>
        <v/>
      </c>
      <c r="C40" s="8">
        <f>'附表6'!F32</f>
        <v/>
      </c>
      <c r="D40" s="8">
        <f>'附表5'!E32</f>
        <v/>
      </c>
      <c r="E40" s="8">
        <f>B40-C40-D40</f>
        <v/>
      </c>
      <c r="F40" s="8">
        <f>E40+'附表6'!E32</f>
        <v/>
      </c>
      <c r="G40" s="8">
        <f>F40+'附表6'!C32+'附表6'!D32</f>
        <v/>
      </c>
      <c r="H40" s="8" t="n">
        <v>0</v>
      </c>
      <c r="I40" s="8">
        <f>MAX(E40-H40,0)</f>
        <v/>
      </c>
      <c r="J40" s="8" t="n">
        <v>166.64</v>
      </c>
      <c r="K40" s="8">
        <f>E40-J40</f>
        <v/>
      </c>
      <c r="L40" s="8">
        <f>R39</f>
        <v/>
      </c>
      <c r="M40" s="8">
        <f>L40+K40</f>
        <v/>
      </c>
      <c r="N40" s="8">
        <f>MAX(K40,0)*10%</f>
        <v/>
      </c>
      <c r="O40" s="8">
        <f>M40-N40</f>
        <v/>
      </c>
      <c r="R40" s="8">
        <f>O40-N(P40)-N(Q40)</f>
        <v/>
      </c>
    </row>
    <row r="41">
      <c r="A41" s="8" t="n">
        <v>18</v>
      </c>
      <c r="B41" s="8">
        <f>'附表5'!B33</f>
        <v/>
      </c>
      <c r="C41" s="8">
        <f>'附表6'!F33</f>
        <v/>
      </c>
      <c r="D41" s="8">
        <f>'附表5'!E33</f>
        <v/>
      </c>
      <c r="E41" s="8">
        <f>B41-C41-D41</f>
        <v/>
      </c>
      <c r="F41" s="8">
        <f>E41+'附表6'!E33</f>
        <v/>
      </c>
      <c r="G41" s="8">
        <f>F41+'附表6'!C33+'附表6'!D33</f>
        <v/>
      </c>
      <c r="H41" s="8" t="n">
        <v>0</v>
      </c>
      <c r="I41" s="8">
        <f>MAX(E41-H41,0)</f>
        <v/>
      </c>
      <c r="J41" s="8" t="n">
        <v>166.64</v>
      </c>
      <c r="K41" s="8">
        <f>E41-J41</f>
        <v/>
      </c>
      <c r="L41" s="8">
        <f>R40</f>
        <v/>
      </c>
      <c r="M41" s="8">
        <f>L41+K41</f>
        <v/>
      </c>
      <c r="N41" s="8">
        <f>MAX(K41,0)*10%</f>
        <v/>
      </c>
      <c r="O41" s="8">
        <f>M41-N41</f>
        <v/>
      </c>
      <c r="R41" s="8">
        <f>O41-N(P41)-N(Q41)</f>
        <v/>
      </c>
    </row>
    <row r="42">
      <c r="A42" s="8" t="n">
        <v>19</v>
      </c>
      <c r="B42" s="8">
        <f>'附表5'!B34</f>
        <v/>
      </c>
      <c r="C42" s="8">
        <f>'附表6'!F34</f>
        <v/>
      </c>
      <c r="D42" s="8">
        <f>'附表5'!E34</f>
        <v/>
      </c>
      <c r="E42" s="8">
        <f>B42-C42-D42</f>
        <v/>
      </c>
      <c r="F42" s="8">
        <f>E42+'附表6'!E34</f>
        <v/>
      </c>
      <c r="G42" s="8">
        <f>F42+'附表6'!C34+'附表6'!D34</f>
        <v/>
      </c>
      <c r="H42" s="8" t="n">
        <v>0</v>
      </c>
      <c r="I42" s="8">
        <f>MAX(E42-H42,0)</f>
        <v/>
      </c>
      <c r="J42" s="8" t="n">
        <v>166.64</v>
      </c>
      <c r="K42" s="8">
        <f>E42-J42</f>
        <v/>
      </c>
      <c r="L42" s="8">
        <f>R41</f>
        <v/>
      </c>
      <c r="M42" s="8">
        <f>L42+K42</f>
        <v/>
      </c>
      <c r="N42" s="8">
        <f>MAX(K42,0)*10%</f>
        <v/>
      </c>
      <c r="O42" s="8">
        <f>M42-N42</f>
        <v/>
      </c>
      <c r="R42" s="8">
        <f>O42-N(P42)-N(Q42)</f>
        <v/>
      </c>
    </row>
    <row r="43">
      <c r="A43" s="8" t="n">
        <v>20</v>
      </c>
      <c r="B43" s="8">
        <f>'附表5'!B35</f>
        <v/>
      </c>
      <c r="C43" s="8">
        <f>'附表6'!F35</f>
        <v/>
      </c>
      <c r="D43" s="8">
        <f>'附表5'!E35</f>
        <v/>
      </c>
      <c r="E43" s="8">
        <f>B43-C43-D43</f>
        <v/>
      </c>
      <c r="F43" s="8">
        <f>E43+'附表6'!E35</f>
        <v/>
      </c>
      <c r="G43" s="8">
        <f>F43+'附表6'!C35+'附表6'!D35</f>
        <v/>
      </c>
      <c r="H43" s="8" t="n">
        <v>0</v>
      </c>
      <c r="I43" s="8">
        <f>MAX(E43-H43,0)</f>
        <v/>
      </c>
      <c r="J43" s="8" t="n">
        <v>166.64</v>
      </c>
      <c r="K43" s="8">
        <f>E43-J43</f>
        <v/>
      </c>
      <c r="L43" s="8">
        <f>R42</f>
        <v/>
      </c>
      <c r="M43" s="8">
        <f>L43+K43</f>
        <v/>
      </c>
      <c r="N43" s="8">
        <f>MAX(K43,0)*10%</f>
        <v/>
      </c>
      <c r="O43" s="8">
        <f>M43-N43</f>
        <v/>
      </c>
      <c r="R43" s="8">
        <f>O43-N(P43)-N(Q43)</f>
        <v/>
      </c>
    </row>
    <row r="44">
      <c r="A44" s="8" t="n">
        <v>21</v>
      </c>
      <c r="B44" s="8">
        <f>'附表5'!B36</f>
        <v/>
      </c>
      <c r="C44" s="8">
        <f>'附表6'!F36</f>
        <v/>
      </c>
      <c r="D44" s="8">
        <f>'附表5'!E36</f>
        <v/>
      </c>
      <c r="E44" s="8">
        <f>B44-C44-D44</f>
        <v/>
      </c>
      <c r="F44" s="8">
        <f>E44+'附表6'!E36</f>
        <v/>
      </c>
      <c r="G44" s="8">
        <f>F44+'附表6'!C36+'附表6'!D36</f>
        <v/>
      </c>
      <c r="H44" s="8" t="n">
        <v>0</v>
      </c>
      <c r="I44" s="8">
        <f>MAX(E44-H44,0)</f>
        <v/>
      </c>
      <c r="J44" s="8" t="n">
        <v>668.5599999999999</v>
      </c>
      <c r="K44" s="8">
        <f>E44-J44</f>
        <v/>
      </c>
      <c r="L44" s="8">
        <f>R43</f>
        <v/>
      </c>
      <c r="M44" s="8">
        <f>L44+K44</f>
        <v/>
      </c>
      <c r="N44" s="8">
        <f>MAX(K44,0)*10%</f>
        <v/>
      </c>
      <c r="O44" s="8">
        <f>M44-N44</f>
        <v/>
      </c>
      <c r="R44" s="8">
        <f>O44-N(P44)-N(Q44)</f>
        <v/>
      </c>
    </row>
    <row r="45">
      <c r="A45" s="8" t="n">
        <v>22</v>
      </c>
      <c r="B45" s="8">
        <f>'附表5'!B37</f>
        <v/>
      </c>
      <c r="C45" s="8">
        <f>'附表6'!F37</f>
        <v/>
      </c>
      <c r="D45" s="8">
        <f>'附表5'!E37</f>
        <v/>
      </c>
      <c r="E45" s="8">
        <f>B45-C45-D45</f>
        <v/>
      </c>
      <c r="F45" s="8">
        <f>E45+'附表6'!E37</f>
        <v/>
      </c>
      <c r="G45" s="8">
        <f>F45+'附表6'!C37+'附表6'!D37</f>
        <v/>
      </c>
      <c r="H45" s="8" t="n">
        <v>0</v>
      </c>
      <c r="I45" s="8">
        <f>MAX(E45-H45,0)</f>
        <v/>
      </c>
      <c r="J45" s="8" t="n">
        <v>668.5599999999999</v>
      </c>
      <c r="K45" s="8">
        <f>E45-J45</f>
        <v/>
      </c>
      <c r="L45" s="8">
        <f>R44</f>
        <v/>
      </c>
      <c r="M45" s="8">
        <f>L45+K45</f>
        <v/>
      </c>
      <c r="N45" s="8">
        <f>MAX(K45,0)*10%</f>
        <v/>
      </c>
      <c r="O45" s="8">
        <f>M45-N45</f>
        <v/>
      </c>
      <c r="R45" s="8">
        <f>O45-N(P45)-N(Q45)</f>
        <v/>
      </c>
    </row>
    <row r="46">
      <c r="A46" s="8" t="n">
        <v>23</v>
      </c>
      <c r="B46" s="8">
        <f>'附表5'!B38</f>
        <v/>
      </c>
      <c r="C46" s="8">
        <f>'附表6'!F38</f>
        <v/>
      </c>
      <c r="D46" s="8">
        <f>'附表5'!E38</f>
        <v/>
      </c>
      <c r="E46" s="8">
        <f>B46-C46-D46</f>
        <v/>
      </c>
      <c r="F46" s="8">
        <f>E46+'附表6'!E38</f>
        <v/>
      </c>
      <c r="G46" s="8">
        <f>F46+'附表6'!C38+'附表6'!D38</f>
        <v/>
      </c>
      <c r="H46" s="8" t="n">
        <v>0</v>
      </c>
      <c r="I46" s="8">
        <f>MAX(E46-H46,0)</f>
        <v/>
      </c>
      <c r="J46" s="8" t="n">
        <v>668.5599999999999</v>
      </c>
      <c r="K46" s="8">
        <f>E46-J46</f>
        <v/>
      </c>
      <c r="L46" s="8">
        <f>R45</f>
        <v/>
      </c>
      <c r="M46" s="8">
        <f>L46+K46</f>
        <v/>
      </c>
      <c r="N46" s="8">
        <f>MAX(K46,0)*10%</f>
        <v/>
      </c>
      <c r="O46" s="8">
        <f>M46-N46</f>
        <v/>
      </c>
      <c r="R46" s="8">
        <f>O46-N(P46)-N(Q46)</f>
        <v/>
      </c>
    </row>
    <row r="47">
      <c r="A47" s="8" t="n">
        <v>24</v>
      </c>
      <c r="B47" s="8">
        <f>'附表5'!B39</f>
        <v/>
      </c>
      <c r="C47" s="8">
        <f>'附表6'!F39</f>
        <v/>
      </c>
      <c r="D47" s="8">
        <f>'附表5'!E39</f>
        <v/>
      </c>
      <c r="E47" s="8">
        <f>B47-C47-D47</f>
        <v/>
      </c>
      <c r="F47" s="8">
        <f>E47+'附表6'!E39</f>
        <v/>
      </c>
      <c r="G47" s="8">
        <f>F47+'附表6'!C39+'附表6'!D39</f>
        <v/>
      </c>
      <c r="H47" s="8" t="n">
        <v>0</v>
      </c>
      <c r="I47" s="8">
        <f>MAX(E47-H47,0)</f>
        <v/>
      </c>
      <c r="J47" s="8" t="n">
        <v>668.5599999999999</v>
      </c>
      <c r="K47" s="8">
        <f>E47-J47</f>
        <v/>
      </c>
      <c r="L47" s="8">
        <f>R46</f>
        <v/>
      </c>
      <c r="M47" s="8">
        <f>L47+K47</f>
        <v/>
      </c>
      <c r="N47" s="8">
        <f>MAX(K47,0)*10%</f>
        <v/>
      </c>
      <c r="O47" s="8">
        <f>M47-N47</f>
        <v/>
      </c>
      <c r="R47" s="8">
        <f>O47-N(P47)-N(Q47)</f>
        <v/>
      </c>
    </row>
    <row r="48">
      <c r="A48" t="inlineStr">
        <is>
          <t>说明1：structure_gaps: 行业变体未冻结(variant=flat_estimate, model=flat)</t>
        </is>
      </c>
    </row>
    <row r="49">
      <c r="A49" t="inlineStr">
        <is>
          <t>跨表依赖复核：附表5</t>
        </is>
      </c>
      <c r="B49" s="8">
        <f>'附表5'!A16</f>
        <v/>
      </c>
    </row>
    <row r="50">
      <c r="A50" t="inlineStr">
        <is>
          <t>跨表依赖复核：附表6</t>
        </is>
      </c>
      <c r="B50" s="8">
        <f>'附表6'!A16</f>
        <v/>
      </c>
    </row>
    <row r="51">
      <c r="A51" t="inlineStr">
        <is>
          <t>跨表依赖复核：附表6-2</t>
        </is>
      </c>
      <c r="B51" s="8">
        <f>'附表6-2'!A8</f>
        <v/>
      </c>
    </row>
    <row r="52">
      <c r="A52" t="inlineStr">
        <is>
          <t>跨表依赖复核：附表6-3</t>
        </is>
      </c>
      <c r="B52" s="8">
        <f>'附表6-3'!A8</f>
        <v/>
      </c>
    </row>
  </sheetData>
  <mergeCells count="1"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3" t="inlineStr">
        <is>
          <t>附表8 还款付息测算表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分年1</t>
        </is>
      </c>
      <c r="E3" s="4" t="inlineStr">
        <is>
          <t>分年2</t>
        </is>
      </c>
      <c r="F3" s="4" t="inlineStr">
        <is>
          <t>分年3</t>
        </is>
      </c>
      <c r="G3" s="4" t="inlineStr">
        <is>
          <t>分年4</t>
        </is>
      </c>
      <c r="H3" s="4" t="inlineStr">
        <is>
          <t>分年5</t>
        </is>
      </c>
      <c r="I3" s="4" t="inlineStr">
        <is>
          <t>分年6</t>
        </is>
      </c>
      <c r="J3" s="4" t="inlineStr">
        <is>
          <t>分年7</t>
        </is>
      </c>
      <c r="K3" s="4" t="inlineStr">
        <is>
          <t>分年8</t>
        </is>
      </c>
      <c r="L3" s="4" t="inlineStr">
        <is>
          <t>分年9</t>
        </is>
      </c>
      <c r="M3" s="4" t="inlineStr">
        <is>
          <t>分年10</t>
        </is>
      </c>
      <c r="N3" s="4" t="inlineStr">
        <is>
          <t>分年11</t>
        </is>
      </c>
      <c r="O3" s="4" t="inlineStr">
        <is>
          <t>分年12</t>
        </is>
      </c>
      <c r="P3" s="4" t="inlineStr">
        <is>
          <t>分年13</t>
        </is>
      </c>
      <c r="Q3" s="4" t="inlineStr">
        <is>
          <t>分年14</t>
        </is>
      </c>
      <c r="R3" s="4" t="inlineStr">
        <is>
          <t>分年15</t>
        </is>
      </c>
      <c r="S3" s="4" t="inlineStr">
        <is>
          <t>分年16</t>
        </is>
      </c>
      <c r="T3" s="4" t="inlineStr">
        <is>
          <t>分年17</t>
        </is>
      </c>
      <c r="U3" s="4" t="inlineStr">
        <is>
          <t>分年18</t>
        </is>
      </c>
      <c r="V3" s="4" t="inlineStr">
        <is>
          <t>分年19</t>
        </is>
      </c>
      <c r="W3" s="4" t="inlineStr">
        <is>
          <t>分年20</t>
        </is>
      </c>
      <c r="X3" s="4" t="inlineStr">
        <is>
          <t>分年21</t>
        </is>
      </c>
      <c r="Y3" s="4" t="inlineStr">
        <is>
          <t>分年22</t>
        </is>
      </c>
      <c r="Z3" s="4" t="inlineStr">
        <is>
          <t>分年23</t>
        </is>
      </c>
      <c r="AA3" s="4" t="inlineStr">
        <is>
          <t>分年24</t>
        </is>
      </c>
    </row>
    <row r="4">
      <c r="A4" s="5" t="inlineStr">
        <is>
          <t>1</t>
        </is>
      </c>
      <c r="B4" s="5" t="inlineStr">
        <is>
          <t>期初借款余额</t>
        </is>
      </c>
      <c r="C4" s="6">
        <f>AA4</f>
        <v/>
      </c>
      <c r="D4" s="6">
        <f>B24</f>
        <v/>
      </c>
      <c r="E4" s="6">
        <f>B25</f>
        <v/>
      </c>
      <c r="F4" s="6">
        <f>B26</f>
        <v/>
      </c>
      <c r="G4" s="6">
        <f>B27</f>
        <v/>
      </c>
      <c r="H4" s="6">
        <f>B28</f>
        <v/>
      </c>
      <c r="I4" s="6">
        <f>B29</f>
        <v/>
      </c>
      <c r="J4" s="6">
        <f>B30</f>
        <v/>
      </c>
      <c r="K4" s="6">
        <f>B31</f>
        <v/>
      </c>
      <c r="L4" s="6">
        <f>B32</f>
        <v/>
      </c>
      <c r="M4" s="6">
        <f>B33</f>
        <v/>
      </c>
      <c r="N4" s="6">
        <f>B34</f>
        <v/>
      </c>
      <c r="O4" s="6">
        <f>B35</f>
        <v/>
      </c>
      <c r="P4" s="6">
        <f>B36</f>
        <v/>
      </c>
      <c r="Q4" s="6">
        <f>B37</f>
        <v/>
      </c>
      <c r="R4" s="6">
        <f>B38</f>
        <v/>
      </c>
      <c r="S4" s="6">
        <f>B39</f>
        <v/>
      </c>
      <c r="T4" s="6">
        <f>B40</f>
        <v/>
      </c>
      <c r="U4" s="6">
        <f>B41</f>
        <v/>
      </c>
      <c r="V4" s="6">
        <f>B42</f>
        <v/>
      </c>
      <c r="W4" s="6">
        <f>B43</f>
        <v/>
      </c>
      <c r="X4" s="6">
        <f>B44</f>
        <v/>
      </c>
      <c r="Y4" s="6">
        <f>B45</f>
        <v/>
      </c>
      <c r="Z4" s="6">
        <f>B46</f>
        <v/>
      </c>
      <c r="AA4" s="6">
        <f>B47</f>
        <v/>
      </c>
    </row>
    <row r="5">
      <c r="A5" s="5" t="inlineStr">
        <is>
          <t>2</t>
        </is>
      </c>
      <c r="B5" s="5" t="inlineStr">
        <is>
          <t>本年借款</t>
        </is>
      </c>
      <c r="C5" s="6">
        <f>SUM(D5,E5,F5,G5,H5,I5,J5,K5,L5,M5,N5,O5,P5,Q5,R5,S5,T5,U5,V5,W5,X5,Y5,Z5,AA5)</f>
        <v/>
      </c>
      <c r="D5" s="6">
        <f>C24</f>
        <v/>
      </c>
      <c r="E5" s="6">
        <f>C25</f>
        <v/>
      </c>
      <c r="F5" s="6">
        <f>C26</f>
        <v/>
      </c>
      <c r="G5" s="6">
        <f>C27</f>
        <v/>
      </c>
      <c r="H5" s="6">
        <f>C28</f>
        <v/>
      </c>
      <c r="I5" s="6">
        <f>C29</f>
        <v/>
      </c>
      <c r="J5" s="6">
        <f>C30</f>
        <v/>
      </c>
      <c r="K5" s="6">
        <f>C31</f>
        <v/>
      </c>
      <c r="L5" s="6">
        <f>C32</f>
        <v/>
      </c>
      <c r="M5" s="6">
        <f>C33</f>
        <v/>
      </c>
      <c r="N5" s="6">
        <f>C34</f>
        <v/>
      </c>
      <c r="O5" s="6">
        <f>C35</f>
        <v/>
      </c>
      <c r="P5" s="6">
        <f>C36</f>
        <v/>
      </c>
      <c r="Q5" s="6">
        <f>C37</f>
        <v/>
      </c>
      <c r="R5" s="6">
        <f>C38</f>
        <v/>
      </c>
      <c r="S5" s="6">
        <f>C39</f>
        <v/>
      </c>
      <c r="T5" s="6">
        <f>C40</f>
        <v/>
      </c>
      <c r="U5" s="6">
        <f>C41</f>
        <v/>
      </c>
      <c r="V5" s="6">
        <f>C42</f>
        <v/>
      </c>
      <c r="W5" s="6">
        <f>C43</f>
        <v/>
      </c>
      <c r="X5" s="6">
        <f>C44</f>
        <v/>
      </c>
      <c r="Y5" s="6">
        <f>C45</f>
        <v/>
      </c>
      <c r="Z5" s="6">
        <f>C46</f>
        <v/>
      </c>
      <c r="AA5" s="6">
        <f>C47</f>
        <v/>
      </c>
    </row>
    <row r="6">
      <c r="A6" s="5" t="inlineStr">
        <is>
          <t>3</t>
        </is>
      </c>
      <c r="B6" s="5" t="inlineStr">
        <is>
          <t>当期还本付息</t>
        </is>
      </c>
      <c r="C6" s="6">
        <f>SUM(D6,E6,F6,G6,H6,I6,J6,K6,L6,M6,N6,O6,P6,Q6,R6,S6,T6,U6,V6,W6,X6,Y6,Z6,AA6)</f>
        <v/>
      </c>
      <c r="D6" s="6">
        <f>G24</f>
        <v/>
      </c>
      <c r="E6" s="6">
        <f>G25</f>
        <v/>
      </c>
      <c r="F6" s="6">
        <f>G26</f>
        <v/>
      </c>
      <c r="G6" s="6">
        <f>G27</f>
        <v/>
      </c>
      <c r="H6" s="6">
        <f>G28</f>
        <v/>
      </c>
      <c r="I6" s="6">
        <f>G29</f>
        <v/>
      </c>
      <c r="J6" s="6">
        <f>G30</f>
        <v/>
      </c>
      <c r="K6" s="6">
        <f>G31</f>
        <v/>
      </c>
      <c r="L6" s="6">
        <f>G32</f>
        <v/>
      </c>
      <c r="M6" s="6">
        <f>G33</f>
        <v/>
      </c>
      <c r="N6" s="6">
        <f>G34</f>
        <v/>
      </c>
      <c r="O6" s="6">
        <f>G35</f>
        <v/>
      </c>
      <c r="P6" s="6">
        <f>G36</f>
        <v/>
      </c>
      <c r="Q6" s="6">
        <f>G37</f>
        <v/>
      </c>
      <c r="R6" s="6">
        <f>G38</f>
        <v/>
      </c>
      <c r="S6" s="6">
        <f>G39</f>
        <v/>
      </c>
      <c r="T6" s="6">
        <f>G40</f>
        <v/>
      </c>
      <c r="U6" s="6">
        <f>G41</f>
        <v/>
      </c>
      <c r="V6" s="6">
        <f>G42</f>
        <v/>
      </c>
      <c r="W6" s="6">
        <f>G43</f>
        <v/>
      </c>
      <c r="X6" s="6">
        <f>G44</f>
        <v/>
      </c>
      <c r="Y6" s="6">
        <f>G45</f>
        <v/>
      </c>
      <c r="Z6" s="6">
        <f>G46</f>
        <v/>
      </c>
      <c r="AA6" s="6">
        <f>G47</f>
        <v/>
      </c>
    </row>
    <row r="7">
      <c r="A7" s="5" t="inlineStr">
        <is>
          <t>3.1</t>
        </is>
      </c>
      <c r="B7" s="5" t="inlineStr">
        <is>
          <t>还本</t>
        </is>
      </c>
      <c r="C7" s="6">
        <f>SUM(D7,E7,F7,G7,H7,I7,J7,K7,L7,M7,N7,O7,P7,Q7,R7,S7,T7,U7,V7,W7,X7,Y7,Z7,AA7)</f>
        <v/>
      </c>
      <c r="D7" s="6">
        <f>E24</f>
        <v/>
      </c>
      <c r="E7" s="6">
        <f>E25</f>
        <v/>
      </c>
      <c r="F7" s="6">
        <f>E26</f>
        <v/>
      </c>
      <c r="G7" s="6">
        <f>E27</f>
        <v/>
      </c>
      <c r="H7" s="6">
        <f>E28</f>
        <v/>
      </c>
      <c r="I7" s="6">
        <f>E29</f>
        <v/>
      </c>
      <c r="J7" s="6">
        <f>E30</f>
        <v/>
      </c>
      <c r="K7" s="6">
        <f>E31</f>
        <v/>
      </c>
      <c r="L7" s="6">
        <f>E32</f>
        <v/>
      </c>
      <c r="M7" s="6">
        <f>E33</f>
        <v/>
      </c>
      <c r="N7" s="6">
        <f>E34</f>
        <v/>
      </c>
      <c r="O7" s="6">
        <f>E35</f>
        <v/>
      </c>
      <c r="P7" s="6">
        <f>E36</f>
        <v/>
      </c>
      <c r="Q7" s="6">
        <f>E37</f>
        <v/>
      </c>
      <c r="R7" s="6">
        <f>E38</f>
        <v/>
      </c>
      <c r="S7" s="6">
        <f>E39</f>
        <v/>
      </c>
      <c r="T7" s="6">
        <f>E40</f>
        <v/>
      </c>
      <c r="U7" s="6">
        <f>E41</f>
        <v/>
      </c>
      <c r="V7" s="6">
        <f>E42</f>
        <v/>
      </c>
      <c r="W7" s="6">
        <f>E43</f>
        <v/>
      </c>
      <c r="X7" s="6">
        <f>E44</f>
        <v/>
      </c>
      <c r="Y7" s="6">
        <f>E45</f>
        <v/>
      </c>
      <c r="Z7" s="6">
        <f>E46</f>
        <v/>
      </c>
      <c r="AA7" s="6">
        <f>E47</f>
        <v/>
      </c>
    </row>
    <row r="8">
      <c r="A8" s="5" t="inlineStr">
        <is>
          <t>3.2</t>
        </is>
      </c>
      <c r="B8" s="5" t="inlineStr">
        <is>
          <t>付息</t>
        </is>
      </c>
      <c r="C8" s="6">
        <f>SUM(D8,E8,F8,G8,H8,I8,J8,K8,L8,M8,N8,O8,P8,Q8,R8,S8,T8,U8,V8,W8,X8,Y8,Z8,AA8)</f>
        <v/>
      </c>
      <c r="D8" s="6">
        <f>F24</f>
        <v/>
      </c>
      <c r="E8" s="6">
        <f>F25</f>
        <v/>
      </c>
      <c r="F8" s="6">
        <f>F26</f>
        <v/>
      </c>
      <c r="G8" s="6">
        <f>F27</f>
        <v/>
      </c>
      <c r="H8" s="6">
        <f>F28</f>
        <v/>
      </c>
      <c r="I8" s="6">
        <f>F29</f>
        <v/>
      </c>
      <c r="J8" s="6">
        <f>F30</f>
        <v/>
      </c>
      <c r="K8" s="6">
        <f>F31</f>
        <v/>
      </c>
      <c r="L8" s="6">
        <f>F32</f>
        <v/>
      </c>
      <c r="M8" s="6">
        <f>F33</f>
        <v/>
      </c>
      <c r="N8" s="6">
        <f>F34</f>
        <v/>
      </c>
      <c r="O8" s="6">
        <f>F35</f>
        <v/>
      </c>
      <c r="P8" s="6">
        <f>F36</f>
        <v/>
      </c>
      <c r="Q8" s="6">
        <f>F37</f>
        <v/>
      </c>
      <c r="R8" s="6">
        <f>F38</f>
        <v/>
      </c>
      <c r="S8" s="6">
        <f>F39</f>
        <v/>
      </c>
      <c r="T8" s="6">
        <f>F40</f>
        <v/>
      </c>
      <c r="U8" s="6">
        <f>F41</f>
        <v/>
      </c>
      <c r="V8" s="6">
        <f>F42</f>
        <v/>
      </c>
      <c r="W8" s="6">
        <f>F43</f>
        <v/>
      </c>
      <c r="X8" s="6">
        <f>F44</f>
        <v/>
      </c>
      <c r="Y8" s="6">
        <f>F45</f>
        <v/>
      </c>
      <c r="Z8" s="6">
        <f>F46</f>
        <v/>
      </c>
      <c r="AA8" s="6">
        <f>F47</f>
        <v/>
      </c>
    </row>
    <row r="9">
      <c r="A9" s="5" t="inlineStr">
        <is>
          <t>4</t>
        </is>
      </c>
      <c r="B9" s="5" t="inlineStr">
        <is>
          <t>期末借款余额</t>
        </is>
      </c>
      <c r="C9" s="6">
        <f>AA9</f>
        <v/>
      </c>
      <c r="D9" s="6">
        <f>H24</f>
        <v/>
      </c>
      <c r="E9" s="6">
        <f>H25</f>
        <v/>
      </c>
      <c r="F9" s="6">
        <f>H26</f>
        <v/>
      </c>
      <c r="G9" s="6">
        <f>H27</f>
        <v/>
      </c>
      <c r="H9" s="6">
        <f>H28</f>
        <v/>
      </c>
      <c r="I9" s="6">
        <f>H29</f>
        <v/>
      </c>
      <c r="J9" s="6">
        <f>H30</f>
        <v/>
      </c>
      <c r="K9" s="6">
        <f>H31</f>
        <v/>
      </c>
      <c r="L9" s="6">
        <f>H32</f>
        <v/>
      </c>
      <c r="M9" s="6">
        <f>H33</f>
        <v/>
      </c>
      <c r="N9" s="6">
        <f>H34</f>
        <v/>
      </c>
      <c r="O9" s="6">
        <f>H35</f>
        <v/>
      </c>
      <c r="P9" s="6">
        <f>H36</f>
        <v/>
      </c>
      <c r="Q9" s="6">
        <f>H37</f>
        <v/>
      </c>
      <c r="R9" s="6">
        <f>H38</f>
        <v/>
      </c>
      <c r="S9" s="6">
        <f>H39</f>
        <v/>
      </c>
      <c r="T9" s="6">
        <f>H40</f>
        <v/>
      </c>
      <c r="U9" s="6">
        <f>H41</f>
        <v/>
      </c>
      <c r="V9" s="6">
        <f>H42</f>
        <v/>
      </c>
      <c r="W9" s="6">
        <f>H43</f>
        <v/>
      </c>
      <c r="X9" s="6">
        <f>H44</f>
        <v/>
      </c>
      <c r="Y9" s="6">
        <f>H45</f>
        <v/>
      </c>
      <c r="Z9" s="6">
        <f>H46</f>
        <v/>
      </c>
      <c r="AA9" s="6">
        <f>H47</f>
        <v/>
      </c>
    </row>
    <row r="10">
      <c r="A10" s="5" t="inlineStr">
        <is>
          <t>5</t>
        </is>
      </c>
      <c r="B10" s="5" t="inlineStr">
        <is>
          <t>偿债资金来源（可用）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5" t="inlineStr">
        <is>
          <t>5.1</t>
        </is>
      </c>
      <c r="B11" s="5" t="inlineStr">
        <is>
          <t>可供投资者分配的利润</t>
        </is>
      </c>
      <c r="C11" s="6">
        <f>SUM(D11,E11,F11,G11,H11,I11,J11,K11,L11,M11,N11,O11,P11,Q11,R11,S11,T11,U11,V11,W11,X11,Y11,Z11,AA11)</f>
        <v/>
      </c>
      <c r="D11" s="6">
        <f>I24</f>
        <v/>
      </c>
      <c r="E11" s="6">
        <f>I25</f>
        <v/>
      </c>
      <c r="F11" s="6">
        <f>I26</f>
        <v/>
      </c>
      <c r="G11" s="6">
        <f>I27</f>
        <v/>
      </c>
      <c r="H11" s="6">
        <f>I28</f>
        <v/>
      </c>
      <c r="I11" s="6">
        <f>I29</f>
        <v/>
      </c>
      <c r="J11" s="6">
        <f>I30</f>
        <v/>
      </c>
      <c r="K11" s="6">
        <f>I31</f>
        <v/>
      </c>
      <c r="L11" s="6">
        <f>I32</f>
        <v/>
      </c>
      <c r="M11" s="6">
        <f>I33</f>
        <v/>
      </c>
      <c r="N11" s="6">
        <f>I34</f>
        <v/>
      </c>
      <c r="O11" s="6">
        <f>I35</f>
        <v/>
      </c>
      <c r="P11" s="6">
        <f>I36</f>
        <v/>
      </c>
      <c r="Q11" s="6">
        <f>I37</f>
        <v/>
      </c>
      <c r="R11" s="6">
        <f>I38</f>
        <v/>
      </c>
      <c r="S11" s="6">
        <f>I39</f>
        <v/>
      </c>
      <c r="T11" s="6">
        <f>I40</f>
        <v/>
      </c>
      <c r="U11" s="6">
        <f>I41</f>
        <v/>
      </c>
      <c r="V11" s="6">
        <f>I42</f>
        <v/>
      </c>
      <c r="W11" s="6">
        <f>I43</f>
        <v/>
      </c>
      <c r="X11" s="6">
        <f>I44</f>
        <v/>
      </c>
      <c r="Y11" s="6">
        <f>I45</f>
        <v/>
      </c>
      <c r="Z11" s="6">
        <f>I46</f>
        <v/>
      </c>
      <c r="AA11" s="6">
        <f>I47</f>
        <v/>
      </c>
    </row>
    <row r="12">
      <c r="A12" s="5" t="inlineStr">
        <is>
          <t>5.2</t>
        </is>
      </c>
      <c r="B12" s="5" t="inlineStr">
        <is>
          <t>折旧费</t>
        </is>
      </c>
      <c r="C12" s="6">
        <f>SUM(D12,E12,F12,G12,H12,I12,J12,K12,L12,M12,N12,O12,P12,Q12,R12,S12,T12,U12,V12,W12,X12,Y12,Z12,AA12)</f>
        <v/>
      </c>
      <c r="D12" s="6">
        <f>J24</f>
        <v/>
      </c>
      <c r="E12" s="6">
        <f>J25</f>
        <v/>
      </c>
      <c r="F12" s="6">
        <f>J26</f>
        <v/>
      </c>
      <c r="G12" s="6">
        <f>J27</f>
        <v/>
      </c>
      <c r="H12" s="6">
        <f>J28</f>
        <v/>
      </c>
      <c r="I12" s="6">
        <f>J29</f>
        <v/>
      </c>
      <c r="J12" s="6">
        <f>J30</f>
        <v/>
      </c>
      <c r="K12" s="6">
        <f>J31</f>
        <v/>
      </c>
      <c r="L12" s="6">
        <f>J32</f>
        <v/>
      </c>
      <c r="M12" s="6">
        <f>J33</f>
        <v/>
      </c>
      <c r="N12" s="6">
        <f>J34</f>
        <v/>
      </c>
      <c r="O12" s="6">
        <f>J35</f>
        <v/>
      </c>
      <c r="P12" s="6">
        <f>J36</f>
        <v/>
      </c>
      <c r="Q12" s="6">
        <f>J37</f>
        <v/>
      </c>
      <c r="R12" s="6">
        <f>J38</f>
        <v/>
      </c>
      <c r="S12" s="6">
        <f>J39</f>
        <v/>
      </c>
      <c r="T12" s="6">
        <f>J40</f>
        <v/>
      </c>
      <c r="U12" s="6">
        <f>J41</f>
        <v/>
      </c>
      <c r="V12" s="6">
        <f>J42</f>
        <v/>
      </c>
      <c r="W12" s="6">
        <f>J43</f>
        <v/>
      </c>
      <c r="X12" s="6">
        <f>J44</f>
        <v/>
      </c>
      <c r="Y12" s="6">
        <f>J45</f>
        <v/>
      </c>
      <c r="Z12" s="6">
        <f>J46</f>
        <v/>
      </c>
      <c r="AA12" s="6">
        <f>J47</f>
        <v/>
      </c>
    </row>
    <row r="13">
      <c r="A13" s="5" t="inlineStr">
        <is>
          <t>5.3</t>
        </is>
      </c>
      <c r="B13" s="5" t="inlineStr">
        <is>
          <t>摊销费</t>
        </is>
      </c>
      <c r="C13" s="6">
        <f>SUM(D13,E13,F13,G13,H13,I13,J13,K13,L13,M13,N13,O13,P13,Q13,R13,S13,T13,U13,V13,W13,X13,Y13,Z13,AA13)</f>
        <v/>
      </c>
      <c r="D13" s="6">
        <f>K24</f>
        <v/>
      </c>
      <c r="E13" s="6">
        <f>K25</f>
        <v/>
      </c>
      <c r="F13" s="6">
        <f>K26</f>
        <v/>
      </c>
      <c r="G13" s="6">
        <f>K27</f>
        <v/>
      </c>
      <c r="H13" s="6">
        <f>K28</f>
        <v/>
      </c>
      <c r="I13" s="6">
        <f>K29</f>
        <v/>
      </c>
      <c r="J13" s="6">
        <f>K30</f>
        <v/>
      </c>
      <c r="K13" s="6">
        <f>K31</f>
        <v/>
      </c>
      <c r="L13" s="6">
        <f>K32</f>
        <v/>
      </c>
      <c r="M13" s="6">
        <f>K33</f>
        <v/>
      </c>
      <c r="N13" s="6">
        <f>K34</f>
        <v/>
      </c>
      <c r="O13" s="6">
        <f>K35</f>
        <v/>
      </c>
      <c r="P13" s="6">
        <f>K36</f>
        <v/>
      </c>
      <c r="Q13" s="6">
        <f>K37</f>
        <v/>
      </c>
      <c r="R13" s="6">
        <f>K38</f>
        <v/>
      </c>
      <c r="S13" s="6">
        <f>K39</f>
        <v/>
      </c>
      <c r="T13" s="6">
        <f>K40</f>
        <v/>
      </c>
      <c r="U13" s="6">
        <f>K41</f>
        <v/>
      </c>
      <c r="V13" s="6">
        <f>K42</f>
        <v/>
      </c>
      <c r="W13" s="6">
        <f>K43</f>
        <v/>
      </c>
      <c r="X13" s="6">
        <f>K44</f>
        <v/>
      </c>
      <c r="Y13" s="6">
        <f>K45</f>
        <v/>
      </c>
      <c r="Z13" s="6">
        <f>K46</f>
        <v/>
      </c>
      <c r="AA13" s="6">
        <f>K47</f>
        <v/>
      </c>
    </row>
    <row r="14">
      <c r="A14" s="5" t="inlineStr">
        <is>
          <t>6</t>
        </is>
      </c>
      <c r="B14" s="5" t="inlineStr">
        <is>
          <t>实际用于偿债的资金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5" t="inlineStr">
        <is>
          <t>6.1</t>
        </is>
      </c>
      <c r="B15" s="5" t="inlineStr">
        <is>
          <t>实际使用利润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5" t="inlineStr">
        <is>
          <t>6.2</t>
        </is>
      </c>
      <c r="B16" s="5" t="inlineStr">
        <is>
          <t>实际使用折旧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5" t="inlineStr">
        <is>
          <t>6.3</t>
        </is>
      </c>
      <c r="B17" s="5" t="inlineStr">
        <is>
          <t>实际使用摊销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5" t="inlineStr">
        <is>
          <t>7</t>
        </is>
      </c>
      <c r="B18" s="5" t="inlineStr">
        <is>
          <t>偿债后剩余资金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5" t="inlineStr">
        <is>
          <t>8</t>
        </is>
      </c>
      <c r="B19" s="5" t="inlineStr">
        <is>
          <t>利息备付率（ICR）</t>
        </is>
      </c>
      <c r="C19" s="6">
        <f>AA19</f>
        <v/>
      </c>
      <c r="D19" s="6">
        <f>M24</f>
        <v/>
      </c>
      <c r="E19" s="6">
        <f>M25</f>
        <v/>
      </c>
      <c r="F19" s="6">
        <f>M26</f>
        <v/>
      </c>
      <c r="G19" s="6">
        <f>M27</f>
        <v/>
      </c>
      <c r="H19" s="6">
        <f>M28</f>
        <v/>
      </c>
      <c r="I19" s="6">
        <f>M29</f>
        <v/>
      </c>
      <c r="J19" s="6">
        <f>M30</f>
        <v/>
      </c>
      <c r="K19" s="6">
        <f>M31</f>
        <v/>
      </c>
      <c r="L19" s="6">
        <f>M32</f>
        <v/>
      </c>
      <c r="M19" s="6">
        <f>M33</f>
        <v/>
      </c>
      <c r="N19" s="6">
        <f>M34</f>
        <v/>
      </c>
      <c r="O19" s="6">
        <f>M35</f>
        <v/>
      </c>
      <c r="P19" s="6">
        <f>M36</f>
        <v/>
      </c>
      <c r="Q19" s="6">
        <f>M37</f>
        <v/>
      </c>
      <c r="R19" s="6">
        <f>M38</f>
        <v/>
      </c>
      <c r="S19" s="6">
        <f>M39</f>
        <v/>
      </c>
      <c r="T19" s="6">
        <f>M40</f>
        <v/>
      </c>
      <c r="U19" s="6">
        <f>M41</f>
        <v/>
      </c>
      <c r="V19" s="6">
        <f>M42</f>
        <v/>
      </c>
      <c r="W19" s="6">
        <f>M43</f>
        <v/>
      </c>
      <c r="X19" s="6">
        <f>M44</f>
        <v/>
      </c>
      <c r="Y19" s="6">
        <f>M45</f>
        <v/>
      </c>
      <c r="Z19" s="6">
        <f>M46</f>
        <v/>
      </c>
      <c r="AA19" s="6">
        <f>M47</f>
        <v/>
      </c>
    </row>
    <row r="20">
      <c r="A20" s="5" t="inlineStr">
        <is>
          <t>9</t>
        </is>
      </c>
      <c r="B20" s="5" t="inlineStr">
        <is>
          <t>偿债备付率（DSCR）</t>
        </is>
      </c>
      <c r="C20" s="6">
        <f>AA20</f>
        <v/>
      </c>
      <c r="D20" s="6">
        <f>L24</f>
        <v/>
      </c>
      <c r="E20" s="6">
        <f>L25</f>
        <v/>
      </c>
      <c r="F20" s="6">
        <f>L26</f>
        <v/>
      </c>
      <c r="G20" s="6">
        <f>L27</f>
        <v/>
      </c>
      <c r="H20" s="6">
        <f>L28</f>
        <v/>
      </c>
      <c r="I20" s="6">
        <f>L29</f>
        <v/>
      </c>
      <c r="J20" s="6">
        <f>L30</f>
        <v/>
      </c>
      <c r="K20" s="6">
        <f>L31</f>
        <v/>
      </c>
      <c r="L20" s="6">
        <f>L32</f>
        <v/>
      </c>
      <c r="M20" s="6">
        <f>L33</f>
        <v/>
      </c>
      <c r="N20" s="6">
        <f>L34</f>
        <v/>
      </c>
      <c r="O20" s="6">
        <f>L35</f>
        <v/>
      </c>
      <c r="P20" s="6">
        <f>L36</f>
        <v/>
      </c>
      <c r="Q20" s="6">
        <f>L37</f>
        <v/>
      </c>
      <c r="R20" s="6">
        <f>L38</f>
        <v/>
      </c>
      <c r="S20" s="6">
        <f>L39</f>
        <v/>
      </c>
      <c r="T20" s="6">
        <f>L40</f>
        <v/>
      </c>
      <c r="U20" s="6">
        <f>L41</f>
        <v/>
      </c>
      <c r="V20" s="6">
        <f>L42</f>
        <v/>
      </c>
      <c r="W20" s="6">
        <f>L43</f>
        <v/>
      </c>
      <c r="X20" s="6">
        <f>L44</f>
        <v/>
      </c>
      <c r="Y20" s="6">
        <f>L45</f>
        <v/>
      </c>
      <c r="Z20" s="6">
        <f>L46</f>
        <v/>
      </c>
      <c r="AA20" s="6">
        <f>L47</f>
        <v/>
      </c>
    </row>
    <row r="21"/>
    <row r="22">
      <c r="A22" t="inlineStr">
        <is>
          <t>引擎逐年计算区（供公式与跨表追溯）</t>
        </is>
      </c>
    </row>
    <row r="23">
      <c r="A23" s="7" t="inlineStr">
        <is>
          <t>运营年</t>
        </is>
      </c>
      <c r="B23" s="7" t="inlineStr">
        <is>
          <t>期初借款余额</t>
        </is>
      </c>
      <c r="C23" s="7" t="inlineStr">
        <is>
          <t>本年借款</t>
        </is>
      </c>
      <c r="D23" s="7" t="inlineStr">
        <is>
          <t>年利率(%)</t>
        </is>
      </c>
      <c r="E23" s="7" t="inlineStr">
        <is>
          <t>当期还本</t>
        </is>
      </c>
      <c r="F23" s="7" t="inlineStr">
        <is>
          <t>当期付息</t>
        </is>
      </c>
      <c r="G23" s="7" t="inlineStr">
        <is>
          <t>当期还本付息</t>
        </is>
      </c>
      <c r="H23" s="7" t="inlineStr">
        <is>
          <t>期末借款余额</t>
        </is>
      </c>
      <c r="I23" s="7" t="inlineStr">
        <is>
          <t>偿债资金来源-利润</t>
        </is>
      </c>
      <c r="J23" s="7" t="inlineStr">
        <is>
          <t>偿债资金来源-折旧费</t>
        </is>
      </c>
      <c r="K23" s="7" t="inlineStr">
        <is>
          <t>偿债资金来源-摊销费</t>
        </is>
      </c>
      <c r="L23" s="7" t="inlineStr">
        <is>
          <t>偿债备付率(DSCR)</t>
        </is>
      </c>
      <c r="M23" s="7" t="inlineStr">
        <is>
          <t>利息备付率(ICR)</t>
        </is>
      </c>
    </row>
    <row r="24">
      <c r="A24" s="8" t="n">
        <v>1</v>
      </c>
      <c r="B24" s="8" t="n">
        <v>29849.4</v>
      </c>
      <c r="D24" s="8" t="n">
        <v>0.032</v>
      </c>
      <c r="E24" s="8" t="n">
        <v>1989.96</v>
      </c>
      <c r="F24" s="8">
        <f>B24*D24</f>
        <v/>
      </c>
      <c r="G24" s="8">
        <f>E24+F24</f>
        <v/>
      </c>
      <c r="H24" s="8">
        <f>MAX(B24-E24,0)</f>
        <v/>
      </c>
      <c r="L24" s="8">
        <f>IF(G24&gt;0,SUM(I24,J24,K24)/G24,"")</f>
        <v/>
      </c>
      <c r="M24" s="8">
        <f>IF(F24&gt;0,'附表7'!F24/F24,"")</f>
        <v/>
      </c>
    </row>
    <row r="25">
      <c r="A25" s="8" t="n">
        <v>2</v>
      </c>
      <c r="B25" s="8">
        <f>H24</f>
        <v/>
      </c>
      <c r="D25" s="8" t="n">
        <v>0.032</v>
      </c>
      <c r="E25" s="8" t="n">
        <v>1989.96</v>
      </c>
      <c r="F25" s="8">
        <f>B25*D25</f>
        <v/>
      </c>
      <c r="G25" s="8">
        <f>E25+F25</f>
        <v/>
      </c>
      <c r="H25" s="8">
        <f>MAX(B25-E25,0)</f>
        <v/>
      </c>
      <c r="L25" s="8">
        <f>IF(G25&gt;0,SUM(I25,J25,K25)/G25,"")</f>
        <v/>
      </c>
      <c r="M25" s="8">
        <f>IF(F25&gt;0,'附表7'!F25/F25,"")</f>
        <v/>
      </c>
    </row>
    <row r="26">
      <c r="A26" s="8" t="n">
        <v>3</v>
      </c>
      <c r="B26" s="8">
        <f>H25</f>
        <v/>
      </c>
      <c r="D26" s="8" t="n">
        <v>0.032</v>
      </c>
      <c r="E26" s="8" t="n">
        <v>1989.96</v>
      </c>
      <c r="F26" s="8">
        <f>B26*D26</f>
        <v/>
      </c>
      <c r="G26" s="8">
        <f>E26+F26</f>
        <v/>
      </c>
      <c r="H26" s="8">
        <f>MAX(B26-E26,0)</f>
        <v/>
      </c>
      <c r="L26" s="8">
        <f>IF(G26&gt;0,SUM(I26,J26,K26)/G26,"")</f>
        <v/>
      </c>
      <c r="M26" s="8">
        <f>IF(F26&gt;0,'附表7'!F26/F26,"")</f>
        <v/>
      </c>
    </row>
    <row r="27">
      <c r="A27" s="8" t="n">
        <v>4</v>
      </c>
      <c r="B27" s="8">
        <f>H26</f>
        <v/>
      </c>
      <c r="D27" s="8" t="n">
        <v>0.032</v>
      </c>
      <c r="E27" s="8" t="n">
        <v>1989.96</v>
      </c>
      <c r="F27" s="8">
        <f>B27*D27</f>
        <v/>
      </c>
      <c r="G27" s="8">
        <f>E27+F27</f>
        <v/>
      </c>
      <c r="H27" s="8">
        <f>MAX(B27-E27,0)</f>
        <v/>
      </c>
      <c r="L27" s="8">
        <f>IF(G27&gt;0,SUM(I27,J27,K27)/G27,"")</f>
        <v/>
      </c>
      <c r="M27" s="8">
        <f>IF(F27&gt;0,'附表7'!F27/F27,"")</f>
        <v/>
      </c>
    </row>
    <row r="28">
      <c r="A28" s="8" t="n">
        <v>5</v>
      </c>
      <c r="B28" s="8">
        <f>H27</f>
        <v/>
      </c>
      <c r="D28" s="8" t="n">
        <v>0.032</v>
      </c>
      <c r="E28" s="8" t="n">
        <v>1989.96</v>
      </c>
      <c r="F28" s="8">
        <f>B28*D28</f>
        <v/>
      </c>
      <c r="G28" s="8">
        <f>E28+F28</f>
        <v/>
      </c>
      <c r="H28" s="8">
        <f>MAX(B28-E28,0)</f>
        <v/>
      </c>
      <c r="L28" s="8">
        <f>IF(G28&gt;0,SUM(I28,J28,K28)/G28,"")</f>
        <v/>
      </c>
      <c r="M28" s="8">
        <f>IF(F28&gt;0,'附表7'!F28/F28,"")</f>
        <v/>
      </c>
    </row>
    <row r="29">
      <c r="A29" s="8" t="n">
        <v>6</v>
      </c>
      <c r="B29" s="8">
        <f>H28</f>
        <v/>
      </c>
      <c r="D29" s="8" t="n">
        <v>0.032</v>
      </c>
      <c r="E29" s="8" t="n">
        <v>1989.96</v>
      </c>
      <c r="F29" s="8">
        <f>B29*D29</f>
        <v/>
      </c>
      <c r="G29" s="8">
        <f>E29+F29</f>
        <v/>
      </c>
      <c r="H29" s="8">
        <f>MAX(B29-E29,0)</f>
        <v/>
      </c>
      <c r="L29" s="8">
        <f>IF(G29&gt;0,SUM(I29,J29,K29)/G29,"")</f>
        <v/>
      </c>
      <c r="M29" s="8">
        <f>IF(F29&gt;0,'附表7'!F29/F29,"")</f>
        <v/>
      </c>
    </row>
    <row r="30">
      <c r="A30" s="8" t="n">
        <v>7</v>
      </c>
      <c r="B30" s="8">
        <f>H29</f>
        <v/>
      </c>
      <c r="D30" s="8" t="n">
        <v>0.032</v>
      </c>
      <c r="E30" s="8" t="n">
        <v>1989.96</v>
      </c>
      <c r="F30" s="8">
        <f>B30*D30</f>
        <v/>
      </c>
      <c r="G30" s="8">
        <f>E30+F30</f>
        <v/>
      </c>
      <c r="H30" s="8">
        <f>MAX(B30-E30,0)</f>
        <v/>
      </c>
      <c r="L30" s="8">
        <f>IF(G30&gt;0,SUM(I30,J30,K30)/G30,"")</f>
        <v/>
      </c>
      <c r="M30" s="8">
        <f>IF(F30&gt;0,'附表7'!F30/F30,"")</f>
        <v/>
      </c>
    </row>
    <row r="31">
      <c r="A31" s="8" t="n">
        <v>8</v>
      </c>
      <c r="B31" s="8">
        <f>H30</f>
        <v/>
      </c>
      <c r="D31" s="8" t="n">
        <v>0.032</v>
      </c>
      <c r="E31" s="8" t="n">
        <v>1989.96</v>
      </c>
      <c r="F31" s="8">
        <f>B31*D31</f>
        <v/>
      </c>
      <c r="G31" s="8">
        <f>E31+F31</f>
        <v/>
      </c>
      <c r="H31" s="8">
        <f>MAX(B31-E31,0)</f>
        <v/>
      </c>
      <c r="L31" s="8">
        <f>IF(G31&gt;0,SUM(I31,J31,K31)/G31,"")</f>
        <v/>
      </c>
      <c r="M31" s="8">
        <f>IF(F31&gt;0,'附表7'!F31/F31,"")</f>
        <v/>
      </c>
    </row>
    <row r="32">
      <c r="A32" s="8" t="n">
        <v>9</v>
      </c>
      <c r="B32" s="8">
        <f>H31</f>
        <v/>
      </c>
      <c r="D32" s="8" t="n">
        <v>0.032</v>
      </c>
      <c r="E32" s="8" t="n">
        <v>1989.96</v>
      </c>
      <c r="F32" s="8">
        <f>B32*D32</f>
        <v/>
      </c>
      <c r="G32" s="8">
        <f>E32+F32</f>
        <v/>
      </c>
      <c r="H32" s="8">
        <f>MAX(B32-E32,0)</f>
        <v/>
      </c>
      <c r="L32" s="8">
        <f>IF(G32&gt;0,SUM(I32,J32,K32)/G32,"")</f>
        <v/>
      </c>
      <c r="M32" s="8">
        <f>IF(F32&gt;0,'附表7'!F32/F32,"")</f>
        <v/>
      </c>
    </row>
    <row r="33">
      <c r="A33" s="8" t="n">
        <v>10</v>
      </c>
      <c r="B33" s="8">
        <f>H32</f>
        <v/>
      </c>
      <c r="D33" s="8" t="n">
        <v>0.032</v>
      </c>
      <c r="E33" s="8" t="n">
        <v>1989.96</v>
      </c>
      <c r="F33" s="8">
        <f>B33*D33</f>
        <v/>
      </c>
      <c r="G33" s="8">
        <f>E33+F33</f>
        <v/>
      </c>
      <c r="H33" s="8">
        <f>MAX(B33-E33,0)</f>
        <v/>
      </c>
      <c r="L33" s="8">
        <f>IF(G33&gt;0,SUM(I33,J33,K33)/G33,"")</f>
        <v/>
      </c>
      <c r="M33" s="8">
        <f>IF(F33&gt;0,'附表7'!F33/F33,"")</f>
        <v/>
      </c>
    </row>
    <row r="34">
      <c r="A34" s="8" t="n">
        <v>11</v>
      </c>
      <c r="B34" s="8">
        <f>H33</f>
        <v/>
      </c>
      <c r="D34" s="8" t="n">
        <v>0.032</v>
      </c>
      <c r="E34" s="8" t="n">
        <v>1989.96</v>
      </c>
      <c r="F34" s="8">
        <f>B34*D34</f>
        <v/>
      </c>
      <c r="G34" s="8">
        <f>E34+F34</f>
        <v/>
      </c>
      <c r="H34" s="8">
        <f>MAX(B34-E34,0)</f>
        <v/>
      </c>
      <c r="L34" s="8">
        <f>IF(G34&gt;0,SUM(I34,J34,K34)/G34,"")</f>
        <v/>
      </c>
      <c r="M34" s="8">
        <f>IF(F34&gt;0,'附表7'!F34/F34,"")</f>
        <v/>
      </c>
    </row>
    <row r="35">
      <c r="A35" s="8" t="n">
        <v>12</v>
      </c>
      <c r="B35" s="8">
        <f>H34</f>
        <v/>
      </c>
      <c r="D35" s="8" t="n">
        <v>0.032</v>
      </c>
      <c r="E35" s="8" t="n">
        <v>1989.96</v>
      </c>
      <c r="F35" s="8">
        <f>B35*D35</f>
        <v/>
      </c>
      <c r="G35" s="8">
        <f>E35+F35</f>
        <v/>
      </c>
      <c r="H35" s="8">
        <f>MAX(B35-E35,0)</f>
        <v/>
      </c>
      <c r="L35" s="8">
        <f>IF(G35&gt;0,SUM(I35,J35,K35)/G35,"")</f>
        <v/>
      </c>
      <c r="M35" s="8">
        <f>IF(F35&gt;0,'附表7'!F35/F35,"")</f>
        <v/>
      </c>
    </row>
    <row r="36">
      <c r="A36" s="8" t="n">
        <v>13</v>
      </c>
      <c r="B36" s="8">
        <f>H35</f>
        <v/>
      </c>
      <c r="D36" s="8" t="n">
        <v>0.032</v>
      </c>
      <c r="E36" s="8" t="n">
        <v>1989.96</v>
      </c>
      <c r="F36" s="8">
        <f>B36*D36</f>
        <v/>
      </c>
      <c r="G36" s="8">
        <f>E36+F36</f>
        <v/>
      </c>
      <c r="H36" s="8">
        <f>MAX(B36-E36,0)</f>
        <v/>
      </c>
      <c r="L36" s="8">
        <f>IF(G36&gt;0,SUM(I36,J36,K36)/G36,"")</f>
        <v/>
      </c>
      <c r="M36" s="8">
        <f>IF(F36&gt;0,'附表7'!F36/F36,"")</f>
        <v/>
      </c>
    </row>
    <row r="37">
      <c r="A37" s="8" t="n">
        <v>14</v>
      </c>
      <c r="B37" s="8">
        <f>H36</f>
        <v/>
      </c>
      <c r="D37" s="8" t="n">
        <v>0.032</v>
      </c>
      <c r="E37" s="8" t="n">
        <v>1989.96</v>
      </c>
      <c r="F37" s="8">
        <f>B37*D37</f>
        <v/>
      </c>
      <c r="G37" s="8">
        <f>E37+F37</f>
        <v/>
      </c>
      <c r="H37" s="8">
        <f>MAX(B37-E37,0)</f>
        <v/>
      </c>
      <c r="L37" s="8">
        <f>IF(G37&gt;0,SUM(I37,J37,K37)/G37,"")</f>
        <v/>
      </c>
      <c r="M37" s="8">
        <f>IF(F37&gt;0,'附表7'!F37/F37,"")</f>
        <v/>
      </c>
    </row>
    <row r="38">
      <c r="A38" s="8" t="n">
        <v>15</v>
      </c>
      <c r="B38" s="8">
        <f>H37</f>
        <v/>
      </c>
      <c r="D38" s="8" t="n">
        <v>0.032</v>
      </c>
      <c r="E38" s="8" t="n">
        <v>1989.96</v>
      </c>
      <c r="F38" s="8">
        <f>B38*D38</f>
        <v/>
      </c>
      <c r="G38" s="8">
        <f>E38+F38</f>
        <v/>
      </c>
      <c r="H38" s="8">
        <f>MAX(B38-E38,0)</f>
        <v/>
      </c>
      <c r="L38" s="8">
        <f>IF(G38&gt;0,SUM(I38,J38,K38)/G38,"")</f>
        <v/>
      </c>
      <c r="M38" s="8">
        <f>IF(F38&gt;0,'附表7'!F38/F38,"")</f>
        <v/>
      </c>
    </row>
    <row r="39">
      <c r="A39" s="8" t="n">
        <v>16</v>
      </c>
      <c r="B39" s="8">
        <f>H38</f>
        <v/>
      </c>
      <c r="D39" s="8" t="n">
        <v>0.032</v>
      </c>
      <c r="E39" s="8" t="n">
        <v>0</v>
      </c>
      <c r="F39" s="8">
        <f>B39*D39</f>
        <v/>
      </c>
      <c r="G39" s="8">
        <f>E39+F39</f>
        <v/>
      </c>
      <c r="H39" s="8">
        <f>MAX(B39-E39,0)</f>
        <v/>
      </c>
      <c r="L39">
        <f>IF(G39&gt;0,SUM(I39,J39,K39)/G39,"")</f>
        <v/>
      </c>
      <c r="M39">
        <f>IF(F39&gt;0,'附表7'!F39/F39,"")</f>
        <v/>
      </c>
    </row>
    <row r="40">
      <c r="A40" s="8" t="n">
        <v>17</v>
      </c>
      <c r="B40" s="8">
        <f>H39</f>
        <v/>
      </c>
      <c r="D40" s="8" t="n">
        <v>0.032</v>
      </c>
      <c r="E40" s="8" t="n">
        <v>0</v>
      </c>
      <c r="F40" s="8">
        <f>B40*D40</f>
        <v/>
      </c>
      <c r="G40" s="8">
        <f>E40+F40</f>
        <v/>
      </c>
      <c r="H40" s="8">
        <f>MAX(B40-E40,0)</f>
        <v/>
      </c>
      <c r="L40">
        <f>IF(G40&gt;0,SUM(I40,J40,K40)/G40,"")</f>
        <v/>
      </c>
      <c r="M40">
        <f>IF(F40&gt;0,'附表7'!F40/F40,"")</f>
        <v/>
      </c>
    </row>
    <row r="41">
      <c r="A41" s="8" t="n">
        <v>18</v>
      </c>
      <c r="B41" s="8">
        <f>H40</f>
        <v/>
      </c>
      <c r="D41" s="8" t="n">
        <v>0.032</v>
      </c>
      <c r="E41" s="8" t="n">
        <v>0</v>
      </c>
      <c r="F41" s="8">
        <f>B41*D41</f>
        <v/>
      </c>
      <c r="G41" s="8">
        <f>E41+F41</f>
        <v/>
      </c>
      <c r="H41" s="8">
        <f>MAX(B41-E41,0)</f>
        <v/>
      </c>
      <c r="L41">
        <f>IF(G41&gt;0,SUM(I41,J41,K41)/G41,"")</f>
        <v/>
      </c>
      <c r="M41">
        <f>IF(F41&gt;0,'附表7'!F41/F41,"")</f>
        <v/>
      </c>
    </row>
    <row r="42">
      <c r="A42" s="8" t="n">
        <v>19</v>
      </c>
      <c r="B42" s="8">
        <f>H41</f>
        <v/>
      </c>
      <c r="D42" s="8" t="n">
        <v>0.032</v>
      </c>
      <c r="E42" s="8" t="n">
        <v>0</v>
      </c>
      <c r="F42" s="8">
        <f>B42*D42</f>
        <v/>
      </c>
      <c r="G42" s="8">
        <f>E42+F42</f>
        <v/>
      </c>
      <c r="H42" s="8">
        <f>MAX(B42-E42,0)</f>
        <v/>
      </c>
      <c r="L42">
        <f>IF(G42&gt;0,SUM(I42,J42,K42)/G42,"")</f>
        <v/>
      </c>
      <c r="M42">
        <f>IF(F42&gt;0,'附表7'!F42/F42,"")</f>
        <v/>
      </c>
    </row>
    <row r="43">
      <c r="A43" s="8" t="n">
        <v>20</v>
      </c>
      <c r="B43" s="8">
        <f>H42</f>
        <v/>
      </c>
      <c r="D43" s="8" t="n">
        <v>0.032</v>
      </c>
      <c r="E43" s="8" t="n">
        <v>0</v>
      </c>
      <c r="F43" s="8">
        <f>B43*D43</f>
        <v/>
      </c>
      <c r="G43" s="8">
        <f>E43+F43</f>
        <v/>
      </c>
      <c r="H43" s="8">
        <f>MAX(B43-E43,0)</f>
        <v/>
      </c>
      <c r="L43">
        <f>IF(G43&gt;0,SUM(I43,J43,K43)/G43,"")</f>
        <v/>
      </c>
      <c r="M43">
        <f>IF(F43&gt;0,'附表7'!F43/F43,"")</f>
        <v/>
      </c>
    </row>
    <row r="44">
      <c r="A44" s="8" t="n">
        <v>21</v>
      </c>
      <c r="B44" s="8">
        <f>H43</f>
        <v/>
      </c>
      <c r="D44" s="8" t="n">
        <v>0.032</v>
      </c>
      <c r="E44" s="8" t="n">
        <v>0</v>
      </c>
      <c r="F44" s="8">
        <f>B44*D44</f>
        <v/>
      </c>
      <c r="G44" s="8">
        <f>E44+F44</f>
        <v/>
      </c>
      <c r="H44" s="8">
        <f>MAX(B44-E44,0)</f>
        <v/>
      </c>
      <c r="L44">
        <f>IF(G44&gt;0,SUM(I44,J44,K44)/G44,"")</f>
        <v/>
      </c>
      <c r="M44">
        <f>IF(F44&gt;0,'附表7'!F44/F44,"")</f>
        <v/>
      </c>
    </row>
    <row r="45">
      <c r="A45" s="8" t="n">
        <v>22</v>
      </c>
      <c r="B45" s="8">
        <f>H44</f>
        <v/>
      </c>
      <c r="D45" s="8" t="n">
        <v>0.032</v>
      </c>
      <c r="E45" s="8" t="n">
        <v>0</v>
      </c>
      <c r="F45" s="8">
        <f>B45*D45</f>
        <v/>
      </c>
      <c r="G45" s="8">
        <f>E45+F45</f>
        <v/>
      </c>
      <c r="H45" s="8">
        <f>MAX(B45-E45,0)</f>
        <v/>
      </c>
      <c r="L45">
        <f>IF(G45&gt;0,SUM(I45,J45,K45)/G45,"")</f>
        <v/>
      </c>
      <c r="M45">
        <f>IF(F45&gt;0,'附表7'!F45/F45,"")</f>
        <v/>
      </c>
    </row>
    <row r="46">
      <c r="A46" s="8" t="n">
        <v>23</v>
      </c>
      <c r="B46" s="8">
        <f>H45</f>
        <v/>
      </c>
      <c r="D46" s="8" t="n">
        <v>0.032</v>
      </c>
      <c r="E46" s="8" t="n">
        <v>0</v>
      </c>
      <c r="F46" s="8">
        <f>B46*D46</f>
        <v/>
      </c>
      <c r="G46" s="8">
        <f>E46+F46</f>
        <v/>
      </c>
      <c r="H46" s="8">
        <f>MAX(B46-E46,0)</f>
        <v/>
      </c>
      <c r="L46">
        <f>IF(G46&gt;0,SUM(I46,J46,K46)/G46,"")</f>
        <v/>
      </c>
      <c r="M46">
        <f>IF(F46&gt;0,'附表7'!F46/F46,"")</f>
        <v/>
      </c>
    </row>
    <row r="47">
      <c r="A47" s="8" t="n">
        <v>24</v>
      </c>
      <c r="B47" s="8">
        <f>H46</f>
        <v/>
      </c>
      <c r="D47" s="8" t="n">
        <v>0.032</v>
      </c>
      <c r="E47" s="8" t="n">
        <v>0</v>
      </c>
      <c r="F47" s="8">
        <f>B47*D47</f>
        <v/>
      </c>
      <c r="G47" s="8">
        <f>E47+F47</f>
        <v/>
      </c>
      <c r="H47" s="8">
        <f>MAX(B47-E47,0)</f>
        <v/>
      </c>
      <c r="L47">
        <f>IF(G47&gt;0,SUM(I47,J47,K47)/G47,"")</f>
        <v/>
      </c>
      <c r="M47">
        <f>IF(F47&gt;0,'附表7'!F47/F47,"")</f>
        <v/>
      </c>
    </row>
    <row r="48">
      <c r="A48" t="inlineStr">
        <is>
          <t>说明1：structure_gaps: 偿债资金来源未绑定 confirmed fact_pack/已批准明细；禁止默认 75% 伪造；偿债资金来源的利润/折旧/摊销年度金额不完整；可用偿债资金合计不足以覆盖各年还本付息额；偿债来源父子不勾稽：可用/实际/剩余三组父子恒等式失败</t>
        </is>
      </c>
    </row>
    <row r="49">
      <c r="A49" t="inlineStr">
        <is>
          <t>跨表依赖复核：附表2</t>
        </is>
      </c>
      <c r="B49" s="8">
        <f>'附表2'!A14</f>
        <v/>
      </c>
    </row>
    <row r="50">
      <c r="A50" t="inlineStr">
        <is>
          <t>跨表依赖复核：附表6</t>
        </is>
      </c>
      <c r="B50" s="8">
        <f>'附表6'!A16</f>
        <v/>
      </c>
    </row>
    <row r="51">
      <c r="A51" t="inlineStr">
        <is>
          <t>跨表依赖复核：附表7</t>
        </is>
      </c>
      <c r="B51" s="8">
        <f>'附表7'!A24</f>
        <v/>
      </c>
    </row>
  </sheetData>
  <mergeCells count="1"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3" t="inlineStr">
        <is>
          <t>附表9 项目投资现金流量表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计算期0</t>
        </is>
      </c>
      <c r="E3" s="4" t="inlineStr">
        <is>
          <t>计算期1</t>
        </is>
      </c>
      <c r="F3" s="4" t="inlineStr">
        <is>
          <t>计算期2</t>
        </is>
      </c>
      <c r="G3" s="4" t="inlineStr">
        <is>
          <t>计算期3</t>
        </is>
      </c>
      <c r="H3" s="4" t="inlineStr">
        <is>
          <t>计算期4</t>
        </is>
      </c>
      <c r="I3" s="4" t="inlineStr">
        <is>
          <t>计算期5</t>
        </is>
      </c>
      <c r="J3" s="4" t="inlineStr">
        <is>
          <t>计算期6</t>
        </is>
      </c>
      <c r="K3" s="4" t="inlineStr">
        <is>
          <t>计算期7</t>
        </is>
      </c>
      <c r="L3" s="4" t="inlineStr">
        <is>
          <t>计算期8</t>
        </is>
      </c>
      <c r="M3" s="4" t="inlineStr">
        <is>
          <t>计算期9</t>
        </is>
      </c>
      <c r="N3" s="4" t="inlineStr">
        <is>
          <t>计算期10</t>
        </is>
      </c>
      <c r="O3" s="4" t="inlineStr">
        <is>
          <t>计算期11</t>
        </is>
      </c>
      <c r="P3" s="4" t="inlineStr">
        <is>
          <t>计算期12</t>
        </is>
      </c>
      <c r="Q3" s="4" t="inlineStr">
        <is>
          <t>计算期13</t>
        </is>
      </c>
      <c r="R3" s="4" t="inlineStr">
        <is>
          <t>计算期14</t>
        </is>
      </c>
      <c r="S3" s="4" t="inlineStr">
        <is>
          <t>计算期15</t>
        </is>
      </c>
      <c r="T3" s="4" t="inlineStr">
        <is>
          <t>计算期16</t>
        </is>
      </c>
      <c r="U3" s="4" t="inlineStr">
        <is>
          <t>计算期17</t>
        </is>
      </c>
      <c r="V3" s="4" t="inlineStr">
        <is>
          <t>计算期18</t>
        </is>
      </c>
      <c r="W3" s="4" t="inlineStr">
        <is>
          <t>计算期19</t>
        </is>
      </c>
      <c r="X3" s="4" t="inlineStr">
        <is>
          <t>计算期20</t>
        </is>
      </c>
      <c r="Y3" s="4" t="inlineStr">
        <is>
          <t>计算期21</t>
        </is>
      </c>
      <c r="Z3" s="4" t="inlineStr">
        <is>
          <t>计算期22</t>
        </is>
      </c>
      <c r="AA3" s="4" t="inlineStr">
        <is>
          <t>计算期23</t>
        </is>
      </c>
      <c r="AB3" s="4" t="inlineStr">
        <is>
          <t>计算期24</t>
        </is>
      </c>
    </row>
    <row r="4">
      <c r="A4" s="5" t="inlineStr">
        <is>
          <t>1</t>
        </is>
      </c>
      <c r="B4" s="5" t="inlineStr">
        <is>
          <t>现金流入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A5" s="5" t="inlineStr">
        <is>
          <t>1.1</t>
        </is>
      </c>
      <c r="B5" s="5" t="inlineStr">
        <is>
          <t>营业收入</t>
        </is>
      </c>
      <c r="C5" s="6">
        <f>SUM(D5,E5,F5,G5,H5,I5,J5,K5,L5,M5,N5,O5,P5,Q5,R5,S5,T5,U5,V5,W5,X5,Y5,Z5,AA5,AB5)</f>
        <v/>
      </c>
      <c r="D5" s="6">
        <f>C20</f>
        <v/>
      </c>
      <c r="E5" s="6">
        <f>C21</f>
        <v/>
      </c>
      <c r="F5" s="6">
        <f>C22</f>
        <v/>
      </c>
      <c r="G5" s="6">
        <f>C23</f>
        <v/>
      </c>
      <c r="H5" s="6">
        <f>C24</f>
        <v/>
      </c>
      <c r="I5" s="6">
        <f>C25</f>
        <v/>
      </c>
      <c r="J5" s="6">
        <f>C26</f>
        <v/>
      </c>
      <c r="K5" s="6">
        <f>C27</f>
        <v/>
      </c>
      <c r="L5" s="6">
        <f>C28</f>
        <v/>
      </c>
      <c r="M5" s="6">
        <f>C29</f>
        <v/>
      </c>
      <c r="N5" s="6">
        <f>C30</f>
        <v/>
      </c>
      <c r="O5" s="6">
        <f>C31</f>
        <v/>
      </c>
      <c r="P5" s="6">
        <f>C32</f>
        <v/>
      </c>
      <c r="Q5" s="6">
        <f>C33</f>
        <v/>
      </c>
      <c r="R5" s="6">
        <f>C34</f>
        <v/>
      </c>
      <c r="S5" s="6">
        <f>C35</f>
        <v/>
      </c>
      <c r="T5" s="6">
        <f>C36</f>
        <v/>
      </c>
      <c r="U5" s="6">
        <f>C37</f>
        <v/>
      </c>
      <c r="V5" s="6">
        <f>C38</f>
        <v/>
      </c>
      <c r="W5" s="6">
        <f>C39</f>
        <v/>
      </c>
      <c r="X5" s="6">
        <f>C40</f>
        <v/>
      </c>
      <c r="Y5" s="6">
        <f>C41</f>
        <v/>
      </c>
      <c r="Z5" s="6">
        <f>C42</f>
        <v/>
      </c>
      <c r="AA5" s="6">
        <f>C43</f>
        <v/>
      </c>
      <c r="AB5" s="6">
        <f>C44</f>
        <v/>
      </c>
    </row>
    <row r="6">
      <c r="A6" s="5" t="inlineStr">
        <is>
          <t>1.2</t>
        </is>
      </c>
      <c r="B6" s="5" t="inlineStr">
        <is>
          <t>回收固定资产余值</t>
        </is>
      </c>
      <c r="C6" s="6" t="n">
        <v>2113.34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2113.34</v>
      </c>
    </row>
    <row r="7">
      <c r="A7" s="5" t="inlineStr">
        <is>
          <t>1.3</t>
        </is>
      </c>
      <c r="B7" s="5" t="inlineStr">
        <is>
          <t>回收新增流动资金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</row>
    <row r="8">
      <c r="A8" s="5" t="inlineStr">
        <is>
          <t>2</t>
        </is>
      </c>
      <c r="B8" s="5" t="inlineStr">
        <is>
          <t>现金流出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5" t="inlineStr">
        <is>
          <t>2.1</t>
        </is>
      </c>
      <c r="B9" s="5" t="inlineStr">
        <is>
          <t>固定资产投资</t>
        </is>
      </c>
      <c r="C9" s="6">
        <f>SUM(D9,E9,F9,G9,H9,I9,J9,K9,L9,M9,N9,O9,P9,Q9,R9,S9,T9,U9,V9,W9,X9,Y9,Z9,AA9,AB9)</f>
        <v/>
      </c>
      <c r="D9" s="6">
        <f>G20</f>
        <v/>
      </c>
      <c r="E9" s="6">
        <f>G21</f>
        <v/>
      </c>
      <c r="F9" s="6">
        <f>G22</f>
        <v/>
      </c>
      <c r="G9" s="6">
        <f>G23</f>
        <v/>
      </c>
      <c r="H9" s="6">
        <f>G24</f>
        <v/>
      </c>
      <c r="I9" s="6">
        <f>G25</f>
        <v/>
      </c>
      <c r="J9" s="6">
        <f>G26</f>
        <v/>
      </c>
      <c r="K9" s="6">
        <f>G27</f>
        <v/>
      </c>
      <c r="L9" s="6">
        <f>G28</f>
        <v/>
      </c>
      <c r="M9" s="6">
        <f>G29</f>
        <v/>
      </c>
      <c r="N9" s="6">
        <f>G30</f>
        <v/>
      </c>
      <c r="O9" s="6">
        <f>G31</f>
        <v/>
      </c>
      <c r="P9" s="6">
        <f>G32</f>
        <v/>
      </c>
      <c r="Q9" s="6">
        <f>G33</f>
        <v/>
      </c>
      <c r="R9" s="6">
        <f>G34</f>
        <v/>
      </c>
      <c r="S9" s="6">
        <f>G35</f>
        <v/>
      </c>
      <c r="T9" s="6">
        <f>G36</f>
        <v/>
      </c>
      <c r="U9" s="6">
        <f>G37</f>
        <v/>
      </c>
      <c r="V9" s="6">
        <f>G38</f>
        <v/>
      </c>
      <c r="W9" s="6">
        <f>G39</f>
        <v/>
      </c>
      <c r="X9" s="6">
        <f>G40</f>
        <v/>
      </c>
      <c r="Y9" s="6">
        <f>G41</f>
        <v/>
      </c>
      <c r="Z9" s="6">
        <f>G42</f>
        <v/>
      </c>
      <c r="AA9" s="6">
        <f>G43</f>
        <v/>
      </c>
      <c r="AB9" s="6">
        <f>G44</f>
        <v/>
      </c>
    </row>
    <row r="10">
      <c r="A10" s="5" t="inlineStr">
        <is>
          <t>2.2</t>
        </is>
      </c>
      <c r="B10" s="5" t="inlineStr">
        <is>
          <t>新增铺底流动资金</t>
        </is>
      </c>
      <c r="C10" s="6">
        <f>SUM(D10,E10,F10,G10,H10,I10,J10,K10,L10,M10,N10,O10,P10,Q10,R10,S10,T10,U10,V10,W10,X10,Y10,Z10,AA10,AB10)</f>
        <v/>
      </c>
      <c r="D10" s="6">
        <f>H20</f>
        <v/>
      </c>
      <c r="E10" s="6">
        <f>H21</f>
        <v/>
      </c>
      <c r="F10" s="6">
        <f>H22</f>
        <v/>
      </c>
      <c r="G10" s="6">
        <f>H23</f>
        <v/>
      </c>
      <c r="H10" s="6">
        <f>H24</f>
        <v/>
      </c>
      <c r="I10" s="6">
        <f>H25</f>
        <v/>
      </c>
      <c r="J10" s="6">
        <f>H26</f>
        <v/>
      </c>
      <c r="K10" s="6">
        <f>H27</f>
        <v/>
      </c>
      <c r="L10" s="6">
        <f>H28</f>
        <v/>
      </c>
      <c r="M10" s="6">
        <f>H29</f>
        <v/>
      </c>
      <c r="N10" s="6">
        <f>H30</f>
        <v/>
      </c>
      <c r="O10" s="6">
        <f>H31</f>
        <v/>
      </c>
      <c r="P10" s="6">
        <f>H32</f>
        <v/>
      </c>
      <c r="Q10" s="6">
        <f>H33</f>
        <v/>
      </c>
      <c r="R10" s="6">
        <f>H34</f>
        <v/>
      </c>
      <c r="S10" s="6">
        <f>H35</f>
        <v/>
      </c>
      <c r="T10" s="6">
        <f>H36</f>
        <v/>
      </c>
      <c r="U10" s="6">
        <f>H37</f>
        <v/>
      </c>
      <c r="V10" s="6">
        <f>H38</f>
        <v/>
      </c>
      <c r="W10" s="6">
        <f>H39</f>
        <v/>
      </c>
      <c r="X10" s="6">
        <f>H40</f>
        <v/>
      </c>
      <c r="Y10" s="6">
        <f>H41</f>
        <v/>
      </c>
      <c r="Z10" s="6">
        <f>H42</f>
        <v/>
      </c>
      <c r="AA10" s="6">
        <f>H43</f>
        <v/>
      </c>
      <c r="AB10" s="6">
        <f>H44</f>
        <v/>
      </c>
    </row>
    <row r="11">
      <c r="A11" s="5" t="inlineStr">
        <is>
          <t>2.3</t>
        </is>
      </c>
      <c r="B11" s="5" t="inlineStr">
        <is>
          <t>经营成本</t>
        </is>
      </c>
      <c r="C11" s="6">
        <f>SUM(D11,E11,F11,G11,H11,I11,J11,K11,L11,M11,N11,O11,P11,Q11,R11,S11,T11,U11,V11,W11,X11,Y11,Z11,AA11,AB11)</f>
        <v/>
      </c>
      <c r="D11" s="6">
        <f>D20</f>
        <v/>
      </c>
      <c r="E11" s="6">
        <f>D21</f>
        <v/>
      </c>
      <c r="F11" s="6">
        <f>D22</f>
        <v/>
      </c>
      <c r="G11" s="6">
        <f>D23</f>
        <v/>
      </c>
      <c r="H11" s="6">
        <f>D24</f>
        <v/>
      </c>
      <c r="I11" s="6">
        <f>D25</f>
        <v/>
      </c>
      <c r="J11" s="6">
        <f>D26</f>
        <v/>
      </c>
      <c r="K11" s="6">
        <f>D27</f>
        <v/>
      </c>
      <c r="L11" s="6">
        <f>D28</f>
        <v/>
      </c>
      <c r="M11" s="6">
        <f>D29</f>
        <v/>
      </c>
      <c r="N11" s="6">
        <f>D30</f>
        <v/>
      </c>
      <c r="O11" s="6">
        <f>D31</f>
        <v/>
      </c>
      <c r="P11" s="6">
        <f>D32</f>
        <v/>
      </c>
      <c r="Q11" s="6">
        <f>D33</f>
        <v/>
      </c>
      <c r="R11" s="6">
        <f>D34</f>
        <v/>
      </c>
      <c r="S11" s="6">
        <f>D35</f>
        <v/>
      </c>
      <c r="T11" s="6">
        <f>D36</f>
        <v/>
      </c>
      <c r="U11" s="6">
        <f>D37</f>
        <v/>
      </c>
      <c r="V11" s="6">
        <f>D38</f>
        <v/>
      </c>
      <c r="W11" s="6">
        <f>D39</f>
        <v/>
      </c>
      <c r="X11" s="6">
        <f>D40</f>
        <v/>
      </c>
      <c r="Y11" s="6">
        <f>D41</f>
        <v/>
      </c>
      <c r="Z11" s="6">
        <f>D42</f>
        <v/>
      </c>
      <c r="AA11" s="6">
        <f>D43</f>
        <v/>
      </c>
      <c r="AB11" s="6">
        <f>D44</f>
        <v/>
      </c>
    </row>
    <row r="12">
      <c r="A12" s="5" t="inlineStr">
        <is>
          <t>2.4</t>
        </is>
      </c>
      <c r="B12" s="5" t="inlineStr">
        <is>
          <t>营业税金及附加</t>
        </is>
      </c>
      <c r="C12" s="6">
        <f>SUM(D12,E12,F12,G12,H12,I12,J12,K12,L12,M12,N12,O12,P12,Q12,R12,S12,T12,U12,V12,W12,X12,Y12,Z12,AA12,AB12)</f>
        <v/>
      </c>
      <c r="D12" s="6">
        <f>E20</f>
        <v/>
      </c>
      <c r="E12" s="6">
        <f>E21</f>
        <v/>
      </c>
      <c r="F12" s="6">
        <f>E22</f>
        <v/>
      </c>
      <c r="G12" s="6">
        <f>E23</f>
        <v/>
      </c>
      <c r="H12" s="6">
        <f>E24</f>
        <v/>
      </c>
      <c r="I12" s="6">
        <f>E25</f>
        <v/>
      </c>
      <c r="J12" s="6">
        <f>E26</f>
        <v/>
      </c>
      <c r="K12" s="6">
        <f>E27</f>
        <v/>
      </c>
      <c r="L12" s="6">
        <f>E28</f>
        <v/>
      </c>
      <c r="M12" s="6">
        <f>E29</f>
        <v/>
      </c>
      <c r="N12" s="6">
        <f>E30</f>
        <v/>
      </c>
      <c r="O12" s="6">
        <f>E31</f>
        <v/>
      </c>
      <c r="P12" s="6">
        <f>E32</f>
        <v/>
      </c>
      <c r="Q12" s="6">
        <f>E33</f>
        <v/>
      </c>
      <c r="R12" s="6">
        <f>E34</f>
        <v/>
      </c>
      <c r="S12" s="6">
        <f>E35</f>
        <v/>
      </c>
      <c r="T12" s="6">
        <f>E36</f>
        <v/>
      </c>
      <c r="U12" s="6">
        <f>E37</f>
        <v/>
      </c>
      <c r="V12" s="6">
        <f>E38</f>
        <v/>
      </c>
      <c r="W12" s="6">
        <f>E39</f>
        <v/>
      </c>
      <c r="X12" s="6">
        <f>E40</f>
        <v/>
      </c>
      <c r="Y12" s="6">
        <f>E41</f>
        <v/>
      </c>
      <c r="Z12" s="6">
        <f>E42</f>
        <v/>
      </c>
      <c r="AA12" s="6">
        <f>E43</f>
        <v/>
      </c>
      <c r="AB12" s="6">
        <f>E44</f>
        <v/>
      </c>
    </row>
    <row r="13">
      <c r="A13" s="5" t="inlineStr">
        <is>
          <t>2.5</t>
        </is>
      </c>
      <c r="B13" s="5" t="inlineStr">
        <is>
          <t>所得税</t>
        </is>
      </c>
      <c r="C13" s="6">
        <f>SUM(D13,E13,F13,G13,H13,I13,J13,K13,L13,M13,N13,O13,P13,Q13,R13,S13,T13,U13,V13,W13,X13,Y13,Z13,AA13,AB13)</f>
        <v/>
      </c>
      <c r="D13" s="6">
        <f>F20</f>
        <v/>
      </c>
      <c r="E13" s="6">
        <f>F21</f>
        <v/>
      </c>
      <c r="F13" s="6">
        <f>F22</f>
        <v/>
      </c>
      <c r="G13" s="6">
        <f>F23</f>
        <v/>
      </c>
      <c r="H13" s="6">
        <f>F24</f>
        <v/>
      </c>
      <c r="I13" s="6">
        <f>F25</f>
        <v/>
      </c>
      <c r="J13" s="6">
        <f>F26</f>
        <v/>
      </c>
      <c r="K13" s="6">
        <f>F27</f>
        <v/>
      </c>
      <c r="L13" s="6">
        <f>F28</f>
        <v/>
      </c>
      <c r="M13" s="6">
        <f>F29</f>
        <v/>
      </c>
      <c r="N13" s="6">
        <f>F30</f>
        <v/>
      </c>
      <c r="O13" s="6">
        <f>F31</f>
        <v/>
      </c>
      <c r="P13" s="6">
        <f>F32</f>
        <v/>
      </c>
      <c r="Q13" s="6">
        <f>F33</f>
        <v/>
      </c>
      <c r="R13" s="6">
        <f>F34</f>
        <v/>
      </c>
      <c r="S13" s="6">
        <f>F35</f>
        <v/>
      </c>
      <c r="T13" s="6">
        <f>F36</f>
        <v/>
      </c>
      <c r="U13" s="6">
        <f>F37</f>
        <v/>
      </c>
      <c r="V13" s="6">
        <f>F38</f>
        <v/>
      </c>
      <c r="W13" s="6">
        <f>F39</f>
        <v/>
      </c>
      <c r="X13" s="6">
        <f>F40</f>
        <v/>
      </c>
      <c r="Y13" s="6">
        <f>F41</f>
        <v/>
      </c>
      <c r="Z13" s="6">
        <f>F42</f>
        <v/>
      </c>
      <c r="AA13" s="6">
        <f>F43</f>
        <v/>
      </c>
      <c r="AB13" s="6">
        <f>F44</f>
        <v/>
      </c>
    </row>
    <row r="14">
      <c r="A14" s="5" t="inlineStr">
        <is>
          <t>3</t>
        </is>
      </c>
      <c r="B14" s="5" t="inlineStr">
        <is>
          <t>所得税前净现金流量</t>
        </is>
      </c>
      <c r="C14" s="6" t="n">
        <v>24028.35</v>
      </c>
      <c r="D14" s="6" t="n">
        <v>-42266.75</v>
      </c>
      <c r="E14" s="6" t="n">
        <v>2674.24</v>
      </c>
      <c r="F14" s="6" t="n">
        <v>2674.24</v>
      </c>
      <c r="G14" s="6" t="n">
        <v>2674.24</v>
      </c>
      <c r="H14" s="6" t="n">
        <v>2674.24</v>
      </c>
      <c r="I14" s="6" t="n">
        <v>2674.24</v>
      </c>
      <c r="J14" s="6" t="n">
        <v>2674.24</v>
      </c>
      <c r="K14" s="6" t="n">
        <v>2674.24</v>
      </c>
      <c r="L14" s="6" t="n">
        <v>2674.24</v>
      </c>
      <c r="M14" s="6" t="n">
        <v>2674.24</v>
      </c>
      <c r="N14" s="6" t="n">
        <v>2674.24</v>
      </c>
      <c r="O14" s="6" t="n">
        <v>2674.24</v>
      </c>
      <c r="P14" s="6" t="n">
        <v>2674.24</v>
      </c>
      <c r="Q14" s="6" t="n">
        <v>2674.24</v>
      </c>
      <c r="R14" s="6" t="n">
        <v>2674.24</v>
      </c>
      <c r="S14" s="6" t="n">
        <v>2674.24</v>
      </c>
      <c r="T14" s="6" t="n">
        <v>2674.24</v>
      </c>
      <c r="U14" s="6" t="n">
        <v>2674.24</v>
      </c>
      <c r="V14" s="6" t="n">
        <v>2674.24</v>
      </c>
      <c r="W14" s="6" t="n">
        <v>2674.24</v>
      </c>
      <c r="X14" s="6" t="n">
        <v>2674.24</v>
      </c>
      <c r="Y14" s="6" t="n">
        <v>2674.24</v>
      </c>
      <c r="Z14" s="6" t="n">
        <v>2674.24</v>
      </c>
      <c r="AA14" s="6" t="n">
        <v>2674.24</v>
      </c>
      <c r="AB14" s="6" t="n">
        <v>4787.58</v>
      </c>
    </row>
    <row r="15">
      <c r="A15" s="5" t="inlineStr">
        <is>
          <t>4</t>
        </is>
      </c>
      <c r="B15" s="5" t="inlineStr">
        <is>
          <t>所得税后净现金流量</t>
        </is>
      </c>
      <c r="C15" s="6">
        <f>SUM(D15,E15,F15,G15,H15,I15,J15,K15,L15,M15,N15,O15,P15,Q15,R15,S15,T15,U15,V15,W15,X15,Y15,Z15,AA15,AB15)</f>
        <v/>
      </c>
      <c r="D15" s="6">
        <f>J20</f>
        <v/>
      </c>
      <c r="E15" s="6">
        <f>J21</f>
        <v/>
      </c>
      <c r="F15" s="6">
        <f>J22</f>
        <v/>
      </c>
      <c r="G15" s="6">
        <f>J23</f>
        <v/>
      </c>
      <c r="H15" s="6">
        <f>J24</f>
        <v/>
      </c>
      <c r="I15" s="6">
        <f>J25</f>
        <v/>
      </c>
      <c r="J15" s="6">
        <f>J26</f>
        <v/>
      </c>
      <c r="K15" s="6">
        <f>J27</f>
        <v/>
      </c>
      <c r="L15" s="6">
        <f>J28</f>
        <v/>
      </c>
      <c r="M15" s="6">
        <f>J29</f>
        <v/>
      </c>
      <c r="N15" s="6">
        <f>J30</f>
        <v/>
      </c>
      <c r="O15" s="6">
        <f>J31</f>
        <v/>
      </c>
      <c r="P15" s="6">
        <f>J32</f>
        <v/>
      </c>
      <c r="Q15" s="6">
        <f>J33</f>
        <v/>
      </c>
      <c r="R15" s="6">
        <f>J34</f>
        <v/>
      </c>
      <c r="S15" s="6">
        <f>J35</f>
        <v/>
      </c>
      <c r="T15" s="6">
        <f>J36</f>
        <v/>
      </c>
      <c r="U15" s="6">
        <f>J37</f>
        <v/>
      </c>
      <c r="V15" s="6">
        <f>J38</f>
        <v/>
      </c>
      <c r="W15" s="6">
        <f>J39</f>
        <v/>
      </c>
      <c r="X15" s="6">
        <f>J40</f>
        <v/>
      </c>
      <c r="Y15" s="6">
        <f>J41</f>
        <v/>
      </c>
      <c r="Z15" s="6">
        <f>J42</f>
        <v/>
      </c>
      <c r="AA15" s="6">
        <f>J43</f>
        <v/>
      </c>
      <c r="AB15" s="6">
        <f>J44</f>
        <v/>
      </c>
    </row>
    <row r="16">
      <c r="A16" s="5" t="inlineStr">
        <is>
          <t>5</t>
        </is>
      </c>
      <c r="B16" s="5" t="inlineStr">
        <is>
          <t>累计所得税后净现金流量</t>
        </is>
      </c>
      <c r="C16" s="6">
        <f>AB16</f>
        <v/>
      </c>
      <c r="D16" s="6">
        <f>K20</f>
        <v/>
      </c>
      <c r="E16" s="6">
        <f>K21</f>
        <v/>
      </c>
      <c r="F16" s="6">
        <f>K22</f>
        <v/>
      </c>
      <c r="G16" s="6">
        <f>K23</f>
        <v/>
      </c>
      <c r="H16" s="6">
        <f>K24</f>
        <v/>
      </c>
      <c r="I16" s="6">
        <f>K25</f>
        <v/>
      </c>
      <c r="J16" s="6">
        <f>K26</f>
        <v/>
      </c>
      <c r="K16" s="6">
        <f>K27</f>
        <v/>
      </c>
      <c r="L16" s="6">
        <f>K28</f>
        <v/>
      </c>
      <c r="M16" s="6">
        <f>K29</f>
        <v/>
      </c>
      <c r="N16" s="6">
        <f>K30</f>
        <v/>
      </c>
      <c r="O16" s="6">
        <f>K31</f>
        <v/>
      </c>
      <c r="P16" s="6">
        <f>K32</f>
        <v/>
      </c>
      <c r="Q16" s="6">
        <f>K33</f>
        <v/>
      </c>
      <c r="R16" s="6">
        <f>K34</f>
        <v/>
      </c>
      <c r="S16" s="6">
        <f>K35</f>
        <v/>
      </c>
      <c r="T16" s="6">
        <f>K36</f>
        <v/>
      </c>
      <c r="U16" s="6">
        <f>K37</f>
        <v/>
      </c>
      <c r="V16" s="6">
        <f>K38</f>
        <v/>
      </c>
      <c r="W16" s="6">
        <f>K39</f>
        <v/>
      </c>
      <c r="X16" s="6">
        <f>K40</f>
        <v/>
      </c>
      <c r="Y16" s="6">
        <f>K41</f>
        <v/>
      </c>
      <c r="Z16" s="6">
        <f>K42</f>
        <v/>
      </c>
      <c r="AA16" s="6">
        <f>K43</f>
        <v/>
      </c>
      <c r="AB16" s="6">
        <f>K44</f>
        <v/>
      </c>
    </row>
    <row r="17"/>
    <row r="18">
      <c r="A18" t="inlineStr">
        <is>
          <t>引擎逐年计算区（供公式与跨表追溯）</t>
        </is>
      </c>
    </row>
    <row r="19">
      <c r="A19" s="7" t="inlineStr">
        <is>
          <t>计算期(年)</t>
        </is>
      </c>
      <c r="B19" s="7" t="inlineStr">
        <is>
          <t>阶段</t>
        </is>
      </c>
      <c r="C19" s="7" t="inlineStr">
        <is>
          <t>营业收入</t>
        </is>
      </c>
      <c r="D19" s="7" t="inlineStr">
        <is>
          <t>经营成本</t>
        </is>
      </c>
      <c r="E19" s="7" t="inlineStr">
        <is>
          <t>税金及附加</t>
        </is>
      </c>
      <c r="F19" s="7" t="inlineStr">
        <is>
          <t>调整所得税</t>
        </is>
      </c>
      <c r="G19" s="7" t="inlineStr">
        <is>
          <t>建设投资(含建设期利息)</t>
        </is>
      </c>
      <c r="H19" s="7" t="inlineStr">
        <is>
          <t>流动资金增加</t>
        </is>
      </c>
      <c r="I19" s="7" t="inlineStr">
        <is>
          <t>回收(流资+余值)</t>
        </is>
      </c>
      <c r="J19" s="7" t="inlineStr">
        <is>
          <t>净现金流</t>
        </is>
      </c>
      <c r="K19" s="7" t="inlineStr">
        <is>
          <t>累计净现金流</t>
        </is>
      </c>
    </row>
    <row r="20">
      <c r="A20" s="8" t="n">
        <v>0</v>
      </c>
      <c r="B20" t="inlineStr">
        <is>
          <t>建设期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>
        <f>SUM('附表1'!J4,'附表1'!J8,'附表1'!J9)*1</f>
        <v/>
      </c>
      <c r="H20" s="8" t="n">
        <v>0</v>
      </c>
      <c r="I20" s="8" t="n">
        <v>0</v>
      </c>
      <c r="J20" s="8" t="n">
        <v>-42266.75</v>
      </c>
      <c r="K20" s="8" t="n">
        <v>-42266.75</v>
      </c>
    </row>
    <row r="21">
      <c r="A21" s="8" t="n">
        <v>1</v>
      </c>
      <c r="B21" t="inlineStr">
        <is>
          <t>运营期</t>
        </is>
      </c>
      <c r="C21" s="8">
        <f>'附表5'!B16</f>
        <v/>
      </c>
      <c r="D21" s="8">
        <f>'附表6'!B16</f>
        <v/>
      </c>
      <c r="E21" s="8">
        <f>'附表5'!E16</f>
        <v/>
      </c>
      <c r="F21" s="8">
        <f>'附表5'!I16</f>
        <v/>
      </c>
      <c r="G21" s="8" t="n">
        <v>0</v>
      </c>
      <c r="H21" s="8">
        <f>'附表3'!B4</f>
        <v/>
      </c>
      <c r="I21" s="8" t="n">
        <v>0</v>
      </c>
      <c r="J21" s="8">
        <f>C21-D21-E21-F21-G21-H21+I21</f>
        <v/>
      </c>
      <c r="K21" s="8">
        <f>K20+J21</f>
        <v/>
      </c>
    </row>
    <row r="22">
      <c r="A22" s="8" t="n">
        <v>2</v>
      </c>
      <c r="B22" t="inlineStr">
        <is>
          <t>运营期</t>
        </is>
      </c>
      <c r="C22" s="8">
        <f>'附表5'!B17</f>
        <v/>
      </c>
      <c r="D22" s="8">
        <f>'附表6'!B17</f>
        <v/>
      </c>
      <c r="E22" s="8">
        <f>'附表5'!E17</f>
        <v/>
      </c>
      <c r="F22" s="8">
        <f>'附表5'!I17</f>
        <v/>
      </c>
      <c r="G22" s="8" t="n">
        <v>0</v>
      </c>
      <c r="H22" s="8" t="n">
        <v>0</v>
      </c>
      <c r="I22" s="8" t="n">
        <v>0</v>
      </c>
      <c r="J22" s="8">
        <f>C22-D22-E22-F22-G22-H22+I22</f>
        <v/>
      </c>
      <c r="K22" s="8">
        <f>K21+J22</f>
        <v/>
      </c>
    </row>
    <row r="23">
      <c r="A23" s="8" t="n">
        <v>3</v>
      </c>
      <c r="B23" t="inlineStr">
        <is>
          <t>运营期</t>
        </is>
      </c>
      <c r="C23" s="8">
        <f>'附表5'!B18</f>
        <v/>
      </c>
      <c r="D23" s="8">
        <f>'附表6'!B18</f>
        <v/>
      </c>
      <c r="E23" s="8">
        <f>'附表5'!E18</f>
        <v/>
      </c>
      <c r="F23" s="8">
        <f>'附表5'!I18</f>
        <v/>
      </c>
      <c r="G23" s="8" t="n">
        <v>0</v>
      </c>
      <c r="H23" s="8" t="n">
        <v>0</v>
      </c>
      <c r="I23" s="8" t="n">
        <v>0</v>
      </c>
      <c r="J23" s="8">
        <f>C23-D23-E23-F23-G23-H23+I23</f>
        <v/>
      </c>
      <c r="K23" s="8">
        <f>K22+J23</f>
        <v/>
      </c>
    </row>
    <row r="24">
      <c r="A24" s="8" t="n">
        <v>4</v>
      </c>
      <c r="B24" t="inlineStr">
        <is>
          <t>运营期</t>
        </is>
      </c>
      <c r="C24" s="8">
        <f>'附表5'!B19</f>
        <v/>
      </c>
      <c r="D24" s="8">
        <f>'附表6'!B19</f>
        <v/>
      </c>
      <c r="E24" s="8">
        <f>'附表5'!E19</f>
        <v/>
      </c>
      <c r="F24" s="8">
        <f>'附表5'!I19</f>
        <v/>
      </c>
      <c r="G24" s="8" t="n">
        <v>0</v>
      </c>
      <c r="H24" s="8" t="n">
        <v>0</v>
      </c>
      <c r="I24" s="8" t="n">
        <v>0</v>
      </c>
      <c r="J24" s="8">
        <f>C24-D24-E24-F24-G24-H24+I24</f>
        <v/>
      </c>
      <c r="K24" s="8">
        <f>K23+J24</f>
        <v/>
      </c>
    </row>
    <row r="25">
      <c r="A25" s="8" t="n">
        <v>5</v>
      </c>
      <c r="B25" t="inlineStr">
        <is>
          <t>运营期</t>
        </is>
      </c>
      <c r="C25" s="8">
        <f>'附表5'!B20</f>
        <v/>
      </c>
      <c r="D25" s="8">
        <f>'附表6'!B20</f>
        <v/>
      </c>
      <c r="E25" s="8">
        <f>'附表5'!E20</f>
        <v/>
      </c>
      <c r="F25" s="8">
        <f>'附表5'!I20</f>
        <v/>
      </c>
      <c r="G25" s="8" t="n">
        <v>0</v>
      </c>
      <c r="H25" s="8" t="n">
        <v>0</v>
      </c>
      <c r="I25" s="8" t="n">
        <v>0</v>
      </c>
      <c r="J25" s="8">
        <f>C25-D25-E25-F25-G25-H25+I25</f>
        <v/>
      </c>
      <c r="K25" s="8">
        <f>K24+J25</f>
        <v/>
      </c>
    </row>
    <row r="26">
      <c r="A26" s="8" t="n">
        <v>6</v>
      </c>
      <c r="B26" t="inlineStr">
        <is>
          <t>运营期</t>
        </is>
      </c>
      <c r="C26" s="8">
        <f>'附表5'!B21</f>
        <v/>
      </c>
      <c r="D26" s="8">
        <f>'附表6'!B21</f>
        <v/>
      </c>
      <c r="E26" s="8">
        <f>'附表5'!E21</f>
        <v/>
      </c>
      <c r="F26" s="8">
        <f>'附表5'!I21</f>
        <v/>
      </c>
      <c r="G26" s="8" t="n">
        <v>0</v>
      </c>
      <c r="H26" s="8" t="n">
        <v>0</v>
      </c>
      <c r="I26" s="8" t="n">
        <v>0</v>
      </c>
      <c r="J26" s="8">
        <f>C26-D26-E26-F26-G26-H26+I26</f>
        <v/>
      </c>
      <c r="K26" s="8">
        <f>K25+J26</f>
        <v/>
      </c>
    </row>
    <row r="27">
      <c r="A27" s="8" t="n">
        <v>7</v>
      </c>
      <c r="B27" t="inlineStr">
        <is>
          <t>运营期</t>
        </is>
      </c>
      <c r="C27" s="8">
        <f>'附表5'!B22</f>
        <v/>
      </c>
      <c r="D27" s="8">
        <f>'附表6'!B22</f>
        <v/>
      </c>
      <c r="E27" s="8">
        <f>'附表5'!E22</f>
        <v/>
      </c>
      <c r="F27" s="8">
        <f>'附表5'!I22</f>
        <v/>
      </c>
      <c r="G27" s="8" t="n">
        <v>0</v>
      </c>
      <c r="H27" s="8" t="n">
        <v>0</v>
      </c>
      <c r="I27" s="8" t="n">
        <v>0</v>
      </c>
      <c r="J27" s="8">
        <f>C27-D27-E27-F27-G27-H27+I27</f>
        <v/>
      </c>
      <c r="K27" s="8">
        <f>K26+J27</f>
        <v/>
      </c>
    </row>
    <row r="28">
      <c r="A28" s="8" t="n">
        <v>8</v>
      </c>
      <c r="B28" t="inlineStr">
        <is>
          <t>运营期</t>
        </is>
      </c>
      <c r="C28" s="8">
        <f>'附表5'!B23</f>
        <v/>
      </c>
      <c r="D28" s="8">
        <f>'附表6'!B23</f>
        <v/>
      </c>
      <c r="E28" s="8">
        <f>'附表5'!E23</f>
        <v/>
      </c>
      <c r="F28" s="8">
        <f>'附表5'!I23</f>
        <v/>
      </c>
      <c r="G28" s="8" t="n">
        <v>0</v>
      </c>
      <c r="H28" s="8" t="n">
        <v>0</v>
      </c>
      <c r="I28" s="8" t="n">
        <v>0</v>
      </c>
      <c r="J28" s="8">
        <f>C28-D28-E28-F28-G28-H28+I28</f>
        <v/>
      </c>
      <c r="K28" s="8">
        <f>K27+J28</f>
        <v/>
      </c>
    </row>
    <row r="29">
      <c r="A29" s="8" t="n">
        <v>9</v>
      </c>
      <c r="B29" t="inlineStr">
        <is>
          <t>运营期</t>
        </is>
      </c>
      <c r="C29" s="8">
        <f>'附表5'!B24</f>
        <v/>
      </c>
      <c r="D29" s="8">
        <f>'附表6'!B24</f>
        <v/>
      </c>
      <c r="E29" s="8">
        <f>'附表5'!E24</f>
        <v/>
      </c>
      <c r="F29" s="8">
        <f>'附表5'!I24</f>
        <v/>
      </c>
      <c r="G29" s="8" t="n">
        <v>0</v>
      </c>
      <c r="H29" s="8" t="n">
        <v>0</v>
      </c>
      <c r="I29" s="8" t="n">
        <v>0</v>
      </c>
      <c r="J29" s="8">
        <f>C29-D29-E29-F29-G29-H29+I29</f>
        <v/>
      </c>
      <c r="K29" s="8">
        <f>K28+J29</f>
        <v/>
      </c>
    </row>
    <row r="30">
      <c r="A30" s="8" t="n">
        <v>10</v>
      </c>
      <c r="B30" t="inlineStr">
        <is>
          <t>运营期</t>
        </is>
      </c>
      <c r="C30" s="8">
        <f>'附表5'!B25</f>
        <v/>
      </c>
      <c r="D30" s="8">
        <f>'附表6'!B25</f>
        <v/>
      </c>
      <c r="E30" s="8">
        <f>'附表5'!E25</f>
        <v/>
      </c>
      <c r="F30" s="8">
        <f>'附表5'!I25</f>
        <v/>
      </c>
      <c r="G30" s="8" t="n">
        <v>0</v>
      </c>
      <c r="H30" s="8" t="n">
        <v>0</v>
      </c>
      <c r="I30" s="8" t="n">
        <v>0</v>
      </c>
      <c r="J30" s="8">
        <f>C30-D30-E30-F30-G30-H30+I30</f>
        <v/>
      </c>
      <c r="K30" s="8">
        <f>K29+J30</f>
        <v/>
      </c>
    </row>
    <row r="31">
      <c r="A31" s="8" t="n">
        <v>11</v>
      </c>
      <c r="B31" t="inlineStr">
        <is>
          <t>运营期</t>
        </is>
      </c>
      <c r="C31" s="8">
        <f>'附表5'!B26</f>
        <v/>
      </c>
      <c r="D31" s="8">
        <f>'附表6'!B26</f>
        <v/>
      </c>
      <c r="E31" s="8">
        <f>'附表5'!E26</f>
        <v/>
      </c>
      <c r="F31" s="8">
        <f>'附表5'!I26</f>
        <v/>
      </c>
      <c r="G31" s="8" t="n">
        <v>0</v>
      </c>
      <c r="H31" s="8" t="n">
        <v>0</v>
      </c>
      <c r="I31" s="8" t="n">
        <v>0</v>
      </c>
      <c r="J31" s="8">
        <f>C31-D31-E31-F31-G31-H31+I31</f>
        <v/>
      </c>
      <c r="K31" s="8">
        <f>K30+J31</f>
        <v/>
      </c>
    </row>
    <row r="32">
      <c r="A32" s="8" t="n">
        <v>12</v>
      </c>
      <c r="B32" t="inlineStr">
        <is>
          <t>运营期</t>
        </is>
      </c>
      <c r="C32" s="8">
        <f>'附表5'!B27</f>
        <v/>
      </c>
      <c r="D32" s="8">
        <f>'附表6'!B27</f>
        <v/>
      </c>
      <c r="E32" s="8">
        <f>'附表5'!E27</f>
        <v/>
      </c>
      <c r="F32" s="8">
        <f>'附表5'!I27</f>
        <v/>
      </c>
      <c r="G32" s="8" t="n">
        <v>0</v>
      </c>
      <c r="H32" s="8" t="n">
        <v>0</v>
      </c>
      <c r="I32" s="8" t="n">
        <v>0</v>
      </c>
      <c r="J32" s="8">
        <f>C32-D32-E32-F32-G32-H32+I32</f>
        <v/>
      </c>
      <c r="K32" s="8">
        <f>K31+J32</f>
        <v/>
      </c>
    </row>
    <row r="33">
      <c r="A33" s="8" t="n">
        <v>13</v>
      </c>
      <c r="B33" t="inlineStr">
        <is>
          <t>运营期</t>
        </is>
      </c>
      <c r="C33" s="8">
        <f>'附表5'!B28</f>
        <v/>
      </c>
      <c r="D33" s="8">
        <f>'附表6'!B28</f>
        <v/>
      </c>
      <c r="E33" s="8">
        <f>'附表5'!E28</f>
        <v/>
      </c>
      <c r="F33" s="8">
        <f>'附表5'!I28</f>
        <v/>
      </c>
      <c r="G33" s="8" t="n">
        <v>0</v>
      </c>
      <c r="H33" s="8" t="n">
        <v>0</v>
      </c>
      <c r="I33" s="8" t="n">
        <v>0</v>
      </c>
      <c r="J33" s="8">
        <f>C33-D33-E33-F33-G33-H33+I33</f>
        <v/>
      </c>
      <c r="K33" s="8">
        <f>K32+J33</f>
        <v/>
      </c>
    </row>
    <row r="34">
      <c r="A34" s="8" t="n">
        <v>14</v>
      </c>
      <c r="B34" t="inlineStr">
        <is>
          <t>运营期</t>
        </is>
      </c>
      <c r="C34" s="8">
        <f>'附表5'!B29</f>
        <v/>
      </c>
      <c r="D34" s="8">
        <f>'附表6'!B29</f>
        <v/>
      </c>
      <c r="E34" s="8">
        <f>'附表5'!E29</f>
        <v/>
      </c>
      <c r="F34" s="8">
        <f>'附表5'!I29</f>
        <v/>
      </c>
      <c r="G34" s="8" t="n">
        <v>0</v>
      </c>
      <c r="H34" s="8" t="n">
        <v>0</v>
      </c>
      <c r="I34" s="8" t="n">
        <v>0</v>
      </c>
      <c r="J34" s="8">
        <f>C34-D34-E34-F34-G34-H34+I34</f>
        <v/>
      </c>
      <c r="K34" s="8">
        <f>K33+J34</f>
        <v/>
      </c>
    </row>
    <row r="35">
      <c r="A35" s="8" t="n">
        <v>15</v>
      </c>
      <c r="B35" t="inlineStr">
        <is>
          <t>运营期</t>
        </is>
      </c>
      <c r="C35" s="8">
        <f>'附表5'!B30</f>
        <v/>
      </c>
      <c r="D35" s="8">
        <f>'附表6'!B30</f>
        <v/>
      </c>
      <c r="E35" s="8">
        <f>'附表5'!E30</f>
        <v/>
      </c>
      <c r="F35" s="8">
        <f>'附表5'!I30</f>
        <v/>
      </c>
      <c r="G35" s="8" t="n">
        <v>0</v>
      </c>
      <c r="H35" s="8" t="n">
        <v>0</v>
      </c>
      <c r="I35" s="8" t="n">
        <v>0</v>
      </c>
      <c r="J35" s="8">
        <f>C35-D35-E35-F35-G35-H35+I35</f>
        <v/>
      </c>
      <c r="K35" s="8">
        <f>K34+J35</f>
        <v/>
      </c>
    </row>
    <row r="36">
      <c r="A36" s="8" t="n">
        <v>16</v>
      </c>
      <c r="B36" t="inlineStr">
        <is>
          <t>运营期</t>
        </is>
      </c>
      <c r="C36" s="8">
        <f>'附表5'!B31</f>
        <v/>
      </c>
      <c r="D36" s="8">
        <f>'附表6'!B31</f>
        <v/>
      </c>
      <c r="E36" s="8">
        <f>'附表5'!E31</f>
        <v/>
      </c>
      <c r="F36" s="8">
        <f>'附表5'!I31</f>
        <v/>
      </c>
      <c r="G36" s="8" t="n">
        <v>0</v>
      </c>
      <c r="H36" s="8" t="n">
        <v>0</v>
      </c>
      <c r="I36" s="8" t="n">
        <v>0</v>
      </c>
      <c r="J36" s="8">
        <f>C36-D36-E36-F36-G36-H36+I36</f>
        <v/>
      </c>
      <c r="K36" s="8">
        <f>K35+J36</f>
        <v/>
      </c>
    </row>
    <row r="37">
      <c r="A37" s="8" t="n">
        <v>17</v>
      </c>
      <c r="B37" t="inlineStr">
        <is>
          <t>运营期</t>
        </is>
      </c>
      <c r="C37" s="8">
        <f>'附表5'!B32</f>
        <v/>
      </c>
      <c r="D37" s="8">
        <f>'附表6'!B32</f>
        <v/>
      </c>
      <c r="E37" s="8">
        <f>'附表5'!E32</f>
        <v/>
      </c>
      <c r="F37" s="8">
        <f>'附表5'!I32</f>
        <v/>
      </c>
      <c r="G37" s="8" t="n">
        <v>0</v>
      </c>
      <c r="H37" s="8" t="n">
        <v>0</v>
      </c>
      <c r="I37" s="8" t="n">
        <v>0</v>
      </c>
      <c r="J37" s="8">
        <f>C37-D37-E37-F37-G37-H37+I37</f>
        <v/>
      </c>
      <c r="K37" s="8">
        <f>K36+J37</f>
        <v/>
      </c>
    </row>
    <row r="38">
      <c r="A38" s="8" t="n">
        <v>18</v>
      </c>
      <c r="B38" t="inlineStr">
        <is>
          <t>运营期</t>
        </is>
      </c>
      <c r="C38" s="8">
        <f>'附表5'!B33</f>
        <v/>
      </c>
      <c r="D38" s="8">
        <f>'附表6'!B33</f>
        <v/>
      </c>
      <c r="E38" s="8">
        <f>'附表5'!E33</f>
        <v/>
      </c>
      <c r="F38" s="8">
        <f>'附表5'!I33</f>
        <v/>
      </c>
      <c r="G38" s="8" t="n">
        <v>0</v>
      </c>
      <c r="H38" s="8" t="n">
        <v>0</v>
      </c>
      <c r="I38" s="8" t="n">
        <v>0</v>
      </c>
      <c r="J38" s="8">
        <f>C38-D38-E38-F38-G38-H38+I38</f>
        <v/>
      </c>
      <c r="K38" s="8">
        <f>K37+J38</f>
        <v/>
      </c>
    </row>
    <row r="39">
      <c r="A39" s="8" t="n">
        <v>19</v>
      </c>
      <c r="B39" t="inlineStr">
        <is>
          <t>运营期</t>
        </is>
      </c>
      <c r="C39" s="8">
        <f>'附表5'!B34</f>
        <v/>
      </c>
      <c r="D39" s="8">
        <f>'附表6'!B34</f>
        <v/>
      </c>
      <c r="E39" s="8">
        <f>'附表5'!E34</f>
        <v/>
      </c>
      <c r="F39" s="8">
        <f>'附表5'!I34</f>
        <v/>
      </c>
      <c r="G39" s="8" t="n">
        <v>0</v>
      </c>
      <c r="H39" s="8" t="n">
        <v>0</v>
      </c>
      <c r="I39" s="8" t="n">
        <v>0</v>
      </c>
      <c r="J39" s="8">
        <f>C39-D39-E39-F39-G39-H39+I39</f>
        <v/>
      </c>
      <c r="K39" s="8">
        <f>K38+J39</f>
        <v/>
      </c>
    </row>
    <row r="40">
      <c r="A40" s="8" t="n">
        <v>20</v>
      </c>
      <c r="B40" t="inlineStr">
        <is>
          <t>运营期</t>
        </is>
      </c>
      <c r="C40" s="8">
        <f>'附表5'!B35</f>
        <v/>
      </c>
      <c r="D40" s="8">
        <f>'附表6'!B35</f>
        <v/>
      </c>
      <c r="E40" s="8">
        <f>'附表5'!E35</f>
        <v/>
      </c>
      <c r="F40" s="8">
        <f>'附表5'!I35</f>
        <v/>
      </c>
      <c r="G40" s="8" t="n">
        <v>0</v>
      </c>
      <c r="H40" s="8" t="n">
        <v>0</v>
      </c>
      <c r="I40" s="8" t="n">
        <v>0</v>
      </c>
      <c r="J40" s="8">
        <f>C40-D40-E40-F40-G40-H40+I40</f>
        <v/>
      </c>
      <c r="K40" s="8">
        <f>K39+J40</f>
        <v/>
      </c>
    </row>
    <row r="41">
      <c r="A41" s="8" t="n">
        <v>21</v>
      </c>
      <c r="B41" t="inlineStr">
        <is>
          <t>运营期</t>
        </is>
      </c>
      <c r="C41" s="8">
        <f>'附表5'!B36</f>
        <v/>
      </c>
      <c r="D41" s="8">
        <f>'附表6'!B36</f>
        <v/>
      </c>
      <c r="E41" s="8">
        <f>'附表5'!E36</f>
        <v/>
      </c>
      <c r="F41" s="8">
        <f>'附表5'!I36</f>
        <v/>
      </c>
      <c r="G41" s="8" t="n">
        <v>0</v>
      </c>
      <c r="H41" s="8" t="n">
        <v>0</v>
      </c>
      <c r="I41" s="8" t="n">
        <v>0</v>
      </c>
      <c r="J41" s="8">
        <f>C41-D41-E41-F41-G41-H41+I41</f>
        <v/>
      </c>
      <c r="K41" s="8">
        <f>K40+J41</f>
        <v/>
      </c>
    </row>
    <row r="42">
      <c r="A42" s="8" t="n">
        <v>22</v>
      </c>
      <c r="B42" t="inlineStr">
        <is>
          <t>运营期</t>
        </is>
      </c>
      <c r="C42" s="8">
        <f>'附表5'!B37</f>
        <v/>
      </c>
      <c r="D42" s="8">
        <f>'附表6'!B37</f>
        <v/>
      </c>
      <c r="E42" s="8">
        <f>'附表5'!E37</f>
        <v/>
      </c>
      <c r="F42" s="8">
        <f>'附表5'!I37</f>
        <v/>
      </c>
      <c r="G42" s="8" t="n">
        <v>0</v>
      </c>
      <c r="H42" s="8" t="n">
        <v>0</v>
      </c>
      <c r="I42" s="8" t="n">
        <v>0</v>
      </c>
      <c r="J42" s="8">
        <f>C42-D42-E42-F42-G42-H42+I42</f>
        <v/>
      </c>
      <c r="K42" s="8">
        <f>K41+J42</f>
        <v/>
      </c>
    </row>
    <row r="43">
      <c r="A43" s="8" t="n">
        <v>23</v>
      </c>
      <c r="B43" t="inlineStr">
        <is>
          <t>运营期</t>
        </is>
      </c>
      <c r="C43" s="8">
        <f>'附表5'!B38</f>
        <v/>
      </c>
      <c r="D43" s="8">
        <f>'附表6'!B38</f>
        <v/>
      </c>
      <c r="E43" s="8">
        <f>'附表5'!E38</f>
        <v/>
      </c>
      <c r="F43" s="8">
        <f>'附表5'!I38</f>
        <v/>
      </c>
      <c r="G43" s="8" t="n">
        <v>0</v>
      </c>
      <c r="H43" s="8" t="n">
        <v>0</v>
      </c>
      <c r="I43" s="8" t="n">
        <v>0</v>
      </c>
      <c r="J43" s="8">
        <f>C43-D43-E43-F43-G43-H43+I43</f>
        <v/>
      </c>
      <c r="K43" s="8">
        <f>K42+J43</f>
        <v/>
      </c>
    </row>
    <row r="44">
      <c r="A44" s="8" t="n">
        <v>24</v>
      </c>
      <c r="B44" t="inlineStr">
        <is>
          <t>运营期</t>
        </is>
      </c>
      <c r="C44" s="8">
        <f>'附表5'!B39</f>
        <v/>
      </c>
      <c r="D44" s="8">
        <f>'附表6'!B39</f>
        <v/>
      </c>
      <c r="E44" s="8">
        <f>'附表5'!E39</f>
        <v/>
      </c>
      <c r="F44" s="8">
        <f>'附表5'!I39</f>
        <v/>
      </c>
      <c r="G44" s="8" t="n">
        <v>0</v>
      </c>
      <c r="H44" s="8" t="n">
        <v>0</v>
      </c>
      <c r="I44" s="8" t="n">
        <v>2113.34</v>
      </c>
      <c r="J44" s="8">
        <f>C44-D44-E44-F44-G44-H44+I44</f>
        <v/>
      </c>
      <c r="K44" s="8">
        <f>K43+J44</f>
        <v/>
      </c>
    </row>
    <row r="45">
      <c r="A45" t="inlineStr">
        <is>
          <t>说明1：建设投资列含建设期利息（与项目 CF 同源）</t>
        </is>
      </c>
    </row>
    <row r="46">
      <c r="A46" t="inlineStr">
        <is>
          <t>说明2：structure_gaps: 行业变体未冻结(variant=flat_estimate, model=flat)</t>
        </is>
      </c>
    </row>
    <row r="47"/>
    <row r="48">
      <c r="A48" t="inlineStr">
        <is>
          <t>现金流量组成树</t>
        </is>
      </c>
    </row>
    <row r="49">
      <c r="A49" t="inlineStr">
        <is>
          <t>项目</t>
        </is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6</v>
      </c>
      <c r="I49" t="n">
        <v>7</v>
      </c>
      <c r="J49" t="n">
        <v>8</v>
      </c>
      <c r="K49" t="n">
        <v>9</v>
      </c>
      <c r="L49" t="n">
        <v>10</v>
      </c>
      <c r="M49" t="n">
        <v>11</v>
      </c>
      <c r="N49" t="n">
        <v>12</v>
      </c>
      <c r="O49" t="n">
        <v>13</v>
      </c>
      <c r="P49" t="n">
        <v>14</v>
      </c>
      <c r="Q49" t="n">
        <v>15</v>
      </c>
      <c r="R49" t="n">
        <v>16</v>
      </c>
      <c r="S49" t="n">
        <v>17</v>
      </c>
      <c r="T49" t="n">
        <v>18</v>
      </c>
      <c r="U49" t="n">
        <v>19</v>
      </c>
      <c r="V49" t="n">
        <v>20</v>
      </c>
      <c r="W49" t="n">
        <v>21</v>
      </c>
      <c r="X49" t="n">
        <v>22</v>
      </c>
      <c r="Y49" t="n">
        <v>23</v>
      </c>
      <c r="Z49" t="n">
        <v>24</v>
      </c>
    </row>
    <row r="50">
      <c r="A50" t="inlineStr">
        <is>
          <t>现金流入</t>
        </is>
      </c>
    </row>
    <row r="51">
      <c r="A51" t="inlineStr">
        <is>
          <t xml:space="preserve">  revenue</t>
        </is>
      </c>
      <c r="B51">
        <f>'附表9'!C20</f>
        <v/>
      </c>
      <c r="C51">
        <f>'附表9'!C21</f>
        <v/>
      </c>
      <c r="D51">
        <f>'附表9'!C22</f>
        <v/>
      </c>
      <c r="E51">
        <f>'附表9'!C23</f>
        <v/>
      </c>
      <c r="F51">
        <f>'附表9'!C24</f>
        <v/>
      </c>
      <c r="G51">
        <f>'附表9'!C25</f>
        <v/>
      </c>
      <c r="H51">
        <f>'附表9'!C26</f>
        <v/>
      </c>
      <c r="I51">
        <f>'附表9'!C27</f>
        <v/>
      </c>
      <c r="J51">
        <f>'附表9'!C28</f>
        <v/>
      </c>
      <c r="K51">
        <f>'附表9'!C29</f>
        <v/>
      </c>
      <c r="L51">
        <f>'附表9'!C30</f>
        <v/>
      </c>
      <c r="M51">
        <f>'附表9'!C31</f>
        <v/>
      </c>
      <c r="N51">
        <f>'附表9'!C32</f>
        <v/>
      </c>
      <c r="O51">
        <f>'附表9'!C33</f>
        <v/>
      </c>
      <c r="P51">
        <f>'附表9'!C34</f>
        <v/>
      </c>
      <c r="Q51">
        <f>'附表9'!C35</f>
        <v/>
      </c>
      <c r="R51">
        <f>'附表9'!C36</f>
        <v/>
      </c>
      <c r="S51">
        <f>'附表9'!C37</f>
        <v/>
      </c>
      <c r="T51">
        <f>'附表9'!C38</f>
        <v/>
      </c>
      <c r="U51">
        <f>'附表9'!C39</f>
        <v/>
      </c>
      <c r="V51">
        <f>'附表9'!C40</f>
        <v/>
      </c>
      <c r="W51">
        <f>'附表9'!C41</f>
        <v/>
      </c>
      <c r="X51">
        <f>'附表9'!C42</f>
        <v/>
      </c>
      <c r="Y51">
        <f>'附表9'!C43</f>
        <v/>
      </c>
      <c r="Z51">
        <f>'附表9'!C44</f>
        <v/>
      </c>
    </row>
    <row r="52">
      <c r="A52" t="inlineStr">
        <is>
          <t xml:space="preserve">  recover</t>
        </is>
      </c>
      <c r="B52">
        <f>'附表9'!I20</f>
        <v/>
      </c>
      <c r="C52">
        <f>'附表9'!I21</f>
        <v/>
      </c>
      <c r="D52">
        <f>'附表9'!I22</f>
        <v/>
      </c>
      <c r="E52">
        <f>'附表9'!I23</f>
        <v/>
      </c>
      <c r="F52">
        <f>'附表9'!I24</f>
        <v/>
      </c>
      <c r="G52">
        <f>'附表9'!I25</f>
        <v/>
      </c>
      <c r="H52">
        <f>'附表9'!I26</f>
        <v/>
      </c>
      <c r="I52">
        <f>'附表9'!I27</f>
        <v/>
      </c>
      <c r="J52">
        <f>'附表9'!I28</f>
        <v/>
      </c>
      <c r="K52">
        <f>'附表9'!I29</f>
        <v/>
      </c>
      <c r="L52">
        <f>'附表9'!I30</f>
        <v/>
      </c>
      <c r="M52">
        <f>'附表9'!I31</f>
        <v/>
      </c>
      <c r="N52">
        <f>'附表9'!I32</f>
        <v/>
      </c>
      <c r="O52">
        <f>'附表9'!I33</f>
        <v/>
      </c>
      <c r="P52">
        <f>'附表9'!I34</f>
        <v/>
      </c>
      <c r="Q52">
        <f>'附表9'!I35</f>
        <v/>
      </c>
      <c r="R52">
        <f>'附表9'!I36</f>
        <v/>
      </c>
      <c r="S52">
        <f>'附表9'!I37</f>
        <v/>
      </c>
      <c r="T52">
        <f>'附表9'!I38</f>
        <v/>
      </c>
      <c r="U52">
        <f>'附表9'!I39</f>
        <v/>
      </c>
      <c r="V52">
        <f>'附表9'!I40</f>
        <v/>
      </c>
      <c r="W52">
        <f>'附表9'!I41</f>
        <v/>
      </c>
      <c r="X52">
        <f>'附表9'!I42</f>
        <v/>
      </c>
      <c r="Y52">
        <f>'附表9'!I43</f>
        <v/>
      </c>
      <c r="Z52">
        <f>'附表9'!I44</f>
        <v/>
      </c>
    </row>
    <row r="53">
      <c r="A53" t="inlineStr">
        <is>
          <t>现金流出</t>
        </is>
      </c>
    </row>
    <row r="54">
      <c r="A54" t="inlineStr">
        <is>
          <t xml:space="preserve">  construction</t>
        </is>
      </c>
      <c r="B54">
        <f>'附表9'!G20</f>
        <v/>
      </c>
      <c r="C54">
        <f>'附表9'!G21</f>
        <v/>
      </c>
      <c r="D54">
        <f>'附表9'!G22</f>
        <v/>
      </c>
      <c r="E54">
        <f>'附表9'!G23</f>
        <v/>
      </c>
      <c r="F54">
        <f>'附表9'!G24</f>
        <v/>
      </c>
      <c r="G54">
        <f>'附表9'!G25</f>
        <v/>
      </c>
      <c r="H54">
        <f>'附表9'!G26</f>
        <v/>
      </c>
      <c r="I54">
        <f>'附表9'!G27</f>
        <v/>
      </c>
      <c r="J54">
        <f>'附表9'!G28</f>
        <v/>
      </c>
      <c r="K54">
        <f>'附表9'!G29</f>
        <v/>
      </c>
      <c r="L54">
        <f>'附表9'!G30</f>
        <v/>
      </c>
      <c r="M54">
        <f>'附表9'!G31</f>
        <v/>
      </c>
      <c r="N54">
        <f>'附表9'!G32</f>
        <v/>
      </c>
      <c r="O54">
        <f>'附表9'!G33</f>
        <v/>
      </c>
      <c r="P54">
        <f>'附表9'!G34</f>
        <v/>
      </c>
      <c r="Q54">
        <f>'附表9'!G35</f>
        <v/>
      </c>
      <c r="R54">
        <f>'附表9'!G36</f>
        <v/>
      </c>
      <c r="S54">
        <f>'附表9'!G37</f>
        <v/>
      </c>
      <c r="T54">
        <f>'附表9'!G38</f>
        <v/>
      </c>
      <c r="U54">
        <f>'附表9'!G39</f>
        <v/>
      </c>
      <c r="V54">
        <f>'附表9'!G40</f>
        <v/>
      </c>
      <c r="W54">
        <f>'附表9'!G41</f>
        <v/>
      </c>
      <c r="X54">
        <f>'附表9'!G42</f>
        <v/>
      </c>
      <c r="Y54">
        <f>'附表9'!G43</f>
        <v/>
      </c>
      <c r="Z54">
        <f>'附表9'!G44</f>
        <v/>
      </c>
    </row>
    <row r="55">
      <c r="A55" t="inlineStr">
        <is>
          <t xml:space="preserve">  wc_change</t>
        </is>
      </c>
      <c r="B55">
        <f>'附表9'!H20</f>
        <v/>
      </c>
      <c r="C55">
        <f>'附表9'!H21</f>
        <v/>
      </c>
      <c r="D55">
        <f>'附表9'!H22</f>
        <v/>
      </c>
      <c r="E55">
        <f>'附表9'!H23</f>
        <v/>
      </c>
      <c r="F55">
        <f>'附表9'!H24</f>
        <v/>
      </c>
      <c r="G55">
        <f>'附表9'!H25</f>
        <v/>
      </c>
      <c r="H55">
        <f>'附表9'!H26</f>
        <v/>
      </c>
      <c r="I55">
        <f>'附表9'!H27</f>
        <v/>
      </c>
      <c r="J55">
        <f>'附表9'!H28</f>
        <v/>
      </c>
      <c r="K55">
        <f>'附表9'!H29</f>
        <v/>
      </c>
      <c r="L55">
        <f>'附表9'!H30</f>
        <v/>
      </c>
      <c r="M55">
        <f>'附表9'!H31</f>
        <v/>
      </c>
      <c r="N55">
        <f>'附表9'!H32</f>
        <v/>
      </c>
      <c r="O55">
        <f>'附表9'!H33</f>
        <v/>
      </c>
      <c r="P55">
        <f>'附表9'!H34</f>
        <v/>
      </c>
      <c r="Q55">
        <f>'附表9'!H35</f>
        <v/>
      </c>
      <c r="R55">
        <f>'附表9'!H36</f>
        <v/>
      </c>
      <c r="S55">
        <f>'附表9'!H37</f>
        <v/>
      </c>
      <c r="T55">
        <f>'附表9'!H38</f>
        <v/>
      </c>
      <c r="U55">
        <f>'附表9'!H39</f>
        <v/>
      </c>
      <c r="V55">
        <f>'附表9'!H40</f>
        <v/>
      </c>
      <c r="W55">
        <f>'附表9'!H41</f>
        <v/>
      </c>
      <c r="X55">
        <f>'附表9'!H42</f>
        <v/>
      </c>
      <c r="Y55">
        <f>'附表9'!H43</f>
        <v/>
      </c>
      <c r="Z55">
        <f>'附表9'!H44</f>
        <v/>
      </c>
    </row>
    <row r="56">
      <c r="A56" t="inlineStr">
        <is>
          <t xml:space="preserve">  op_cash_cost</t>
        </is>
      </c>
      <c r="B56">
        <f>'附表9'!D20</f>
        <v/>
      </c>
      <c r="C56">
        <f>'附表9'!D21</f>
        <v/>
      </c>
      <c r="D56">
        <f>'附表9'!D22</f>
        <v/>
      </c>
      <c r="E56">
        <f>'附表9'!D23</f>
        <v/>
      </c>
      <c r="F56">
        <f>'附表9'!D24</f>
        <v/>
      </c>
      <c r="G56">
        <f>'附表9'!D25</f>
        <v/>
      </c>
      <c r="H56">
        <f>'附表9'!D26</f>
        <v/>
      </c>
      <c r="I56">
        <f>'附表9'!D27</f>
        <v/>
      </c>
      <c r="J56">
        <f>'附表9'!D28</f>
        <v/>
      </c>
      <c r="K56">
        <f>'附表9'!D29</f>
        <v/>
      </c>
      <c r="L56">
        <f>'附表9'!D30</f>
        <v/>
      </c>
      <c r="M56">
        <f>'附表9'!D31</f>
        <v/>
      </c>
      <c r="N56">
        <f>'附表9'!D32</f>
        <v/>
      </c>
      <c r="O56">
        <f>'附表9'!D33</f>
        <v/>
      </c>
      <c r="P56">
        <f>'附表9'!D34</f>
        <v/>
      </c>
      <c r="Q56">
        <f>'附表9'!D35</f>
        <v/>
      </c>
      <c r="R56">
        <f>'附表9'!D36</f>
        <v/>
      </c>
      <c r="S56">
        <f>'附表9'!D37</f>
        <v/>
      </c>
      <c r="T56">
        <f>'附表9'!D38</f>
        <v/>
      </c>
      <c r="U56">
        <f>'附表9'!D39</f>
        <v/>
      </c>
      <c r="V56">
        <f>'附表9'!D40</f>
        <v/>
      </c>
      <c r="W56">
        <f>'附表9'!D41</f>
        <v/>
      </c>
      <c r="X56">
        <f>'附表9'!D42</f>
        <v/>
      </c>
      <c r="Y56">
        <f>'附表9'!D43</f>
        <v/>
      </c>
      <c r="Z56">
        <f>'附表9'!D44</f>
        <v/>
      </c>
    </row>
    <row r="57">
      <c r="A57" t="inlineStr">
        <is>
          <t xml:space="preserve">  tax_surtax</t>
        </is>
      </c>
      <c r="B57">
        <f>'附表9'!E20</f>
        <v/>
      </c>
      <c r="C57">
        <f>'附表9'!E21</f>
        <v/>
      </c>
      <c r="D57">
        <f>'附表9'!E22</f>
        <v/>
      </c>
      <c r="E57">
        <f>'附表9'!E23</f>
        <v/>
      </c>
      <c r="F57">
        <f>'附表9'!E24</f>
        <v/>
      </c>
      <c r="G57">
        <f>'附表9'!E25</f>
        <v/>
      </c>
      <c r="H57">
        <f>'附表9'!E26</f>
        <v/>
      </c>
      <c r="I57">
        <f>'附表9'!E27</f>
        <v/>
      </c>
      <c r="J57">
        <f>'附表9'!E28</f>
        <v/>
      </c>
      <c r="K57">
        <f>'附表9'!E29</f>
        <v/>
      </c>
      <c r="L57">
        <f>'附表9'!E30</f>
        <v/>
      </c>
      <c r="M57">
        <f>'附表9'!E31</f>
        <v/>
      </c>
      <c r="N57">
        <f>'附表9'!E32</f>
        <v/>
      </c>
      <c r="O57">
        <f>'附表9'!E33</f>
        <v/>
      </c>
      <c r="P57">
        <f>'附表9'!E34</f>
        <v/>
      </c>
      <c r="Q57">
        <f>'附表9'!E35</f>
        <v/>
      </c>
      <c r="R57">
        <f>'附表9'!E36</f>
        <v/>
      </c>
      <c r="S57">
        <f>'附表9'!E37</f>
        <v/>
      </c>
      <c r="T57">
        <f>'附表9'!E38</f>
        <v/>
      </c>
      <c r="U57">
        <f>'附表9'!E39</f>
        <v/>
      </c>
      <c r="V57">
        <f>'附表9'!E40</f>
        <v/>
      </c>
      <c r="W57">
        <f>'附表9'!E41</f>
        <v/>
      </c>
      <c r="X57">
        <f>'附表9'!E42</f>
        <v/>
      </c>
      <c r="Y57">
        <f>'附表9'!E43</f>
        <v/>
      </c>
      <c r="Z57">
        <f>'附表9'!E44</f>
        <v/>
      </c>
    </row>
    <row r="58">
      <c r="A58" t="inlineStr">
        <is>
          <t xml:space="preserve">  income_tax</t>
        </is>
      </c>
      <c r="B58">
        <f>'附表9'!F20</f>
        <v/>
      </c>
      <c r="C58">
        <f>'附表9'!F21</f>
        <v/>
      </c>
      <c r="D58">
        <f>'附表9'!F22</f>
        <v/>
      </c>
      <c r="E58">
        <f>'附表9'!F23</f>
        <v/>
      </c>
      <c r="F58">
        <f>'附表9'!F24</f>
        <v/>
      </c>
      <c r="G58">
        <f>'附表9'!F25</f>
        <v/>
      </c>
      <c r="H58">
        <f>'附表9'!F26</f>
        <v/>
      </c>
      <c r="I58">
        <f>'附表9'!F27</f>
        <v/>
      </c>
      <c r="J58">
        <f>'附表9'!F28</f>
        <v/>
      </c>
      <c r="K58">
        <f>'附表9'!F29</f>
        <v/>
      </c>
      <c r="L58">
        <f>'附表9'!F30</f>
        <v/>
      </c>
      <c r="M58">
        <f>'附表9'!F31</f>
        <v/>
      </c>
      <c r="N58">
        <f>'附表9'!F32</f>
        <v/>
      </c>
      <c r="O58">
        <f>'附表9'!F33</f>
        <v/>
      </c>
      <c r="P58">
        <f>'附表9'!F34</f>
        <v/>
      </c>
      <c r="Q58">
        <f>'附表9'!F35</f>
        <v/>
      </c>
      <c r="R58">
        <f>'附表9'!F36</f>
        <v/>
      </c>
      <c r="S58">
        <f>'附表9'!F37</f>
        <v/>
      </c>
      <c r="T58">
        <f>'附表9'!F38</f>
        <v/>
      </c>
      <c r="U58">
        <f>'附表9'!F39</f>
        <v/>
      </c>
      <c r="V58">
        <f>'附表9'!F40</f>
        <v/>
      </c>
      <c r="W58">
        <f>'附表9'!F41</f>
        <v/>
      </c>
      <c r="X58">
        <f>'附表9'!F42</f>
        <v/>
      </c>
      <c r="Y58">
        <f>'附表9'!F43</f>
        <v/>
      </c>
      <c r="Z58">
        <f>'附表9'!F44</f>
        <v/>
      </c>
    </row>
    <row r="59">
      <c r="A59" t="inlineStr">
        <is>
          <t>现金净额</t>
        </is>
      </c>
    </row>
    <row r="60">
      <c r="A60" t="inlineStr">
        <is>
          <t xml:space="preserve">  net_cashflow</t>
        </is>
      </c>
      <c r="B60">
        <f>'附表9'!J20</f>
        <v/>
      </c>
      <c r="C60">
        <f>'附表9'!J21</f>
        <v/>
      </c>
      <c r="D60">
        <f>'附表9'!J22</f>
        <v/>
      </c>
      <c r="E60">
        <f>'附表9'!J23</f>
        <v/>
      </c>
      <c r="F60">
        <f>'附表9'!J24</f>
        <v/>
      </c>
      <c r="G60">
        <f>'附表9'!J25</f>
        <v/>
      </c>
      <c r="H60">
        <f>'附表9'!J26</f>
        <v/>
      </c>
      <c r="I60">
        <f>'附表9'!J27</f>
        <v/>
      </c>
      <c r="J60">
        <f>'附表9'!J28</f>
        <v/>
      </c>
      <c r="K60">
        <f>'附表9'!J29</f>
        <v/>
      </c>
      <c r="L60">
        <f>'附表9'!J30</f>
        <v/>
      </c>
      <c r="M60">
        <f>'附表9'!J31</f>
        <v/>
      </c>
      <c r="N60">
        <f>'附表9'!J32</f>
        <v/>
      </c>
      <c r="O60">
        <f>'附表9'!J33</f>
        <v/>
      </c>
      <c r="P60">
        <f>'附表9'!J34</f>
        <v/>
      </c>
      <c r="Q60">
        <f>'附表9'!J35</f>
        <v/>
      </c>
      <c r="R60">
        <f>'附表9'!J36</f>
        <v/>
      </c>
      <c r="S60">
        <f>'附表9'!J37</f>
        <v/>
      </c>
      <c r="T60">
        <f>'附表9'!J38</f>
        <v/>
      </c>
      <c r="U60">
        <f>'附表9'!J39</f>
        <v/>
      </c>
      <c r="V60">
        <f>'附表9'!J40</f>
        <v/>
      </c>
      <c r="W60">
        <f>'附表9'!J41</f>
        <v/>
      </c>
      <c r="X60">
        <f>'附表9'!J42</f>
        <v/>
      </c>
      <c r="Y60">
        <f>'附表9'!J43</f>
        <v/>
      </c>
      <c r="Z60">
        <f>'附表9'!J44</f>
        <v/>
      </c>
    </row>
    <row r="61">
      <c r="A61" t="inlineStr">
        <is>
          <t xml:space="preserve">  cumulative</t>
        </is>
      </c>
      <c r="B61">
        <f>'附表9'!K20</f>
        <v/>
      </c>
      <c r="C61">
        <f>'附表9'!K21</f>
        <v/>
      </c>
      <c r="D61">
        <f>'附表9'!K22</f>
        <v/>
      </c>
      <c r="E61">
        <f>'附表9'!K23</f>
        <v/>
      </c>
      <c r="F61">
        <f>'附表9'!K24</f>
        <v/>
      </c>
      <c r="G61">
        <f>'附表9'!K25</f>
        <v/>
      </c>
      <c r="H61">
        <f>'附表9'!K26</f>
        <v/>
      </c>
      <c r="I61">
        <f>'附表9'!K27</f>
        <v/>
      </c>
      <c r="J61">
        <f>'附表9'!K28</f>
        <v/>
      </c>
      <c r="K61">
        <f>'附表9'!K29</f>
        <v/>
      </c>
      <c r="L61">
        <f>'附表9'!K30</f>
        <v/>
      </c>
      <c r="M61">
        <f>'附表9'!K31</f>
        <v/>
      </c>
      <c r="N61">
        <f>'附表9'!K32</f>
        <v/>
      </c>
      <c r="O61">
        <f>'附表9'!K33</f>
        <v/>
      </c>
      <c r="P61">
        <f>'附表9'!K34</f>
        <v/>
      </c>
      <c r="Q61">
        <f>'附表9'!K35</f>
        <v/>
      </c>
      <c r="R61">
        <f>'附表9'!K36</f>
        <v/>
      </c>
      <c r="S61">
        <f>'附表9'!K37</f>
        <v/>
      </c>
      <c r="T61">
        <f>'附表9'!K38</f>
        <v/>
      </c>
      <c r="U61">
        <f>'附表9'!K39</f>
        <v/>
      </c>
      <c r="V61">
        <f>'附表9'!K40</f>
        <v/>
      </c>
      <c r="W61">
        <f>'附表9'!K41</f>
        <v/>
      </c>
      <c r="X61">
        <f>'附表9'!K42</f>
        <v/>
      </c>
      <c r="Y61">
        <f>'附表9'!K43</f>
        <v/>
      </c>
      <c r="Z61">
        <f>'附表9'!K44</f>
        <v/>
      </c>
    </row>
    <row r="62">
      <c r="A62" t="inlineStr">
        <is>
          <t>跨表依赖复核：附表1</t>
        </is>
      </c>
      <c r="B62" s="8">
        <f>'附表1'!J4</f>
        <v/>
      </c>
    </row>
    <row r="63">
      <c r="A63" t="inlineStr">
        <is>
          <t>跨表依赖复核：附表3</t>
        </is>
      </c>
      <c r="B63" s="8">
        <f>'附表3'!B4</f>
        <v/>
      </c>
    </row>
    <row r="64">
      <c r="A64" t="inlineStr">
        <is>
          <t>跨表依赖复核：附表5</t>
        </is>
      </c>
      <c r="B64" s="8">
        <f>'附表5'!A16</f>
        <v/>
      </c>
    </row>
    <row r="65">
      <c r="A65" t="inlineStr">
        <is>
          <t>跨表依赖复核：附表6</t>
        </is>
      </c>
      <c r="B65" s="8">
        <f>'附表6'!A16</f>
        <v/>
      </c>
    </row>
    <row r="66">
      <c r="A66" t="inlineStr">
        <is>
          <t>跨表依赖复核：附表6-2</t>
        </is>
      </c>
      <c r="B66" s="8">
        <f>'附表6-2'!A8</f>
        <v/>
      </c>
    </row>
    <row r="67">
      <c r="A67" t="inlineStr">
        <is>
          <t>跨表依赖复核：附表7</t>
        </is>
      </c>
      <c r="B67" s="8">
        <f>'附表7'!A24</f>
        <v/>
      </c>
    </row>
  </sheetData>
  <mergeCells count="1">
    <mergeCell ref="A1:A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3" t="inlineStr">
        <is>
          <t>附表10 项目资本金流量表</t>
        </is>
      </c>
    </row>
    <row r="2">
      <c r="A2" t="inlineStr">
        <is>
          <t>匡算预览｜未批准，不得用于正式报批；口径：summary；有效：是</t>
        </is>
      </c>
    </row>
    <row r="3">
      <c r="A3" s="4" t="inlineStr">
        <is>
          <t>序号</t>
        </is>
      </c>
      <c r="B3" s="4" t="inlineStr">
        <is>
          <t>项目</t>
        </is>
      </c>
      <c r="C3" s="4" t="inlineStr">
        <is>
          <t>合计</t>
        </is>
      </c>
      <c r="D3" s="4" t="inlineStr">
        <is>
          <t>计算期0</t>
        </is>
      </c>
      <c r="E3" s="4" t="inlineStr">
        <is>
          <t>计算期1</t>
        </is>
      </c>
      <c r="F3" s="4" t="inlineStr">
        <is>
          <t>计算期2</t>
        </is>
      </c>
      <c r="G3" s="4" t="inlineStr">
        <is>
          <t>计算期3</t>
        </is>
      </c>
      <c r="H3" s="4" t="inlineStr">
        <is>
          <t>计算期4</t>
        </is>
      </c>
      <c r="I3" s="4" t="inlineStr">
        <is>
          <t>计算期5</t>
        </is>
      </c>
      <c r="J3" s="4" t="inlineStr">
        <is>
          <t>计算期6</t>
        </is>
      </c>
      <c r="K3" s="4" t="inlineStr">
        <is>
          <t>计算期7</t>
        </is>
      </c>
      <c r="L3" s="4" t="inlineStr">
        <is>
          <t>计算期8</t>
        </is>
      </c>
      <c r="M3" s="4" t="inlineStr">
        <is>
          <t>计算期9</t>
        </is>
      </c>
      <c r="N3" s="4" t="inlineStr">
        <is>
          <t>计算期10</t>
        </is>
      </c>
      <c r="O3" s="4" t="inlineStr">
        <is>
          <t>计算期11</t>
        </is>
      </c>
      <c r="P3" s="4" t="inlineStr">
        <is>
          <t>计算期12</t>
        </is>
      </c>
      <c r="Q3" s="4" t="inlineStr">
        <is>
          <t>计算期13</t>
        </is>
      </c>
      <c r="R3" s="4" t="inlineStr">
        <is>
          <t>计算期14</t>
        </is>
      </c>
      <c r="S3" s="4" t="inlineStr">
        <is>
          <t>计算期15</t>
        </is>
      </c>
      <c r="T3" s="4" t="inlineStr">
        <is>
          <t>计算期16</t>
        </is>
      </c>
      <c r="U3" s="4" t="inlineStr">
        <is>
          <t>计算期17</t>
        </is>
      </c>
      <c r="V3" s="4" t="inlineStr">
        <is>
          <t>计算期18</t>
        </is>
      </c>
      <c r="W3" s="4" t="inlineStr">
        <is>
          <t>计算期19</t>
        </is>
      </c>
      <c r="X3" s="4" t="inlineStr">
        <is>
          <t>计算期20</t>
        </is>
      </c>
      <c r="Y3" s="4" t="inlineStr">
        <is>
          <t>计算期21</t>
        </is>
      </c>
      <c r="Z3" s="4" t="inlineStr">
        <is>
          <t>计算期22</t>
        </is>
      </c>
      <c r="AA3" s="4" t="inlineStr">
        <is>
          <t>计算期23</t>
        </is>
      </c>
      <c r="AB3" s="4" t="inlineStr">
        <is>
          <t>计算期24</t>
        </is>
      </c>
    </row>
    <row r="4">
      <c r="A4" s="5" t="inlineStr">
        <is>
          <t>1</t>
        </is>
      </c>
      <c r="B4" s="5" t="inlineStr">
        <is>
          <t>现金流入</t>
        </is>
      </c>
      <c r="C4" s="6">
        <f>SUM(D4,E4,F4,G4,H4,I4,J4,K4,L4,M4,N4,O4,P4,Q4,R4,S4,T4,U4,V4,W4,X4,Y4,Z4,AA4,AB4)</f>
        <v/>
      </c>
      <c r="D4" s="6">
        <f>J20</f>
        <v/>
      </c>
      <c r="E4" s="6">
        <f>J21</f>
        <v/>
      </c>
      <c r="F4" s="6">
        <f>J22</f>
        <v/>
      </c>
      <c r="G4" s="6">
        <f>J23</f>
        <v/>
      </c>
      <c r="H4" s="6">
        <f>J24</f>
        <v/>
      </c>
      <c r="I4" s="6">
        <f>J25</f>
        <v/>
      </c>
      <c r="J4" s="6">
        <f>J26</f>
        <v/>
      </c>
      <c r="K4" s="6">
        <f>J27</f>
        <v/>
      </c>
      <c r="L4" s="6">
        <f>J28</f>
        <v/>
      </c>
      <c r="M4" s="6">
        <f>J29</f>
        <v/>
      </c>
      <c r="N4" s="6">
        <f>J30</f>
        <v/>
      </c>
      <c r="O4" s="6">
        <f>J31</f>
        <v/>
      </c>
      <c r="P4" s="6">
        <f>J32</f>
        <v/>
      </c>
      <c r="Q4" s="6">
        <f>J33</f>
        <v/>
      </c>
      <c r="R4" s="6">
        <f>J34</f>
        <v/>
      </c>
      <c r="S4" s="6">
        <f>J35</f>
        <v/>
      </c>
      <c r="T4" s="6">
        <f>J36</f>
        <v/>
      </c>
      <c r="U4" s="6">
        <f>J37</f>
        <v/>
      </c>
      <c r="V4" s="6">
        <f>J38</f>
        <v/>
      </c>
      <c r="W4" s="6">
        <f>J39</f>
        <v/>
      </c>
      <c r="X4" s="6">
        <f>J40</f>
        <v/>
      </c>
      <c r="Y4" s="6">
        <f>J41</f>
        <v/>
      </c>
      <c r="Z4" s="6">
        <f>J42</f>
        <v/>
      </c>
      <c r="AA4" s="6">
        <f>J43</f>
        <v/>
      </c>
      <c r="AB4" s="6">
        <f>J44</f>
        <v/>
      </c>
    </row>
    <row r="5">
      <c r="A5" s="5" t="inlineStr">
        <is>
          <t>1.1</t>
        </is>
      </c>
      <c r="B5" s="5" t="inlineStr">
        <is>
          <t>营业收入</t>
        </is>
      </c>
      <c r="C5" s="6">
        <f>SUM(D5,E5,F5,G5,H5,I5,J5,K5,L5,M5,N5,O5,P5,Q5,R5,S5,T5,U5,V5,W5,X5,Y5,Z5,AA5,AB5)</f>
        <v/>
      </c>
      <c r="D5" s="6">
        <f>D20</f>
        <v/>
      </c>
      <c r="E5" s="6">
        <f>D21</f>
        <v/>
      </c>
      <c r="F5" s="6">
        <f>D22</f>
        <v/>
      </c>
      <c r="G5" s="6">
        <f>D23</f>
        <v/>
      </c>
      <c r="H5" s="6">
        <f>D24</f>
        <v/>
      </c>
      <c r="I5" s="6">
        <f>D25</f>
        <v/>
      </c>
      <c r="J5" s="6">
        <f>D26</f>
        <v/>
      </c>
      <c r="K5" s="6">
        <f>D27</f>
        <v/>
      </c>
      <c r="L5" s="6">
        <f>D28</f>
        <v/>
      </c>
      <c r="M5" s="6">
        <f>D29</f>
        <v/>
      </c>
      <c r="N5" s="6">
        <f>D30</f>
        <v/>
      </c>
      <c r="O5" s="6">
        <f>D31</f>
        <v/>
      </c>
      <c r="P5" s="6">
        <f>D32</f>
        <v/>
      </c>
      <c r="Q5" s="6">
        <f>D33</f>
        <v/>
      </c>
      <c r="R5" s="6">
        <f>D34</f>
        <v/>
      </c>
      <c r="S5" s="6">
        <f>D35</f>
        <v/>
      </c>
      <c r="T5" s="6">
        <f>D36</f>
        <v/>
      </c>
      <c r="U5" s="6">
        <f>D37</f>
        <v/>
      </c>
      <c r="V5" s="6">
        <f>D38</f>
        <v/>
      </c>
      <c r="W5" s="6">
        <f>D39</f>
        <v/>
      </c>
      <c r="X5" s="6">
        <f>D40</f>
        <v/>
      </c>
      <c r="Y5" s="6">
        <f>D41</f>
        <v/>
      </c>
      <c r="Z5" s="6">
        <f>D42</f>
        <v/>
      </c>
      <c r="AA5" s="6">
        <f>D43</f>
        <v/>
      </c>
      <c r="AB5" s="6">
        <f>D44</f>
        <v/>
      </c>
    </row>
    <row r="6">
      <c r="A6" s="5" t="inlineStr">
        <is>
          <t>1.2</t>
        </is>
      </c>
      <c r="B6" s="5" t="inlineStr">
        <is>
          <t>回收固定资产余值</t>
        </is>
      </c>
      <c r="C6" s="6">
        <f>SUM(D6,E6,F6,G6,H6,I6,J6,K6,L6,M6,N6,O6,P6,Q6,R6,S6,T6,U6,V6,W6,X6,Y6,Z6,AA6,AB6)</f>
        <v/>
      </c>
      <c r="D6" s="6">
        <f>E20</f>
        <v/>
      </c>
      <c r="E6" s="6">
        <f>E21</f>
        <v/>
      </c>
      <c r="F6" s="6">
        <f>E22</f>
        <v/>
      </c>
      <c r="G6" s="6">
        <f>E23</f>
        <v/>
      </c>
      <c r="H6" s="6">
        <f>E24</f>
        <v/>
      </c>
      <c r="I6" s="6">
        <f>E25</f>
        <v/>
      </c>
      <c r="J6" s="6">
        <f>E26</f>
        <v/>
      </c>
      <c r="K6" s="6">
        <f>E27</f>
        <v/>
      </c>
      <c r="L6" s="6">
        <f>E28</f>
        <v/>
      </c>
      <c r="M6" s="6">
        <f>E29</f>
        <v/>
      </c>
      <c r="N6" s="6">
        <f>E30</f>
        <v/>
      </c>
      <c r="O6" s="6">
        <f>E31</f>
        <v/>
      </c>
      <c r="P6" s="6">
        <f>E32</f>
        <v/>
      </c>
      <c r="Q6" s="6">
        <f>E33</f>
        <v/>
      </c>
      <c r="R6" s="6">
        <f>E34</f>
        <v/>
      </c>
      <c r="S6" s="6">
        <f>E35</f>
        <v/>
      </c>
      <c r="T6" s="6">
        <f>E36</f>
        <v/>
      </c>
      <c r="U6" s="6">
        <f>E37</f>
        <v/>
      </c>
      <c r="V6" s="6">
        <f>E38</f>
        <v/>
      </c>
      <c r="W6" s="6">
        <f>E39</f>
        <v/>
      </c>
      <c r="X6" s="6">
        <f>E40</f>
        <v/>
      </c>
      <c r="Y6" s="6">
        <f>E41</f>
        <v/>
      </c>
      <c r="Z6" s="6">
        <f>E42</f>
        <v/>
      </c>
      <c r="AA6" s="6">
        <f>E43</f>
        <v/>
      </c>
      <c r="AB6" s="6">
        <f>E44</f>
        <v/>
      </c>
    </row>
    <row r="7">
      <c r="A7" s="5" t="inlineStr">
        <is>
          <t>1.3</t>
        </is>
      </c>
      <c r="B7" s="5" t="inlineStr">
        <is>
          <t>回收流动资金</t>
        </is>
      </c>
      <c r="C7" s="6">
        <f>SUM(D7,E7,F7,G7,H7,I7,J7,K7,L7,M7,N7,O7,P7,Q7,R7,S7,T7,U7,V7,W7,X7,Y7,Z7,AA7,AB7)</f>
        <v/>
      </c>
      <c r="D7" s="6">
        <f>F20</f>
        <v/>
      </c>
      <c r="E7" s="6">
        <f>F21</f>
        <v/>
      </c>
      <c r="F7" s="6">
        <f>F22</f>
        <v/>
      </c>
      <c r="G7" s="6">
        <f>F23</f>
        <v/>
      </c>
      <c r="H7" s="6">
        <f>F24</f>
        <v/>
      </c>
      <c r="I7" s="6">
        <f>F25</f>
        <v/>
      </c>
      <c r="J7" s="6">
        <f>F26</f>
        <v/>
      </c>
      <c r="K7" s="6">
        <f>F27</f>
        <v/>
      </c>
      <c r="L7" s="6">
        <f>F28</f>
        <v/>
      </c>
      <c r="M7" s="6">
        <f>F29</f>
        <v/>
      </c>
      <c r="N7" s="6">
        <f>F30</f>
        <v/>
      </c>
      <c r="O7" s="6">
        <f>F31</f>
        <v/>
      </c>
      <c r="P7" s="6">
        <f>F32</f>
        <v/>
      </c>
      <c r="Q7" s="6">
        <f>F33</f>
        <v/>
      </c>
      <c r="R7" s="6">
        <f>F34</f>
        <v/>
      </c>
      <c r="S7" s="6">
        <f>F35</f>
        <v/>
      </c>
      <c r="T7" s="6">
        <f>F36</f>
        <v/>
      </c>
      <c r="U7" s="6">
        <f>F37</f>
        <v/>
      </c>
      <c r="V7" s="6">
        <f>F38</f>
        <v/>
      </c>
      <c r="W7" s="6">
        <f>F39</f>
        <v/>
      </c>
      <c r="X7" s="6">
        <f>F40</f>
        <v/>
      </c>
      <c r="Y7" s="6">
        <f>F41</f>
        <v/>
      </c>
      <c r="Z7" s="6">
        <f>F42</f>
        <v/>
      </c>
      <c r="AA7" s="6">
        <f>F43</f>
        <v/>
      </c>
      <c r="AB7" s="6">
        <f>F44</f>
        <v/>
      </c>
    </row>
    <row r="8">
      <c r="A8" s="5" t="inlineStr">
        <is>
          <t>2</t>
        </is>
      </c>
      <c r="B8" s="5" t="inlineStr">
        <is>
          <t>现金流出</t>
        </is>
      </c>
      <c r="C8" s="6">
        <f>SUM(D8,E8,F8,G8,H8,I8,J8,K8,L8,M8,N8,O8,P8,Q8,R8,S8,T8,U8,V8,W8,X8,Y8,Z8,AA8,AB8)</f>
        <v/>
      </c>
      <c r="D8" s="6">
        <f>K20</f>
        <v/>
      </c>
      <c r="E8" s="6">
        <f>K21</f>
        <v/>
      </c>
      <c r="F8" s="6">
        <f>K22</f>
        <v/>
      </c>
      <c r="G8" s="6">
        <f>K23</f>
        <v/>
      </c>
      <c r="H8" s="6">
        <f>K24</f>
        <v/>
      </c>
      <c r="I8" s="6">
        <f>K25</f>
        <v/>
      </c>
      <c r="J8" s="6">
        <f>K26</f>
        <v/>
      </c>
      <c r="K8" s="6">
        <f>K27</f>
        <v/>
      </c>
      <c r="L8" s="6">
        <f>K28</f>
        <v/>
      </c>
      <c r="M8" s="6">
        <f>K29</f>
        <v/>
      </c>
      <c r="N8" s="6">
        <f>K30</f>
        <v/>
      </c>
      <c r="O8" s="6">
        <f>K31</f>
        <v/>
      </c>
      <c r="P8" s="6">
        <f>K32</f>
        <v/>
      </c>
      <c r="Q8" s="6">
        <f>K33</f>
        <v/>
      </c>
      <c r="R8" s="6">
        <f>K34</f>
        <v/>
      </c>
      <c r="S8" s="6">
        <f>K35</f>
        <v/>
      </c>
      <c r="T8" s="6">
        <f>K36</f>
        <v/>
      </c>
      <c r="U8" s="6">
        <f>K37</f>
        <v/>
      </c>
      <c r="V8" s="6">
        <f>K38</f>
        <v/>
      </c>
      <c r="W8" s="6">
        <f>K39</f>
        <v/>
      </c>
      <c r="X8" s="6">
        <f>K40</f>
        <v/>
      </c>
      <c r="Y8" s="6">
        <f>K41</f>
        <v/>
      </c>
      <c r="Z8" s="6">
        <f>K42</f>
        <v/>
      </c>
      <c r="AA8" s="6">
        <f>K43</f>
        <v/>
      </c>
      <c r="AB8" s="6">
        <f>K44</f>
        <v/>
      </c>
    </row>
    <row r="9">
      <c r="A9" s="5" t="inlineStr">
        <is>
          <t>2.1</t>
        </is>
      </c>
      <c r="B9" s="5" t="inlineStr">
        <is>
          <t>项目资本金</t>
        </is>
      </c>
      <c r="C9" s="6">
        <f>SUM(D9,E9,F9,G9,H9,I9,J9,K9,L9,M9,N9,O9,P9,Q9,R9,S9,T9,U9,V9,W9,X9,Y9,Z9,AA9,AB9)</f>
        <v/>
      </c>
      <c r="D9" s="6">
        <f>C20</f>
        <v/>
      </c>
      <c r="E9" s="6">
        <f>C21</f>
        <v/>
      </c>
      <c r="F9" s="6">
        <f>C22</f>
        <v/>
      </c>
      <c r="G9" s="6">
        <f>C23</f>
        <v/>
      </c>
      <c r="H9" s="6">
        <f>C24</f>
        <v/>
      </c>
      <c r="I9" s="6">
        <f>C25</f>
        <v/>
      </c>
      <c r="J9" s="6">
        <f>C26</f>
        <v/>
      </c>
      <c r="K9" s="6">
        <f>C27</f>
        <v/>
      </c>
      <c r="L9" s="6">
        <f>C28</f>
        <v/>
      </c>
      <c r="M9" s="6">
        <f>C29</f>
        <v/>
      </c>
      <c r="N9" s="6">
        <f>C30</f>
        <v/>
      </c>
      <c r="O9" s="6">
        <f>C31</f>
        <v/>
      </c>
      <c r="P9" s="6">
        <f>C32</f>
        <v/>
      </c>
      <c r="Q9" s="6">
        <f>C33</f>
        <v/>
      </c>
      <c r="R9" s="6">
        <f>C34</f>
        <v/>
      </c>
      <c r="S9" s="6">
        <f>C35</f>
        <v/>
      </c>
      <c r="T9" s="6">
        <f>C36</f>
        <v/>
      </c>
      <c r="U9" s="6">
        <f>C37</f>
        <v/>
      </c>
      <c r="V9" s="6">
        <f>C38</f>
        <v/>
      </c>
      <c r="W9" s="6">
        <f>C39</f>
        <v/>
      </c>
      <c r="X9" s="6">
        <f>C40</f>
        <v/>
      </c>
      <c r="Y9" s="6">
        <f>C41</f>
        <v/>
      </c>
      <c r="Z9" s="6">
        <f>C42</f>
        <v/>
      </c>
      <c r="AA9" s="6">
        <f>C43</f>
        <v/>
      </c>
      <c r="AB9" s="6">
        <f>C44</f>
        <v/>
      </c>
    </row>
    <row r="10">
      <c r="A10" s="5" t="inlineStr">
        <is>
          <t>2.2</t>
        </is>
      </c>
      <c r="B10" s="5" t="inlineStr">
        <is>
          <t>借款本金偿还</t>
        </is>
      </c>
      <c r="C10" s="6">
        <f>SUM(D10,E10,F10,G10,H10,I10,J10,K10,L10,M10,N10,O10,P10,Q10,R10,S10,T10,U10,V10,W10,X10,Y10,Z10,AA10,AB10)</f>
        <v/>
      </c>
      <c r="D10" s="6">
        <f>M20</f>
        <v/>
      </c>
      <c r="E10" s="6">
        <f>M21</f>
        <v/>
      </c>
      <c r="F10" s="6">
        <f>M22</f>
        <v/>
      </c>
      <c r="G10" s="6">
        <f>M23</f>
        <v/>
      </c>
      <c r="H10" s="6">
        <f>M24</f>
        <v/>
      </c>
      <c r="I10" s="6">
        <f>M25</f>
        <v/>
      </c>
      <c r="J10" s="6">
        <f>M26</f>
        <v/>
      </c>
      <c r="K10" s="6">
        <f>M27</f>
        <v/>
      </c>
      <c r="L10" s="6">
        <f>M28</f>
        <v/>
      </c>
      <c r="M10" s="6">
        <f>M29</f>
        <v/>
      </c>
      <c r="N10" s="6">
        <f>M30</f>
        <v/>
      </c>
      <c r="O10" s="6">
        <f>M31</f>
        <v/>
      </c>
      <c r="P10" s="6">
        <f>M32</f>
        <v/>
      </c>
      <c r="Q10" s="6">
        <f>M33</f>
        <v/>
      </c>
      <c r="R10" s="6">
        <f>M34</f>
        <v/>
      </c>
      <c r="S10" s="6">
        <f>M35</f>
        <v/>
      </c>
      <c r="T10" s="6">
        <f>M36</f>
        <v/>
      </c>
      <c r="U10" s="6">
        <f>M37</f>
        <v/>
      </c>
      <c r="V10" s="6">
        <f>M38</f>
        <v/>
      </c>
      <c r="W10" s="6">
        <f>M39</f>
        <v/>
      </c>
      <c r="X10" s="6">
        <f>M40</f>
        <v/>
      </c>
      <c r="Y10" s="6">
        <f>M41</f>
        <v/>
      </c>
      <c r="Z10" s="6">
        <f>M42</f>
        <v/>
      </c>
      <c r="AA10" s="6">
        <f>M43</f>
        <v/>
      </c>
      <c r="AB10" s="6">
        <f>M44</f>
        <v/>
      </c>
    </row>
    <row r="11">
      <c r="A11" s="5" t="inlineStr">
        <is>
          <t>2.3</t>
        </is>
      </c>
      <c r="B11" s="5" t="inlineStr">
        <is>
          <t>借款利息支付</t>
        </is>
      </c>
      <c r="C11" s="6">
        <f>SUM(D11,E11,F11,G11,H11,I11,J11,K11,L11,M11,N11,O11,P11,Q11,R11,S11,T11,U11,V11,W11,X11,Y11,Z11,AA11,AB11)</f>
        <v/>
      </c>
      <c r="D11" s="6">
        <f>N20</f>
        <v/>
      </c>
      <c r="E11" s="6">
        <f>N21</f>
        <v/>
      </c>
      <c r="F11" s="6">
        <f>N22</f>
        <v/>
      </c>
      <c r="G11" s="6">
        <f>N23</f>
        <v/>
      </c>
      <c r="H11" s="6">
        <f>N24</f>
        <v/>
      </c>
      <c r="I11" s="6">
        <f>N25</f>
        <v/>
      </c>
      <c r="J11" s="6">
        <f>N26</f>
        <v/>
      </c>
      <c r="K11" s="6">
        <f>N27</f>
        <v/>
      </c>
      <c r="L11" s="6">
        <f>N28</f>
        <v/>
      </c>
      <c r="M11" s="6">
        <f>N29</f>
        <v/>
      </c>
      <c r="N11" s="6">
        <f>N30</f>
        <v/>
      </c>
      <c r="O11" s="6">
        <f>N31</f>
        <v/>
      </c>
      <c r="P11" s="6">
        <f>N32</f>
        <v/>
      </c>
      <c r="Q11" s="6">
        <f>N33</f>
        <v/>
      </c>
      <c r="R11" s="6">
        <f>N34</f>
        <v/>
      </c>
      <c r="S11" s="6">
        <f>N35</f>
        <v/>
      </c>
      <c r="T11" s="6">
        <f>N36</f>
        <v/>
      </c>
      <c r="U11" s="6">
        <f>N37</f>
        <v/>
      </c>
      <c r="V11" s="6">
        <f>N38</f>
        <v/>
      </c>
      <c r="W11" s="6">
        <f>N39</f>
        <v/>
      </c>
      <c r="X11" s="6">
        <f>N40</f>
        <v/>
      </c>
      <c r="Y11" s="6">
        <f>N41</f>
        <v/>
      </c>
      <c r="Z11" s="6">
        <f>N42</f>
        <v/>
      </c>
      <c r="AA11" s="6">
        <f>N43</f>
        <v/>
      </c>
      <c r="AB11" s="6">
        <f>N44</f>
        <v/>
      </c>
    </row>
    <row r="12">
      <c r="A12" s="5" t="inlineStr">
        <is>
          <t>2.4</t>
        </is>
      </c>
      <c r="B12" s="5" t="inlineStr">
        <is>
          <t>经营成本</t>
        </is>
      </c>
      <c r="C12" s="6">
        <f>SUM(D12,E12,F12,G12,H12,I12,J12,K12,L12,M12,N12,O12,P12,Q12,R12,S12,T12,U12,V12,W12,X12,Y12,Z12,AA12,AB12)</f>
        <v/>
      </c>
      <c r="D12" s="6">
        <f>G20</f>
        <v/>
      </c>
      <c r="E12" s="6">
        <f>G21</f>
        <v/>
      </c>
      <c r="F12" s="6">
        <f>G22</f>
        <v/>
      </c>
      <c r="G12" s="6">
        <f>G23</f>
        <v/>
      </c>
      <c r="H12" s="6">
        <f>G24</f>
        <v/>
      </c>
      <c r="I12" s="6">
        <f>G25</f>
        <v/>
      </c>
      <c r="J12" s="6">
        <f>G26</f>
        <v/>
      </c>
      <c r="K12" s="6">
        <f>G27</f>
        <v/>
      </c>
      <c r="L12" s="6">
        <f>G28</f>
        <v/>
      </c>
      <c r="M12" s="6">
        <f>G29</f>
        <v/>
      </c>
      <c r="N12" s="6">
        <f>G30</f>
        <v/>
      </c>
      <c r="O12" s="6">
        <f>G31</f>
        <v/>
      </c>
      <c r="P12" s="6">
        <f>G32</f>
        <v/>
      </c>
      <c r="Q12" s="6">
        <f>G33</f>
        <v/>
      </c>
      <c r="R12" s="6">
        <f>G34</f>
        <v/>
      </c>
      <c r="S12" s="6">
        <f>G35</f>
        <v/>
      </c>
      <c r="T12" s="6">
        <f>G36</f>
        <v/>
      </c>
      <c r="U12" s="6">
        <f>G37</f>
        <v/>
      </c>
      <c r="V12" s="6">
        <f>G38</f>
        <v/>
      </c>
      <c r="W12" s="6">
        <f>G39</f>
        <v/>
      </c>
      <c r="X12" s="6">
        <f>G40</f>
        <v/>
      </c>
      <c r="Y12" s="6">
        <f>G41</f>
        <v/>
      </c>
      <c r="Z12" s="6">
        <f>G42</f>
        <v/>
      </c>
      <c r="AA12" s="6">
        <f>G43</f>
        <v/>
      </c>
      <c r="AB12" s="6">
        <f>G44</f>
        <v/>
      </c>
    </row>
    <row r="13">
      <c r="A13" s="5" t="inlineStr">
        <is>
          <t>2.5</t>
        </is>
      </c>
      <c r="B13" s="5" t="inlineStr">
        <is>
          <t>税金及附加</t>
        </is>
      </c>
      <c r="C13" s="6">
        <f>SUM(D13,E13,F13,G13,H13,I13,J13,K13,L13,M13,N13,O13,P13,Q13,R13,S13,T13,U13,V13,W13,X13,Y13,Z13,AA13,AB13)</f>
        <v/>
      </c>
      <c r="D13" s="6">
        <f>H20</f>
        <v/>
      </c>
      <c r="E13" s="6">
        <f>H21</f>
        <v/>
      </c>
      <c r="F13" s="6">
        <f>H22</f>
        <v/>
      </c>
      <c r="G13" s="6">
        <f>H23</f>
        <v/>
      </c>
      <c r="H13" s="6">
        <f>H24</f>
        <v/>
      </c>
      <c r="I13" s="6">
        <f>H25</f>
        <v/>
      </c>
      <c r="J13" s="6">
        <f>H26</f>
        <v/>
      </c>
      <c r="K13" s="6">
        <f>H27</f>
        <v/>
      </c>
      <c r="L13" s="6">
        <f>H28</f>
        <v/>
      </c>
      <c r="M13" s="6">
        <f>H29</f>
        <v/>
      </c>
      <c r="N13" s="6">
        <f>H30</f>
        <v/>
      </c>
      <c r="O13" s="6">
        <f>H31</f>
        <v/>
      </c>
      <c r="P13" s="6">
        <f>H32</f>
        <v/>
      </c>
      <c r="Q13" s="6">
        <f>H33</f>
        <v/>
      </c>
      <c r="R13" s="6">
        <f>H34</f>
        <v/>
      </c>
      <c r="S13" s="6">
        <f>H35</f>
        <v/>
      </c>
      <c r="T13" s="6">
        <f>H36</f>
        <v/>
      </c>
      <c r="U13" s="6">
        <f>H37</f>
        <v/>
      </c>
      <c r="V13" s="6">
        <f>H38</f>
        <v/>
      </c>
      <c r="W13" s="6">
        <f>H39</f>
        <v/>
      </c>
      <c r="X13" s="6">
        <f>H40</f>
        <v/>
      </c>
      <c r="Y13" s="6">
        <f>H41</f>
        <v/>
      </c>
      <c r="Z13" s="6">
        <f>H42</f>
        <v/>
      </c>
      <c r="AA13" s="6">
        <f>H43</f>
        <v/>
      </c>
      <c r="AB13" s="6">
        <f>H44</f>
        <v/>
      </c>
    </row>
    <row r="14">
      <c r="A14" s="5" t="inlineStr">
        <is>
          <t>2.6</t>
        </is>
      </c>
      <c r="B14" s="5" t="inlineStr">
        <is>
          <t>所得税</t>
        </is>
      </c>
      <c r="C14" s="6">
        <f>SUM(D14,E14,F14,G14,H14,I14,J14,K14,L14,M14,N14,O14,P14,Q14,R14,S14,T14,U14,V14,W14,X14,Y14,Z14,AA14,AB14)</f>
        <v/>
      </c>
      <c r="D14" s="6">
        <f>I20</f>
        <v/>
      </c>
      <c r="E14" s="6">
        <f>I21</f>
        <v/>
      </c>
      <c r="F14" s="6">
        <f>I22</f>
        <v/>
      </c>
      <c r="G14" s="6">
        <f>I23</f>
        <v/>
      </c>
      <c r="H14" s="6">
        <f>I24</f>
        <v/>
      </c>
      <c r="I14" s="6">
        <f>I25</f>
        <v/>
      </c>
      <c r="J14" s="6">
        <f>I26</f>
        <v/>
      </c>
      <c r="K14" s="6">
        <f>I27</f>
        <v/>
      </c>
      <c r="L14" s="6">
        <f>I28</f>
        <v/>
      </c>
      <c r="M14" s="6">
        <f>I29</f>
        <v/>
      </c>
      <c r="N14" s="6">
        <f>I30</f>
        <v/>
      </c>
      <c r="O14" s="6">
        <f>I31</f>
        <v/>
      </c>
      <c r="P14" s="6">
        <f>I32</f>
        <v/>
      </c>
      <c r="Q14" s="6">
        <f>I33</f>
        <v/>
      </c>
      <c r="R14" s="6">
        <f>I34</f>
        <v/>
      </c>
      <c r="S14" s="6">
        <f>I35</f>
        <v/>
      </c>
      <c r="T14" s="6">
        <f>I36</f>
        <v/>
      </c>
      <c r="U14" s="6">
        <f>I37</f>
        <v/>
      </c>
      <c r="V14" s="6">
        <f>I38</f>
        <v/>
      </c>
      <c r="W14" s="6">
        <f>I39</f>
        <v/>
      </c>
      <c r="X14" s="6">
        <f>I40</f>
        <v/>
      </c>
      <c r="Y14" s="6">
        <f>I41</f>
        <v/>
      </c>
      <c r="Z14" s="6">
        <f>I42</f>
        <v/>
      </c>
      <c r="AA14" s="6">
        <f>I43</f>
        <v/>
      </c>
      <c r="AB14" s="6">
        <f>I44</f>
        <v/>
      </c>
    </row>
    <row r="15">
      <c r="A15" s="5" t="inlineStr">
        <is>
          <t>3</t>
        </is>
      </c>
      <c r="B15" s="5" t="inlineStr">
        <is>
          <t>资本金净现金流量</t>
        </is>
      </c>
      <c r="C15" s="6">
        <f>SUM(D15,E15,F15,G15,H15,I15,J15,K15,L15,M15,N15,O15,P15,Q15,R15,S15,T15,U15,V15,W15,X15,Y15,Z15,AA15,AB15)</f>
        <v/>
      </c>
      <c r="D15" s="6">
        <f>O20</f>
        <v/>
      </c>
      <c r="E15" s="6">
        <f>O21</f>
        <v/>
      </c>
      <c r="F15" s="6">
        <f>O22</f>
        <v/>
      </c>
      <c r="G15" s="6">
        <f>O23</f>
        <v/>
      </c>
      <c r="H15" s="6">
        <f>O24</f>
        <v/>
      </c>
      <c r="I15" s="6">
        <f>O25</f>
        <v/>
      </c>
      <c r="J15" s="6">
        <f>O26</f>
        <v/>
      </c>
      <c r="K15" s="6">
        <f>O27</f>
        <v/>
      </c>
      <c r="L15" s="6">
        <f>O28</f>
        <v/>
      </c>
      <c r="M15" s="6">
        <f>O29</f>
        <v/>
      </c>
      <c r="N15" s="6">
        <f>O30</f>
        <v/>
      </c>
      <c r="O15" s="6">
        <f>O31</f>
        <v/>
      </c>
      <c r="P15" s="6">
        <f>O32</f>
        <v/>
      </c>
      <c r="Q15" s="6">
        <f>O33</f>
        <v/>
      </c>
      <c r="R15" s="6">
        <f>O34</f>
        <v/>
      </c>
      <c r="S15" s="6">
        <f>O35</f>
        <v/>
      </c>
      <c r="T15" s="6">
        <f>O36</f>
        <v/>
      </c>
      <c r="U15" s="6">
        <f>O37</f>
        <v/>
      </c>
      <c r="V15" s="6">
        <f>O38</f>
        <v/>
      </c>
      <c r="W15" s="6">
        <f>O39</f>
        <v/>
      </c>
      <c r="X15" s="6">
        <f>O40</f>
        <v/>
      </c>
      <c r="Y15" s="6">
        <f>O41</f>
        <v/>
      </c>
      <c r="Z15" s="6">
        <f>O42</f>
        <v/>
      </c>
      <c r="AA15" s="6">
        <f>O43</f>
        <v/>
      </c>
      <c r="AB15" s="6">
        <f>O44</f>
        <v/>
      </c>
    </row>
    <row r="16">
      <c r="A16" s="5" t="inlineStr">
        <is>
          <t>4</t>
        </is>
      </c>
      <c r="B16" s="5" t="inlineStr">
        <is>
          <t>累计净现金流量</t>
        </is>
      </c>
      <c r="C16" s="6" t="n">
        <v>10379.95</v>
      </c>
      <c r="D16" s="6" t="n">
        <v>-12417.35</v>
      </c>
      <c r="E16" s="6" t="n">
        <v>-12938.54</v>
      </c>
      <c r="F16" s="6" t="n">
        <v>-13396.05</v>
      </c>
      <c r="G16" s="6" t="n">
        <v>-13789.88</v>
      </c>
      <c r="H16" s="6" t="n">
        <v>-14120.03</v>
      </c>
      <c r="I16" s="6" t="n">
        <v>-14386.51</v>
      </c>
      <c r="J16" s="6" t="n">
        <v>-14589.31</v>
      </c>
      <c r="K16" s="6" t="n">
        <v>-14728.43</v>
      </c>
      <c r="L16" s="6" t="n">
        <v>-14803.87</v>
      </c>
      <c r="M16" s="6" t="n">
        <v>-14815.63</v>
      </c>
      <c r="N16" s="6" t="n">
        <v>-14763.71</v>
      </c>
      <c r="O16" s="6" t="n">
        <v>-14648.11</v>
      </c>
      <c r="P16" s="6" t="n">
        <v>-14468.83</v>
      </c>
      <c r="Q16" s="6" t="n">
        <v>-14225.88</v>
      </c>
      <c r="R16" s="6" t="n">
        <v>-13919.25</v>
      </c>
      <c r="S16" s="6" t="n">
        <v>-13548.94</v>
      </c>
      <c r="T16" s="6" t="n">
        <v>-11124.99</v>
      </c>
      <c r="U16" s="6" t="n">
        <v>-8701.040000000001</v>
      </c>
      <c r="V16" s="6" t="n">
        <v>-6277.09</v>
      </c>
      <c r="W16" s="6" t="n">
        <v>-3853.14</v>
      </c>
      <c r="X16" s="6" t="n">
        <v>-1429.19</v>
      </c>
      <c r="Y16" s="6" t="n">
        <v>994.76</v>
      </c>
      <c r="Z16" s="6" t="n">
        <v>3418.71</v>
      </c>
      <c r="AA16" s="6" t="n">
        <v>5842.66</v>
      </c>
      <c r="AB16" s="6" t="n">
        <v>10379.95</v>
      </c>
    </row>
    <row r="17"/>
    <row r="18">
      <c r="A18" t="inlineStr">
        <is>
          <t>引擎逐年计算区（供公式与跨表追溯）</t>
        </is>
      </c>
    </row>
    <row r="19">
      <c r="A19" s="7" t="inlineStr">
        <is>
          <t>计算期(年)</t>
        </is>
      </c>
      <c r="B19" s="7" t="inlineStr">
        <is>
          <t>阶段</t>
        </is>
      </c>
      <c r="C19" s="7" t="inlineStr">
        <is>
          <t>资本金投入</t>
        </is>
      </c>
      <c r="D19" s="7" t="inlineStr">
        <is>
          <t>营业收入</t>
        </is>
      </c>
      <c r="E19" s="7" t="inlineStr">
        <is>
          <t>回收固定资产余值</t>
        </is>
      </c>
      <c r="F19" s="7" t="inlineStr">
        <is>
          <t>回收流动资金</t>
        </is>
      </c>
      <c r="G19" s="7" t="inlineStr">
        <is>
          <t>经营成本</t>
        </is>
      </c>
      <c r="H19" s="7" t="inlineStr">
        <is>
          <t>税金及附加</t>
        </is>
      </c>
      <c r="I19" s="7" t="inlineStr">
        <is>
          <t>所得税</t>
        </is>
      </c>
      <c r="J19" s="7" t="inlineStr">
        <is>
          <t>现金流入</t>
        </is>
      </c>
      <c r="K19" s="7" t="inlineStr">
        <is>
          <t>现金流出</t>
        </is>
      </c>
      <c r="L19" s="7" t="inlineStr">
        <is>
          <t>经营现金流入</t>
        </is>
      </c>
      <c r="M19" s="7" t="inlineStr">
        <is>
          <t>还本</t>
        </is>
      </c>
      <c r="N19" s="7" t="inlineStr">
        <is>
          <t>付息</t>
        </is>
      </c>
      <c r="O19" s="7" t="inlineStr">
        <is>
          <t>资本金净现金流</t>
        </is>
      </c>
    </row>
    <row r="20">
      <c r="A20" s="8" t="n">
        <v>0</v>
      </c>
      <c r="B20" t="inlineStr">
        <is>
          <t>建设期</t>
        </is>
      </c>
      <c r="C20" s="8" t="n">
        <v>12417.35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>
        <f>SUM(D20,E20,F20)</f>
        <v/>
      </c>
      <c r="K20" s="8">
        <f>SUM(C20,G20,H20,I20,M20,N20)</f>
        <v/>
      </c>
      <c r="L20" s="8" t="n">
        <v>0</v>
      </c>
      <c r="M20" s="8" t="n">
        <v>0</v>
      </c>
      <c r="N20" s="8" t="n">
        <v>0</v>
      </c>
      <c r="O20" s="8">
        <f>J20-K20</f>
        <v/>
      </c>
    </row>
    <row r="21">
      <c r="A21" s="8" t="n">
        <v>1</v>
      </c>
      <c r="B21" t="inlineStr">
        <is>
          <t>运营期</t>
        </is>
      </c>
      <c r="C21" s="8" t="n">
        <v>0</v>
      </c>
      <c r="D21" s="8" t="n">
        <v>4195.8</v>
      </c>
      <c r="E21" s="8" t="n">
        <v>0</v>
      </c>
      <c r="F21" s="8" t="n">
        <v>0</v>
      </c>
      <c r="G21" s="8" t="n">
        <v>1473.79</v>
      </c>
      <c r="H21" s="8" t="n">
        <v>47.77</v>
      </c>
      <c r="I21" s="8" t="n">
        <v>250.29</v>
      </c>
      <c r="J21" s="8">
        <f>SUM(D21,E21,F21)</f>
        <v/>
      </c>
      <c r="K21" s="8">
        <f>SUM(C21,G21,H21,I21,M21,N21)</f>
        <v/>
      </c>
      <c r="L21" s="8" t="n">
        <v>2423.95</v>
      </c>
      <c r="M21" s="8">
        <f>'附表8'!E24</f>
        <v/>
      </c>
      <c r="N21" s="8">
        <f>'附表8'!F24</f>
        <v/>
      </c>
      <c r="O21" s="8">
        <f>J21-K21</f>
        <v/>
      </c>
    </row>
    <row r="22">
      <c r="A22" s="8" t="n">
        <v>2</v>
      </c>
      <c r="B22" t="inlineStr">
        <is>
          <t>运营期</t>
        </is>
      </c>
      <c r="C22" s="8" t="n">
        <v>0</v>
      </c>
      <c r="D22" s="8" t="n">
        <v>4195.8</v>
      </c>
      <c r="E22" s="8" t="n">
        <v>0</v>
      </c>
      <c r="F22" s="8" t="n">
        <v>0</v>
      </c>
      <c r="G22" s="8" t="n">
        <v>1473.79</v>
      </c>
      <c r="H22" s="8" t="n">
        <v>47.77</v>
      </c>
      <c r="I22" s="8" t="n">
        <v>250.29</v>
      </c>
      <c r="J22" s="8">
        <f>SUM(D22,E22,F22)</f>
        <v/>
      </c>
      <c r="K22" s="8">
        <f>SUM(C22,G22,H22,I22,M22,N22)</f>
        <v/>
      </c>
      <c r="L22" s="8" t="n">
        <v>2423.95</v>
      </c>
      <c r="M22" s="8">
        <f>'附表8'!E25</f>
        <v/>
      </c>
      <c r="N22" s="8">
        <f>'附表8'!F25</f>
        <v/>
      </c>
      <c r="O22" s="8">
        <f>J22-K22</f>
        <v/>
      </c>
    </row>
    <row r="23">
      <c r="A23" s="8" t="n">
        <v>3</v>
      </c>
      <c r="B23" t="inlineStr">
        <is>
          <t>运营期</t>
        </is>
      </c>
      <c r="C23" s="8" t="n">
        <v>0</v>
      </c>
      <c r="D23" s="8" t="n">
        <v>4195.8</v>
      </c>
      <c r="E23" s="8" t="n">
        <v>0</v>
      </c>
      <c r="F23" s="8" t="n">
        <v>0</v>
      </c>
      <c r="G23" s="8" t="n">
        <v>1473.79</v>
      </c>
      <c r="H23" s="8" t="n">
        <v>47.77</v>
      </c>
      <c r="I23" s="8" t="n">
        <v>250.29</v>
      </c>
      <c r="J23" s="8">
        <f>SUM(D23,E23,F23)</f>
        <v/>
      </c>
      <c r="K23" s="8">
        <f>SUM(C23,G23,H23,I23,M23,N23)</f>
        <v/>
      </c>
      <c r="L23" s="8" t="n">
        <v>2423.95</v>
      </c>
      <c r="M23" s="8">
        <f>'附表8'!E26</f>
        <v/>
      </c>
      <c r="N23" s="8">
        <f>'附表8'!F26</f>
        <v/>
      </c>
      <c r="O23" s="8">
        <f>J23-K23</f>
        <v/>
      </c>
    </row>
    <row r="24">
      <c r="A24" s="8" t="n">
        <v>4</v>
      </c>
      <c r="B24" t="inlineStr">
        <is>
          <t>运营期</t>
        </is>
      </c>
      <c r="C24" s="8" t="n">
        <v>0</v>
      </c>
      <c r="D24" s="8" t="n">
        <v>4195.8</v>
      </c>
      <c r="E24" s="8" t="n">
        <v>0</v>
      </c>
      <c r="F24" s="8" t="n">
        <v>0</v>
      </c>
      <c r="G24" s="8" t="n">
        <v>1473.79</v>
      </c>
      <c r="H24" s="8" t="n">
        <v>47.77</v>
      </c>
      <c r="I24" s="8" t="n">
        <v>250.29</v>
      </c>
      <c r="J24" s="8">
        <f>SUM(D24,E24,F24)</f>
        <v/>
      </c>
      <c r="K24" s="8">
        <f>SUM(C24,G24,H24,I24,M24,N24)</f>
        <v/>
      </c>
      <c r="L24" s="8" t="n">
        <v>2423.95</v>
      </c>
      <c r="M24" s="8">
        <f>'附表8'!E27</f>
        <v/>
      </c>
      <c r="N24" s="8">
        <f>'附表8'!F27</f>
        <v/>
      </c>
      <c r="O24" s="8">
        <f>J24-K24</f>
        <v/>
      </c>
    </row>
    <row r="25">
      <c r="A25" s="8" t="n">
        <v>5</v>
      </c>
      <c r="B25" t="inlineStr">
        <is>
          <t>运营期</t>
        </is>
      </c>
      <c r="C25" s="8" t="n">
        <v>0</v>
      </c>
      <c r="D25" s="8" t="n">
        <v>4195.8</v>
      </c>
      <c r="E25" s="8" t="n">
        <v>0</v>
      </c>
      <c r="F25" s="8" t="n">
        <v>0</v>
      </c>
      <c r="G25" s="8" t="n">
        <v>1473.79</v>
      </c>
      <c r="H25" s="8" t="n">
        <v>47.77</v>
      </c>
      <c r="I25" s="8" t="n">
        <v>250.29</v>
      </c>
      <c r="J25" s="8">
        <f>SUM(D25,E25,F25)</f>
        <v/>
      </c>
      <c r="K25" s="8">
        <f>SUM(C25,G25,H25,I25,M25,N25)</f>
        <v/>
      </c>
      <c r="L25" s="8" t="n">
        <v>2423.95</v>
      </c>
      <c r="M25" s="8">
        <f>'附表8'!E28</f>
        <v/>
      </c>
      <c r="N25" s="8">
        <f>'附表8'!F28</f>
        <v/>
      </c>
      <c r="O25" s="8">
        <f>J25-K25</f>
        <v/>
      </c>
    </row>
    <row r="26">
      <c r="A26" s="8" t="n">
        <v>6</v>
      </c>
      <c r="B26" t="inlineStr">
        <is>
          <t>运营期</t>
        </is>
      </c>
      <c r="C26" s="8" t="n">
        <v>0</v>
      </c>
      <c r="D26" s="8" t="n">
        <v>4195.8</v>
      </c>
      <c r="E26" s="8" t="n">
        <v>0</v>
      </c>
      <c r="F26" s="8" t="n">
        <v>0</v>
      </c>
      <c r="G26" s="8" t="n">
        <v>1473.79</v>
      </c>
      <c r="H26" s="8" t="n">
        <v>47.77</v>
      </c>
      <c r="I26" s="8" t="n">
        <v>250.29</v>
      </c>
      <c r="J26" s="8">
        <f>SUM(D26,E26,F26)</f>
        <v/>
      </c>
      <c r="K26" s="8">
        <f>SUM(C26,G26,H26,I26,M26,N26)</f>
        <v/>
      </c>
      <c r="L26" s="8" t="n">
        <v>2423.95</v>
      </c>
      <c r="M26" s="8">
        <f>'附表8'!E29</f>
        <v/>
      </c>
      <c r="N26" s="8">
        <f>'附表8'!F29</f>
        <v/>
      </c>
      <c r="O26" s="8">
        <f>J26-K26</f>
        <v/>
      </c>
    </row>
    <row r="27">
      <c r="A27" s="8" t="n">
        <v>7</v>
      </c>
      <c r="B27" t="inlineStr">
        <is>
          <t>运营期</t>
        </is>
      </c>
      <c r="C27" s="8" t="n">
        <v>0</v>
      </c>
      <c r="D27" s="8" t="n">
        <v>4195.8</v>
      </c>
      <c r="E27" s="8" t="n">
        <v>0</v>
      </c>
      <c r="F27" s="8" t="n">
        <v>0</v>
      </c>
      <c r="G27" s="8" t="n">
        <v>1473.79</v>
      </c>
      <c r="H27" s="8" t="n">
        <v>47.77</v>
      </c>
      <c r="I27" s="8" t="n">
        <v>250.29</v>
      </c>
      <c r="J27" s="8">
        <f>SUM(D27,E27,F27)</f>
        <v/>
      </c>
      <c r="K27" s="8">
        <f>SUM(C27,G27,H27,I27,M27,N27)</f>
        <v/>
      </c>
      <c r="L27" s="8" t="n">
        <v>2423.95</v>
      </c>
      <c r="M27" s="8">
        <f>'附表8'!E30</f>
        <v/>
      </c>
      <c r="N27" s="8">
        <f>'附表8'!F30</f>
        <v/>
      </c>
      <c r="O27" s="8">
        <f>J27-K27</f>
        <v/>
      </c>
    </row>
    <row r="28">
      <c r="A28" s="8" t="n">
        <v>8</v>
      </c>
      <c r="B28" t="inlineStr">
        <is>
          <t>运营期</t>
        </is>
      </c>
      <c r="C28" s="8" t="n">
        <v>0</v>
      </c>
      <c r="D28" s="8" t="n">
        <v>4195.8</v>
      </c>
      <c r="E28" s="8" t="n">
        <v>0</v>
      </c>
      <c r="F28" s="8" t="n">
        <v>0</v>
      </c>
      <c r="G28" s="8" t="n">
        <v>1473.79</v>
      </c>
      <c r="H28" s="8" t="n">
        <v>47.77</v>
      </c>
      <c r="I28" s="8" t="n">
        <v>250.29</v>
      </c>
      <c r="J28" s="8">
        <f>SUM(D28,E28,F28)</f>
        <v/>
      </c>
      <c r="K28" s="8">
        <f>SUM(C28,G28,H28,I28,M28,N28)</f>
        <v/>
      </c>
      <c r="L28" s="8" t="n">
        <v>2423.95</v>
      </c>
      <c r="M28" s="8">
        <f>'附表8'!E31</f>
        <v/>
      </c>
      <c r="N28" s="8">
        <f>'附表8'!F31</f>
        <v/>
      </c>
      <c r="O28" s="8">
        <f>J28-K28</f>
        <v/>
      </c>
    </row>
    <row r="29">
      <c r="A29" s="8" t="n">
        <v>9</v>
      </c>
      <c r="B29" t="inlineStr">
        <is>
          <t>运营期</t>
        </is>
      </c>
      <c r="C29" s="8" t="n">
        <v>0</v>
      </c>
      <c r="D29" s="8" t="n">
        <v>4195.8</v>
      </c>
      <c r="E29" s="8" t="n">
        <v>0</v>
      </c>
      <c r="F29" s="8" t="n">
        <v>0</v>
      </c>
      <c r="G29" s="8" t="n">
        <v>1473.79</v>
      </c>
      <c r="H29" s="8" t="n">
        <v>47.77</v>
      </c>
      <c r="I29" s="8" t="n">
        <v>250.29</v>
      </c>
      <c r="J29" s="8">
        <f>SUM(D29,E29,F29)</f>
        <v/>
      </c>
      <c r="K29" s="8">
        <f>SUM(C29,G29,H29,I29,M29,N29)</f>
        <v/>
      </c>
      <c r="L29" s="8" t="n">
        <v>2423.95</v>
      </c>
      <c r="M29" s="8">
        <f>'附表8'!E32</f>
        <v/>
      </c>
      <c r="N29" s="8">
        <f>'附表8'!F32</f>
        <v/>
      </c>
      <c r="O29" s="8">
        <f>J29-K29</f>
        <v/>
      </c>
    </row>
    <row r="30">
      <c r="A30" s="8" t="n">
        <v>10</v>
      </c>
      <c r="B30" t="inlineStr">
        <is>
          <t>运营期</t>
        </is>
      </c>
      <c r="C30" s="8" t="n">
        <v>0</v>
      </c>
      <c r="D30" s="8" t="n">
        <v>4195.8</v>
      </c>
      <c r="E30" s="8" t="n">
        <v>0</v>
      </c>
      <c r="F30" s="8" t="n">
        <v>0</v>
      </c>
      <c r="G30" s="8" t="n">
        <v>1473.79</v>
      </c>
      <c r="H30" s="8" t="n">
        <v>47.77</v>
      </c>
      <c r="I30" s="8" t="n">
        <v>250.29</v>
      </c>
      <c r="J30" s="8">
        <f>SUM(D30,E30,F30)</f>
        <v/>
      </c>
      <c r="K30" s="8">
        <f>SUM(C30,G30,H30,I30,M30,N30)</f>
        <v/>
      </c>
      <c r="L30" s="8" t="n">
        <v>2423.95</v>
      </c>
      <c r="M30" s="8">
        <f>'附表8'!E33</f>
        <v/>
      </c>
      <c r="N30" s="8">
        <f>'附表8'!F33</f>
        <v/>
      </c>
      <c r="O30" s="8">
        <f>J30-K30</f>
        <v/>
      </c>
    </row>
    <row r="31">
      <c r="A31" s="8" t="n">
        <v>11</v>
      </c>
      <c r="B31" t="inlineStr">
        <is>
          <t>运营期</t>
        </is>
      </c>
      <c r="C31" s="8" t="n">
        <v>0</v>
      </c>
      <c r="D31" s="8" t="n">
        <v>4195.8</v>
      </c>
      <c r="E31" s="8" t="n">
        <v>0</v>
      </c>
      <c r="F31" s="8" t="n">
        <v>0</v>
      </c>
      <c r="G31" s="8" t="n">
        <v>1473.79</v>
      </c>
      <c r="H31" s="8" t="n">
        <v>47.77</v>
      </c>
      <c r="I31" s="8" t="n">
        <v>250.29</v>
      </c>
      <c r="J31" s="8">
        <f>SUM(D31,E31,F31)</f>
        <v/>
      </c>
      <c r="K31" s="8">
        <f>SUM(C31,G31,H31,I31,M31,N31)</f>
        <v/>
      </c>
      <c r="L31" s="8" t="n">
        <v>2423.95</v>
      </c>
      <c r="M31" s="8">
        <f>'附表8'!E34</f>
        <v/>
      </c>
      <c r="N31" s="8">
        <f>'附表8'!F34</f>
        <v/>
      </c>
      <c r="O31" s="8">
        <f>J31-K31</f>
        <v/>
      </c>
    </row>
    <row r="32">
      <c r="A32" s="8" t="n">
        <v>12</v>
      </c>
      <c r="B32" t="inlineStr">
        <is>
          <t>运营期</t>
        </is>
      </c>
      <c r="C32" s="8" t="n">
        <v>0</v>
      </c>
      <c r="D32" s="8" t="n">
        <v>4195.8</v>
      </c>
      <c r="E32" s="8" t="n">
        <v>0</v>
      </c>
      <c r="F32" s="8" t="n">
        <v>0</v>
      </c>
      <c r="G32" s="8" t="n">
        <v>1473.79</v>
      </c>
      <c r="H32" s="8" t="n">
        <v>47.77</v>
      </c>
      <c r="I32" s="8" t="n">
        <v>250.29</v>
      </c>
      <c r="J32" s="8">
        <f>SUM(D32,E32,F32)</f>
        <v/>
      </c>
      <c r="K32" s="8">
        <f>SUM(C32,G32,H32,I32,M32,N32)</f>
        <v/>
      </c>
      <c r="L32" s="8" t="n">
        <v>2423.95</v>
      </c>
      <c r="M32" s="8">
        <f>'附表8'!E35</f>
        <v/>
      </c>
      <c r="N32" s="8">
        <f>'附表8'!F35</f>
        <v/>
      </c>
      <c r="O32" s="8">
        <f>J32-K32</f>
        <v/>
      </c>
    </row>
    <row r="33">
      <c r="A33" s="8" t="n">
        <v>13</v>
      </c>
      <c r="B33" t="inlineStr">
        <is>
          <t>运营期</t>
        </is>
      </c>
      <c r="C33" s="8" t="n">
        <v>0</v>
      </c>
      <c r="D33" s="8" t="n">
        <v>4195.8</v>
      </c>
      <c r="E33" s="8" t="n">
        <v>0</v>
      </c>
      <c r="F33" s="8" t="n">
        <v>0</v>
      </c>
      <c r="G33" s="8" t="n">
        <v>1473.79</v>
      </c>
      <c r="H33" s="8" t="n">
        <v>47.77</v>
      </c>
      <c r="I33" s="8" t="n">
        <v>250.29</v>
      </c>
      <c r="J33" s="8">
        <f>SUM(D33,E33,F33)</f>
        <v/>
      </c>
      <c r="K33" s="8">
        <f>SUM(C33,G33,H33,I33,M33,N33)</f>
        <v/>
      </c>
      <c r="L33" s="8" t="n">
        <v>2423.95</v>
      </c>
      <c r="M33" s="8">
        <f>'附表8'!E36</f>
        <v/>
      </c>
      <c r="N33" s="8">
        <f>'附表8'!F36</f>
        <v/>
      </c>
      <c r="O33" s="8">
        <f>J33-K33</f>
        <v/>
      </c>
    </row>
    <row r="34">
      <c r="A34" s="8" t="n">
        <v>14</v>
      </c>
      <c r="B34" t="inlineStr">
        <is>
          <t>运营期</t>
        </is>
      </c>
      <c r="C34" s="8" t="n">
        <v>0</v>
      </c>
      <c r="D34" s="8" t="n">
        <v>4195.8</v>
      </c>
      <c r="E34" s="8" t="n">
        <v>0</v>
      </c>
      <c r="F34" s="8" t="n">
        <v>0</v>
      </c>
      <c r="G34" s="8" t="n">
        <v>1473.79</v>
      </c>
      <c r="H34" s="8" t="n">
        <v>47.77</v>
      </c>
      <c r="I34" s="8" t="n">
        <v>250.29</v>
      </c>
      <c r="J34" s="8">
        <f>SUM(D34,E34,F34)</f>
        <v/>
      </c>
      <c r="K34" s="8">
        <f>SUM(C34,G34,H34,I34,M34,N34)</f>
        <v/>
      </c>
      <c r="L34" s="8" t="n">
        <v>2423.95</v>
      </c>
      <c r="M34" s="8">
        <f>'附表8'!E37</f>
        <v/>
      </c>
      <c r="N34" s="8">
        <f>'附表8'!F37</f>
        <v/>
      </c>
      <c r="O34" s="8">
        <f>J34-K34</f>
        <v/>
      </c>
    </row>
    <row r="35">
      <c r="A35" s="8" t="n">
        <v>15</v>
      </c>
      <c r="B35" t="inlineStr">
        <is>
          <t>运营期</t>
        </is>
      </c>
      <c r="C35" s="8" t="n">
        <v>0</v>
      </c>
      <c r="D35" s="8" t="n">
        <v>4195.8</v>
      </c>
      <c r="E35" s="8" t="n">
        <v>0</v>
      </c>
      <c r="F35" s="8" t="n">
        <v>0</v>
      </c>
      <c r="G35" s="8" t="n">
        <v>1473.79</v>
      </c>
      <c r="H35" s="8" t="n">
        <v>47.77</v>
      </c>
      <c r="I35" s="8" t="n">
        <v>250.29</v>
      </c>
      <c r="J35" s="8">
        <f>SUM(D35,E35,F35)</f>
        <v/>
      </c>
      <c r="K35" s="8">
        <f>SUM(C35,G35,H35,I35,M35,N35)</f>
        <v/>
      </c>
      <c r="L35" s="8" t="n">
        <v>2423.95</v>
      </c>
      <c r="M35" s="8">
        <f>'附表8'!E38</f>
        <v/>
      </c>
      <c r="N35" s="8">
        <f>'附表8'!F38</f>
        <v/>
      </c>
      <c r="O35" s="8">
        <f>J35-K35</f>
        <v/>
      </c>
    </row>
    <row r="36">
      <c r="A36" s="8" t="n">
        <v>16</v>
      </c>
      <c r="B36" t="inlineStr">
        <is>
          <t>运营期</t>
        </is>
      </c>
      <c r="C36" s="8" t="n">
        <v>0</v>
      </c>
      <c r="D36" s="8" t="n">
        <v>4195.8</v>
      </c>
      <c r="E36" s="8" t="n">
        <v>0</v>
      </c>
      <c r="F36" s="8" t="n">
        <v>0</v>
      </c>
      <c r="G36" s="8" t="n">
        <v>1473.79</v>
      </c>
      <c r="H36" s="8" t="n">
        <v>47.77</v>
      </c>
      <c r="I36" s="8" t="n">
        <v>250.29</v>
      </c>
      <c r="J36" s="8">
        <f>SUM(D36,E36,F36)</f>
        <v/>
      </c>
      <c r="K36" s="8">
        <f>SUM(C36,G36,H36,I36,M36,N36)</f>
        <v/>
      </c>
      <c r="L36" s="8" t="n">
        <v>2423.95</v>
      </c>
      <c r="M36" s="8">
        <f>'附表8'!E39</f>
        <v/>
      </c>
      <c r="N36" s="8">
        <f>'附表8'!F39</f>
        <v/>
      </c>
      <c r="O36" s="8">
        <f>J36-K36</f>
        <v/>
      </c>
    </row>
    <row r="37">
      <c r="A37" s="8" t="n">
        <v>17</v>
      </c>
      <c r="B37" t="inlineStr">
        <is>
          <t>运营期</t>
        </is>
      </c>
      <c r="C37" s="8" t="n">
        <v>0</v>
      </c>
      <c r="D37" s="8" t="n">
        <v>4195.8</v>
      </c>
      <c r="E37" s="8" t="n">
        <v>0</v>
      </c>
      <c r="F37" s="8" t="n">
        <v>0</v>
      </c>
      <c r="G37" s="8" t="n">
        <v>1473.79</v>
      </c>
      <c r="H37" s="8" t="n">
        <v>47.77</v>
      </c>
      <c r="I37" s="8" t="n">
        <v>250.29</v>
      </c>
      <c r="J37" s="8">
        <f>SUM(D37,E37,F37)</f>
        <v/>
      </c>
      <c r="K37" s="8">
        <f>SUM(C37,G37,H37,I37,M37,N37)</f>
        <v/>
      </c>
      <c r="L37" s="8" t="n">
        <v>2423.95</v>
      </c>
      <c r="M37" s="8">
        <f>'附表8'!E40</f>
        <v/>
      </c>
      <c r="N37" s="8">
        <f>'附表8'!F40</f>
        <v/>
      </c>
      <c r="O37" s="8">
        <f>J37-K37</f>
        <v/>
      </c>
    </row>
    <row r="38">
      <c r="A38" s="8" t="n">
        <v>18</v>
      </c>
      <c r="B38" t="inlineStr">
        <is>
          <t>运营期</t>
        </is>
      </c>
      <c r="C38" s="8" t="n">
        <v>0</v>
      </c>
      <c r="D38" s="8" t="n">
        <v>4195.8</v>
      </c>
      <c r="E38" s="8" t="n">
        <v>0</v>
      </c>
      <c r="F38" s="8" t="n">
        <v>0</v>
      </c>
      <c r="G38" s="8" t="n">
        <v>1473.79</v>
      </c>
      <c r="H38" s="8" t="n">
        <v>47.77</v>
      </c>
      <c r="I38" s="8" t="n">
        <v>250.29</v>
      </c>
      <c r="J38" s="8">
        <f>SUM(D38,E38,F38)</f>
        <v/>
      </c>
      <c r="K38" s="8">
        <f>SUM(C38,G38,H38,I38,M38,N38)</f>
        <v/>
      </c>
      <c r="L38" s="8" t="n">
        <v>2423.95</v>
      </c>
      <c r="M38" s="8">
        <f>'附表8'!E41</f>
        <v/>
      </c>
      <c r="N38" s="8">
        <f>'附表8'!F41</f>
        <v/>
      </c>
      <c r="O38" s="8">
        <f>J38-K38</f>
        <v/>
      </c>
    </row>
    <row r="39">
      <c r="A39" s="8" t="n">
        <v>19</v>
      </c>
      <c r="B39" t="inlineStr">
        <is>
          <t>运营期</t>
        </is>
      </c>
      <c r="C39" s="8" t="n">
        <v>0</v>
      </c>
      <c r="D39" s="8" t="n">
        <v>4195.8</v>
      </c>
      <c r="E39" s="8" t="n">
        <v>0</v>
      </c>
      <c r="F39" s="8" t="n">
        <v>0</v>
      </c>
      <c r="G39" s="8" t="n">
        <v>1473.79</v>
      </c>
      <c r="H39" s="8" t="n">
        <v>47.77</v>
      </c>
      <c r="I39" s="8" t="n">
        <v>250.29</v>
      </c>
      <c r="J39" s="8">
        <f>SUM(D39,E39,F39)</f>
        <v/>
      </c>
      <c r="K39" s="8">
        <f>SUM(C39,G39,H39,I39,M39,N39)</f>
        <v/>
      </c>
      <c r="L39" s="8" t="n">
        <v>2423.95</v>
      </c>
      <c r="M39" s="8">
        <f>'附表8'!E42</f>
        <v/>
      </c>
      <c r="N39" s="8">
        <f>'附表8'!F42</f>
        <v/>
      </c>
      <c r="O39" s="8">
        <f>J39-K39</f>
        <v/>
      </c>
    </row>
    <row r="40">
      <c r="A40" s="8" t="n">
        <v>20</v>
      </c>
      <c r="B40" t="inlineStr">
        <is>
          <t>运营期</t>
        </is>
      </c>
      <c r="C40" s="8" t="n">
        <v>0</v>
      </c>
      <c r="D40" s="8" t="n">
        <v>4195.8</v>
      </c>
      <c r="E40" s="8" t="n">
        <v>0</v>
      </c>
      <c r="F40" s="8" t="n">
        <v>0</v>
      </c>
      <c r="G40" s="8" t="n">
        <v>1473.79</v>
      </c>
      <c r="H40" s="8" t="n">
        <v>47.77</v>
      </c>
      <c r="I40" s="8" t="n">
        <v>250.29</v>
      </c>
      <c r="J40" s="8">
        <f>SUM(D40,E40,F40)</f>
        <v/>
      </c>
      <c r="K40" s="8">
        <f>SUM(C40,G40,H40,I40,M40,N40)</f>
        <v/>
      </c>
      <c r="L40" s="8" t="n">
        <v>2423.95</v>
      </c>
      <c r="M40" s="8">
        <f>'附表8'!E43</f>
        <v/>
      </c>
      <c r="N40" s="8">
        <f>'附表8'!F43</f>
        <v/>
      </c>
      <c r="O40" s="8">
        <f>J40-K40</f>
        <v/>
      </c>
    </row>
    <row r="41">
      <c r="A41" s="8" t="n">
        <v>21</v>
      </c>
      <c r="B41" t="inlineStr">
        <is>
          <t>运营期</t>
        </is>
      </c>
      <c r="C41" s="8" t="n">
        <v>0</v>
      </c>
      <c r="D41" s="8" t="n">
        <v>4195.8</v>
      </c>
      <c r="E41" s="8" t="n">
        <v>0</v>
      </c>
      <c r="F41" s="8" t="n">
        <v>0</v>
      </c>
      <c r="G41" s="8" t="n">
        <v>1473.79</v>
      </c>
      <c r="H41" s="8" t="n">
        <v>47.77</v>
      </c>
      <c r="I41" s="8" t="n">
        <v>250.29</v>
      </c>
      <c r="J41" s="8">
        <f>SUM(D41,E41,F41)</f>
        <v/>
      </c>
      <c r="K41" s="8">
        <f>SUM(C41,G41,H41,I41,M41,N41)</f>
        <v/>
      </c>
      <c r="L41" s="8" t="n">
        <v>2423.95</v>
      </c>
      <c r="M41" s="8">
        <f>'附表8'!E44</f>
        <v/>
      </c>
      <c r="N41" s="8">
        <f>'附表8'!F44</f>
        <v/>
      </c>
      <c r="O41" s="8">
        <f>J41-K41</f>
        <v/>
      </c>
    </row>
    <row r="42">
      <c r="A42" s="8" t="n">
        <v>22</v>
      </c>
      <c r="B42" t="inlineStr">
        <is>
          <t>运营期</t>
        </is>
      </c>
      <c r="C42" s="8" t="n">
        <v>0</v>
      </c>
      <c r="D42" s="8" t="n">
        <v>4195.8</v>
      </c>
      <c r="E42" s="8" t="n">
        <v>0</v>
      </c>
      <c r="F42" s="8" t="n">
        <v>0</v>
      </c>
      <c r="G42" s="8" t="n">
        <v>1473.79</v>
      </c>
      <c r="H42" s="8" t="n">
        <v>47.77</v>
      </c>
      <c r="I42" s="8" t="n">
        <v>250.29</v>
      </c>
      <c r="J42" s="8">
        <f>SUM(D42,E42,F42)</f>
        <v/>
      </c>
      <c r="K42" s="8">
        <f>SUM(C42,G42,H42,I42,M42,N42)</f>
        <v/>
      </c>
      <c r="L42" s="8" t="n">
        <v>2423.95</v>
      </c>
      <c r="M42" s="8">
        <f>'附表8'!E45</f>
        <v/>
      </c>
      <c r="N42" s="8">
        <f>'附表8'!F45</f>
        <v/>
      </c>
      <c r="O42" s="8">
        <f>J42-K42</f>
        <v/>
      </c>
    </row>
    <row r="43">
      <c r="A43" s="8" t="n">
        <v>23</v>
      </c>
      <c r="B43" t="inlineStr">
        <is>
          <t>运营期</t>
        </is>
      </c>
      <c r="C43" s="8" t="n">
        <v>0</v>
      </c>
      <c r="D43" s="8" t="n">
        <v>4195.8</v>
      </c>
      <c r="E43" s="8" t="n">
        <v>0</v>
      </c>
      <c r="F43" s="8" t="n">
        <v>0</v>
      </c>
      <c r="G43" s="8" t="n">
        <v>1473.79</v>
      </c>
      <c r="H43" s="8" t="n">
        <v>47.77</v>
      </c>
      <c r="I43" s="8" t="n">
        <v>250.29</v>
      </c>
      <c r="J43" s="8">
        <f>SUM(D43,E43,F43)</f>
        <v/>
      </c>
      <c r="K43" s="8">
        <f>SUM(C43,G43,H43,I43,M43,N43)</f>
        <v/>
      </c>
      <c r="L43" s="8" t="n">
        <v>2423.95</v>
      </c>
      <c r="M43" s="8">
        <f>'附表8'!E46</f>
        <v/>
      </c>
      <c r="N43" s="8">
        <f>'附表8'!F46</f>
        <v/>
      </c>
      <c r="O43" s="8">
        <f>J43-K43</f>
        <v/>
      </c>
    </row>
    <row r="44">
      <c r="A44" s="8" t="n">
        <v>24</v>
      </c>
      <c r="B44" t="inlineStr">
        <is>
          <t>运营期</t>
        </is>
      </c>
      <c r="C44" s="8" t="n">
        <v>0</v>
      </c>
      <c r="D44" s="8" t="n">
        <v>4195.8</v>
      </c>
      <c r="E44" s="8" t="n">
        <v>2113.34</v>
      </c>
      <c r="F44" s="8" t="n">
        <v>0</v>
      </c>
      <c r="G44" s="8" t="n">
        <v>1473.79</v>
      </c>
      <c r="H44" s="8" t="n">
        <v>47.77</v>
      </c>
      <c r="I44" s="8" t="n">
        <v>250.29</v>
      </c>
      <c r="J44" s="8">
        <f>SUM(D44,E44,F44)</f>
        <v/>
      </c>
      <c r="K44" s="8">
        <f>SUM(C44,G44,H44,I44,M44,N44)</f>
        <v/>
      </c>
      <c r="L44" s="8" t="n">
        <v>4537.29</v>
      </c>
      <c r="M44" s="8">
        <f>'附表8'!E47</f>
        <v/>
      </c>
      <c r="N44" s="8">
        <f>'附表8'!F47</f>
        <v/>
      </c>
      <c r="O44" s="8">
        <f>J44-K44</f>
        <v/>
      </c>
    </row>
    <row r="45">
      <c r="A45" t="inlineStr">
        <is>
          <t>说明1：资本金IRR=2.78</t>
        </is>
      </c>
    </row>
    <row r="46">
      <c r="A46" t="inlineStr">
        <is>
          <t>说明2：项目IRR=2.96</t>
        </is>
      </c>
    </row>
    <row r="47">
      <c r="A47" t="inlineStr">
        <is>
          <t>说明3：structure_gaps: 行业变体未冻结(variant=flat_estimate, model=flat)</t>
        </is>
      </c>
    </row>
    <row r="48"/>
    <row r="49">
      <c r="A49" t="inlineStr">
        <is>
          <t>现金流量组成树</t>
        </is>
      </c>
    </row>
    <row r="50">
      <c r="A50" t="inlineStr">
        <is>
          <t>项目</t>
        </is>
      </c>
      <c r="B50" t="n">
        <v>0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6</v>
      </c>
      <c r="I50" t="n">
        <v>7</v>
      </c>
      <c r="J50" t="n">
        <v>8</v>
      </c>
      <c r="K50" t="n">
        <v>9</v>
      </c>
      <c r="L50" t="n">
        <v>10</v>
      </c>
      <c r="M50" t="n">
        <v>11</v>
      </c>
      <c r="N50" t="n">
        <v>12</v>
      </c>
      <c r="O50" t="n">
        <v>13</v>
      </c>
      <c r="P50" t="n">
        <v>14</v>
      </c>
      <c r="Q50" t="n">
        <v>15</v>
      </c>
      <c r="R50" t="n">
        <v>16</v>
      </c>
      <c r="S50" t="n">
        <v>17</v>
      </c>
      <c r="T50" t="n">
        <v>18</v>
      </c>
      <c r="U50" t="n">
        <v>19</v>
      </c>
      <c r="V50" t="n">
        <v>20</v>
      </c>
      <c r="W50" t="n">
        <v>21</v>
      </c>
      <c r="X50" t="n">
        <v>22</v>
      </c>
      <c r="Y50" t="n">
        <v>23</v>
      </c>
      <c r="Z50" t="n">
        <v>24</v>
      </c>
    </row>
    <row r="51">
      <c r="A51" t="inlineStr">
        <is>
          <t>现金流入</t>
        </is>
      </c>
    </row>
    <row r="52">
      <c r="A52" t="inlineStr">
        <is>
          <t xml:space="preserve">  revenue</t>
        </is>
      </c>
      <c r="B52">
        <f>'附表10'!D20</f>
        <v/>
      </c>
      <c r="C52">
        <f>'附表10'!D21</f>
        <v/>
      </c>
      <c r="D52">
        <f>'附表10'!D22</f>
        <v/>
      </c>
      <c r="E52">
        <f>'附表10'!D23</f>
        <v/>
      </c>
      <c r="F52">
        <f>'附表10'!D24</f>
        <v/>
      </c>
      <c r="G52">
        <f>'附表10'!D25</f>
        <v/>
      </c>
      <c r="H52">
        <f>'附表10'!D26</f>
        <v/>
      </c>
      <c r="I52">
        <f>'附表10'!D27</f>
        <v/>
      </c>
      <c r="J52">
        <f>'附表10'!D28</f>
        <v/>
      </c>
      <c r="K52">
        <f>'附表10'!D29</f>
        <v/>
      </c>
      <c r="L52">
        <f>'附表10'!D30</f>
        <v/>
      </c>
      <c r="M52">
        <f>'附表10'!D31</f>
        <v/>
      </c>
      <c r="N52">
        <f>'附表10'!D32</f>
        <v/>
      </c>
      <c r="O52">
        <f>'附表10'!D33</f>
        <v/>
      </c>
      <c r="P52">
        <f>'附表10'!D34</f>
        <v/>
      </c>
      <c r="Q52">
        <f>'附表10'!D35</f>
        <v/>
      </c>
      <c r="R52">
        <f>'附表10'!D36</f>
        <v/>
      </c>
      <c r="S52">
        <f>'附表10'!D37</f>
        <v/>
      </c>
      <c r="T52">
        <f>'附表10'!D38</f>
        <v/>
      </c>
      <c r="U52">
        <f>'附表10'!D39</f>
        <v/>
      </c>
      <c r="V52">
        <f>'附表10'!D40</f>
        <v/>
      </c>
      <c r="W52">
        <f>'附表10'!D41</f>
        <v/>
      </c>
      <c r="X52">
        <f>'附表10'!D42</f>
        <v/>
      </c>
      <c r="Y52">
        <f>'附表10'!D43</f>
        <v/>
      </c>
      <c r="Z52">
        <f>'附表10'!D44</f>
        <v/>
      </c>
    </row>
    <row r="53">
      <c r="A53" t="inlineStr">
        <is>
          <t xml:space="preserve">  recover_fixed</t>
        </is>
      </c>
      <c r="B53">
        <f>'附表10'!E20</f>
        <v/>
      </c>
      <c r="C53">
        <f>'附表10'!E21</f>
        <v/>
      </c>
      <c r="D53">
        <f>'附表10'!E22</f>
        <v/>
      </c>
      <c r="E53">
        <f>'附表10'!E23</f>
        <v/>
      </c>
      <c r="F53">
        <f>'附表10'!E24</f>
        <v/>
      </c>
      <c r="G53">
        <f>'附表10'!E25</f>
        <v/>
      </c>
      <c r="H53">
        <f>'附表10'!E26</f>
        <v/>
      </c>
      <c r="I53">
        <f>'附表10'!E27</f>
        <v/>
      </c>
      <c r="J53">
        <f>'附表10'!E28</f>
        <v/>
      </c>
      <c r="K53">
        <f>'附表10'!E29</f>
        <v/>
      </c>
      <c r="L53">
        <f>'附表10'!E30</f>
        <v/>
      </c>
      <c r="M53">
        <f>'附表10'!E31</f>
        <v/>
      </c>
      <c r="N53">
        <f>'附表10'!E32</f>
        <v/>
      </c>
      <c r="O53">
        <f>'附表10'!E33</f>
        <v/>
      </c>
      <c r="P53">
        <f>'附表10'!E34</f>
        <v/>
      </c>
      <c r="Q53">
        <f>'附表10'!E35</f>
        <v/>
      </c>
      <c r="R53">
        <f>'附表10'!E36</f>
        <v/>
      </c>
      <c r="S53">
        <f>'附表10'!E37</f>
        <v/>
      </c>
      <c r="T53">
        <f>'附表10'!E38</f>
        <v/>
      </c>
      <c r="U53">
        <f>'附表10'!E39</f>
        <v/>
      </c>
      <c r="V53">
        <f>'附表10'!E40</f>
        <v/>
      </c>
      <c r="W53">
        <f>'附表10'!E41</f>
        <v/>
      </c>
      <c r="X53">
        <f>'附表10'!E42</f>
        <v/>
      </c>
      <c r="Y53">
        <f>'附表10'!E43</f>
        <v/>
      </c>
      <c r="Z53">
        <f>'附表10'!E44</f>
        <v/>
      </c>
    </row>
    <row r="54">
      <c r="A54" t="inlineStr">
        <is>
          <t xml:space="preserve">  recover_wc</t>
        </is>
      </c>
      <c r="B54">
        <f>'附表10'!F20</f>
        <v/>
      </c>
      <c r="C54">
        <f>'附表10'!F21</f>
        <v/>
      </c>
      <c r="D54">
        <f>'附表10'!F22</f>
        <v/>
      </c>
      <c r="E54">
        <f>'附表10'!F23</f>
        <v/>
      </c>
      <c r="F54">
        <f>'附表10'!F24</f>
        <v/>
      </c>
      <c r="G54">
        <f>'附表10'!F25</f>
        <v/>
      </c>
      <c r="H54">
        <f>'附表10'!F26</f>
        <v/>
      </c>
      <c r="I54">
        <f>'附表10'!F27</f>
        <v/>
      </c>
      <c r="J54">
        <f>'附表10'!F28</f>
        <v/>
      </c>
      <c r="K54">
        <f>'附表10'!F29</f>
        <v/>
      </c>
      <c r="L54">
        <f>'附表10'!F30</f>
        <v/>
      </c>
      <c r="M54">
        <f>'附表10'!F31</f>
        <v/>
      </c>
      <c r="N54">
        <f>'附表10'!F32</f>
        <v/>
      </c>
      <c r="O54">
        <f>'附表10'!F33</f>
        <v/>
      </c>
      <c r="P54">
        <f>'附表10'!F34</f>
        <v/>
      </c>
      <c r="Q54">
        <f>'附表10'!F35</f>
        <v/>
      </c>
      <c r="R54">
        <f>'附表10'!F36</f>
        <v/>
      </c>
      <c r="S54">
        <f>'附表10'!F37</f>
        <v/>
      </c>
      <c r="T54">
        <f>'附表10'!F38</f>
        <v/>
      </c>
      <c r="U54">
        <f>'附表10'!F39</f>
        <v/>
      </c>
      <c r="V54">
        <f>'附表10'!F40</f>
        <v/>
      </c>
      <c r="W54">
        <f>'附表10'!F41</f>
        <v/>
      </c>
      <c r="X54">
        <f>'附表10'!F42</f>
        <v/>
      </c>
      <c r="Y54">
        <f>'附表10'!F43</f>
        <v/>
      </c>
      <c r="Z54">
        <f>'附表10'!F44</f>
        <v/>
      </c>
    </row>
    <row r="55">
      <c r="A55" t="inlineStr">
        <is>
          <t>现金流出</t>
        </is>
      </c>
    </row>
    <row r="56">
      <c r="A56" t="inlineStr">
        <is>
          <t xml:space="preserve">  capital_invest</t>
        </is>
      </c>
      <c r="B56">
        <f>'附表10'!C20</f>
        <v/>
      </c>
      <c r="C56">
        <f>'附表10'!C21</f>
        <v/>
      </c>
      <c r="D56">
        <f>'附表10'!C22</f>
        <v/>
      </c>
      <c r="E56">
        <f>'附表10'!C23</f>
        <v/>
      </c>
      <c r="F56">
        <f>'附表10'!C24</f>
        <v/>
      </c>
      <c r="G56">
        <f>'附表10'!C25</f>
        <v/>
      </c>
      <c r="H56">
        <f>'附表10'!C26</f>
        <v/>
      </c>
      <c r="I56">
        <f>'附表10'!C27</f>
        <v/>
      </c>
      <c r="J56">
        <f>'附表10'!C28</f>
        <v/>
      </c>
      <c r="K56">
        <f>'附表10'!C29</f>
        <v/>
      </c>
      <c r="L56">
        <f>'附表10'!C30</f>
        <v/>
      </c>
      <c r="M56">
        <f>'附表10'!C31</f>
        <v/>
      </c>
      <c r="N56">
        <f>'附表10'!C32</f>
        <v/>
      </c>
      <c r="O56">
        <f>'附表10'!C33</f>
        <v/>
      </c>
      <c r="P56">
        <f>'附表10'!C34</f>
        <v/>
      </c>
      <c r="Q56">
        <f>'附表10'!C35</f>
        <v/>
      </c>
      <c r="R56">
        <f>'附表10'!C36</f>
        <v/>
      </c>
      <c r="S56">
        <f>'附表10'!C37</f>
        <v/>
      </c>
      <c r="T56">
        <f>'附表10'!C38</f>
        <v/>
      </c>
      <c r="U56">
        <f>'附表10'!C39</f>
        <v/>
      </c>
      <c r="V56">
        <f>'附表10'!C40</f>
        <v/>
      </c>
      <c r="W56">
        <f>'附表10'!C41</f>
        <v/>
      </c>
      <c r="X56">
        <f>'附表10'!C42</f>
        <v/>
      </c>
      <c r="Y56">
        <f>'附表10'!C43</f>
        <v/>
      </c>
      <c r="Z56">
        <f>'附表10'!C44</f>
        <v/>
      </c>
    </row>
    <row r="57">
      <c r="A57" t="inlineStr">
        <is>
          <t xml:space="preserve">  op_cash_cost</t>
        </is>
      </c>
      <c r="B57">
        <f>'附表10'!G20</f>
        <v/>
      </c>
      <c r="C57">
        <f>'附表10'!G21</f>
        <v/>
      </c>
      <c r="D57">
        <f>'附表10'!G22</f>
        <v/>
      </c>
      <c r="E57">
        <f>'附表10'!G23</f>
        <v/>
      </c>
      <c r="F57">
        <f>'附表10'!G24</f>
        <v/>
      </c>
      <c r="G57">
        <f>'附表10'!G25</f>
        <v/>
      </c>
      <c r="H57">
        <f>'附表10'!G26</f>
        <v/>
      </c>
      <c r="I57">
        <f>'附表10'!G27</f>
        <v/>
      </c>
      <c r="J57">
        <f>'附表10'!G28</f>
        <v/>
      </c>
      <c r="K57">
        <f>'附表10'!G29</f>
        <v/>
      </c>
      <c r="L57">
        <f>'附表10'!G30</f>
        <v/>
      </c>
      <c r="M57">
        <f>'附表10'!G31</f>
        <v/>
      </c>
      <c r="N57">
        <f>'附表10'!G32</f>
        <v/>
      </c>
      <c r="O57">
        <f>'附表10'!G33</f>
        <v/>
      </c>
      <c r="P57">
        <f>'附表10'!G34</f>
        <v/>
      </c>
      <c r="Q57">
        <f>'附表10'!G35</f>
        <v/>
      </c>
      <c r="R57">
        <f>'附表10'!G36</f>
        <v/>
      </c>
      <c r="S57">
        <f>'附表10'!G37</f>
        <v/>
      </c>
      <c r="T57">
        <f>'附表10'!G38</f>
        <v/>
      </c>
      <c r="U57">
        <f>'附表10'!G39</f>
        <v/>
      </c>
      <c r="V57">
        <f>'附表10'!G40</f>
        <v/>
      </c>
      <c r="W57">
        <f>'附表10'!G41</f>
        <v/>
      </c>
      <c r="X57">
        <f>'附表10'!G42</f>
        <v/>
      </c>
      <c r="Y57">
        <f>'附表10'!G43</f>
        <v/>
      </c>
      <c r="Z57">
        <f>'附表10'!G44</f>
        <v/>
      </c>
    </row>
    <row r="58">
      <c r="A58" t="inlineStr">
        <is>
          <t xml:space="preserve">  tax_surtax</t>
        </is>
      </c>
      <c r="B58">
        <f>'附表10'!H20</f>
        <v/>
      </c>
      <c r="C58">
        <f>'附表10'!H21</f>
        <v/>
      </c>
      <c r="D58">
        <f>'附表10'!H22</f>
        <v/>
      </c>
      <c r="E58">
        <f>'附表10'!H23</f>
        <v/>
      </c>
      <c r="F58">
        <f>'附表10'!H24</f>
        <v/>
      </c>
      <c r="G58">
        <f>'附表10'!H25</f>
        <v/>
      </c>
      <c r="H58">
        <f>'附表10'!H26</f>
        <v/>
      </c>
      <c r="I58">
        <f>'附表10'!H27</f>
        <v/>
      </c>
      <c r="J58">
        <f>'附表10'!H28</f>
        <v/>
      </c>
      <c r="K58">
        <f>'附表10'!H29</f>
        <v/>
      </c>
      <c r="L58">
        <f>'附表10'!H30</f>
        <v/>
      </c>
      <c r="M58">
        <f>'附表10'!H31</f>
        <v/>
      </c>
      <c r="N58">
        <f>'附表10'!H32</f>
        <v/>
      </c>
      <c r="O58">
        <f>'附表10'!H33</f>
        <v/>
      </c>
      <c r="P58">
        <f>'附表10'!H34</f>
        <v/>
      </c>
      <c r="Q58">
        <f>'附表10'!H35</f>
        <v/>
      </c>
      <c r="R58">
        <f>'附表10'!H36</f>
        <v/>
      </c>
      <c r="S58">
        <f>'附表10'!H37</f>
        <v/>
      </c>
      <c r="T58">
        <f>'附表10'!H38</f>
        <v/>
      </c>
      <c r="U58">
        <f>'附表10'!H39</f>
        <v/>
      </c>
      <c r="V58">
        <f>'附表10'!H40</f>
        <v/>
      </c>
      <c r="W58">
        <f>'附表10'!H41</f>
        <v/>
      </c>
      <c r="X58">
        <f>'附表10'!H42</f>
        <v/>
      </c>
      <c r="Y58">
        <f>'附表10'!H43</f>
        <v/>
      </c>
      <c r="Z58">
        <f>'附表10'!H44</f>
        <v/>
      </c>
    </row>
    <row r="59">
      <c r="A59" t="inlineStr">
        <is>
          <t xml:space="preserve">  income_tax</t>
        </is>
      </c>
      <c r="B59">
        <f>'附表10'!I20</f>
        <v/>
      </c>
      <c r="C59">
        <f>'附表10'!I21</f>
        <v/>
      </c>
      <c r="D59">
        <f>'附表10'!I22</f>
        <v/>
      </c>
      <c r="E59">
        <f>'附表10'!I23</f>
        <v/>
      </c>
      <c r="F59">
        <f>'附表10'!I24</f>
        <v/>
      </c>
      <c r="G59">
        <f>'附表10'!I25</f>
        <v/>
      </c>
      <c r="H59">
        <f>'附表10'!I26</f>
        <v/>
      </c>
      <c r="I59">
        <f>'附表10'!I27</f>
        <v/>
      </c>
      <c r="J59">
        <f>'附表10'!I28</f>
        <v/>
      </c>
      <c r="K59">
        <f>'附表10'!I29</f>
        <v/>
      </c>
      <c r="L59">
        <f>'附表10'!I30</f>
        <v/>
      </c>
      <c r="M59">
        <f>'附表10'!I31</f>
        <v/>
      </c>
      <c r="N59">
        <f>'附表10'!I32</f>
        <v/>
      </c>
      <c r="O59">
        <f>'附表10'!I33</f>
        <v/>
      </c>
      <c r="P59">
        <f>'附表10'!I34</f>
        <v/>
      </c>
      <c r="Q59">
        <f>'附表10'!I35</f>
        <v/>
      </c>
      <c r="R59">
        <f>'附表10'!I36</f>
        <v/>
      </c>
      <c r="S59">
        <f>'附表10'!I37</f>
        <v/>
      </c>
      <c r="T59">
        <f>'附表10'!I38</f>
        <v/>
      </c>
      <c r="U59">
        <f>'附表10'!I39</f>
        <v/>
      </c>
      <c r="V59">
        <f>'附表10'!I40</f>
        <v/>
      </c>
      <c r="W59">
        <f>'附表10'!I41</f>
        <v/>
      </c>
      <c r="X59">
        <f>'附表10'!I42</f>
        <v/>
      </c>
      <c r="Y59">
        <f>'附表10'!I43</f>
        <v/>
      </c>
      <c r="Z59">
        <f>'附表10'!I44</f>
        <v/>
      </c>
    </row>
    <row r="60">
      <c r="A60" t="inlineStr">
        <is>
          <t xml:space="preserve">  principal</t>
        </is>
      </c>
      <c r="B60">
        <f>'附表10'!M20</f>
        <v/>
      </c>
      <c r="C60">
        <f>'附表10'!M21</f>
        <v/>
      </c>
      <c r="D60">
        <f>'附表10'!M22</f>
        <v/>
      </c>
      <c r="E60">
        <f>'附表10'!M23</f>
        <v/>
      </c>
      <c r="F60">
        <f>'附表10'!M24</f>
        <v/>
      </c>
      <c r="G60">
        <f>'附表10'!M25</f>
        <v/>
      </c>
      <c r="H60">
        <f>'附表10'!M26</f>
        <v/>
      </c>
      <c r="I60">
        <f>'附表10'!M27</f>
        <v/>
      </c>
      <c r="J60">
        <f>'附表10'!M28</f>
        <v/>
      </c>
      <c r="K60">
        <f>'附表10'!M29</f>
        <v/>
      </c>
      <c r="L60">
        <f>'附表10'!M30</f>
        <v/>
      </c>
      <c r="M60">
        <f>'附表10'!M31</f>
        <v/>
      </c>
      <c r="N60">
        <f>'附表10'!M32</f>
        <v/>
      </c>
      <c r="O60">
        <f>'附表10'!M33</f>
        <v/>
      </c>
      <c r="P60">
        <f>'附表10'!M34</f>
        <v/>
      </c>
      <c r="Q60">
        <f>'附表10'!M35</f>
        <v/>
      </c>
      <c r="R60">
        <f>'附表10'!M36</f>
        <v/>
      </c>
      <c r="S60">
        <f>'附表10'!M37</f>
        <v/>
      </c>
      <c r="T60">
        <f>'附表10'!M38</f>
        <v/>
      </c>
      <c r="U60">
        <f>'附表10'!M39</f>
        <v/>
      </c>
      <c r="V60">
        <f>'附表10'!M40</f>
        <v/>
      </c>
      <c r="W60">
        <f>'附表10'!M41</f>
        <v/>
      </c>
      <c r="X60">
        <f>'附表10'!M42</f>
        <v/>
      </c>
      <c r="Y60">
        <f>'附表10'!M43</f>
        <v/>
      </c>
      <c r="Z60">
        <f>'附表10'!M44</f>
        <v/>
      </c>
    </row>
    <row r="61">
      <c r="A61" t="inlineStr">
        <is>
          <t xml:space="preserve">  interest</t>
        </is>
      </c>
      <c r="B61">
        <f>'附表10'!N20</f>
        <v/>
      </c>
      <c r="C61">
        <f>'附表10'!N21</f>
        <v/>
      </c>
      <c r="D61">
        <f>'附表10'!N22</f>
        <v/>
      </c>
      <c r="E61">
        <f>'附表10'!N23</f>
        <v/>
      </c>
      <c r="F61">
        <f>'附表10'!N24</f>
        <v/>
      </c>
      <c r="G61">
        <f>'附表10'!N25</f>
        <v/>
      </c>
      <c r="H61">
        <f>'附表10'!N26</f>
        <v/>
      </c>
      <c r="I61">
        <f>'附表10'!N27</f>
        <v/>
      </c>
      <c r="J61">
        <f>'附表10'!N28</f>
        <v/>
      </c>
      <c r="K61">
        <f>'附表10'!N29</f>
        <v/>
      </c>
      <c r="L61">
        <f>'附表10'!N30</f>
        <v/>
      </c>
      <c r="M61">
        <f>'附表10'!N31</f>
        <v/>
      </c>
      <c r="N61">
        <f>'附表10'!N32</f>
        <v/>
      </c>
      <c r="O61">
        <f>'附表10'!N33</f>
        <v/>
      </c>
      <c r="P61">
        <f>'附表10'!N34</f>
        <v/>
      </c>
      <c r="Q61">
        <f>'附表10'!N35</f>
        <v/>
      </c>
      <c r="R61">
        <f>'附表10'!N36</f>
        <v/>
      </c>
      <c r="S61">
        <f>'附表10'!N37</f>
        <v/>
      </c>
      <c r="T61">
        <f>'附表10'!N38</f>
        <v/>
      </c>
      <c r="U61">
        <f>'附表10'!N39</f>
        <v/>
      </c>
      <c r="V61">
        <f>'附表10'!N40</f>
        <v/>
      </c>
      <c r="W61">
        <f>'附表10'!N41</f>
        <v/>
      </c>
      <c r="X61">
        <f>'附表10'!N42</f>
        <v/>
      </c>
      <c r="Y61">
        <f>'附表10'!N43</f>
        <v/>
      </c>
      <c r="Z61">
        <f>'附表10'!N44</f>
        <v/>
      </c>
    </row>
    <row r="62">
      <c r="A62" t="inlineStr">
        <is>
          <t>现金净额</t>
        </is>
      </c>
    </row>
    <row r="63">
      <c r="A63" t="inlineStr">
        <is>
          <t xml:space="preserve">  net_cashflow</t>
        </is>
      </c>
      <c r="B63">
        <f>'附表10'!O20</f>
        <v/>
      </c>
      <c r="C63">
        <f>'附表10'!O21</f>
        <v/>
      </c>
      <c r="D63">
        <f>'附表10'!O22</f>
        <v/>
      </c>
      <c r="E63">
        <f>'附表10'!O23</f>
        <v/>
      </c>
      <c r="F63">
        <f>'附表10'!O24</f>
        <v/>
      </c>
      <c r="G63">
        <f>'附表10'!O25</f>
        <v/>
      </c>
      <c r="H63">
        <f>'附表10'!O26</f>
        <v/>
      </c>
      <c r="I63">
        <f>'附表10'!O27</f>
        <v/>
      </c>
      <c r="J63">
        <f>'附表10'!O28</f>
        <v/>
      </c>
      <c r="K63">
        <f>'附表10'!O29</f>
        <v/>
      </c>
      <c r="L63">
        <f>'附表10'!O30</f>
        <v/>
      </c>
      <c r="M63">
        <f>'附表10'!O31</f>
        <v/>
      </c>
      <c r="N63">
        <f>'附表10'!O32</f>
        <v/>
      </c>
      <c r="O63">
        <f>'附表10'!O33</f>
        <v/>
      </c>
      <c r="P63">
        <f>'附表10'!O34</f>
        <v/>
      </c>
      <c r="Q63">
        <f>'附表10'!O35</f>
        <v/>
      </c>
      <c r="R63">
        <f>'附表10'!O36</f>
        <v/>
      </c>
      <c r="S63">
        <f>'附表10'!O37</f>
        <v/>
      </c>
      <c r="T63">
        <f>'附表10'!O38</f>
        <v/>
      </c>
      <c r="U63">
        <f>'附表10'!O39</f>
        <v/>
      </c>
      <c r="V63">
        <f>'附表10'!O40</f>
        <v/>
      </c>
      <c r="W63">
        <f>'附表10'!O41</f>
        <v/>
      </c>
      <c r="X63">
        <f>'附表10'!O42</f>
        <v/>
      </c>
      <c r="Y63">
        <f>'附表10'!O43</f>
        <v/>
      </c>
      <c r="Z63">
        <f>'附表10'!O44</f>
        <v/>
      </c>
    </row>
    <row r="64">
      <c r="A64" t="inlineStr">
        <is>
          <t>跨表依赖复核：附表3</t>
        </is>
      </c>
      <c r="B64" s="8">
        <f>'附表3'!B4</f>
        <v/>
      </c>
    </row>
    <row r="65">
      <c r="A65" t="inlineStr">
        <is>
          <t>跨表依赖复核：附表4</t>
        </is>
      </c>
      <c r="B65" s="8">
        <f>'附表4'!C4</f>
        <v/>
      </c>
    </row>
    <row r="66">
      <c r="A66" t="inlineStr">
        <is>
          <t>跨表依赖复核：附表5</t>
        </is>
      </c>
      <c r="B66" s="8">
        <f>'附表5'!A16</f>
        <v/>
      </c>
    </row>
    <row r="67">
      <c r="A67" t="inlineStr">
        <is>
          <t>跨表依赖复核：附表6</t>
        </is>
      </c>
      <c r="B67" s="8">
        <f>'附表6'!A16</f>
        <v/>
      </c>
    </row>
    <row r="68">
      <c r="A68" t="inlineStr">
        <is>
          <t>跨表依赖复核：附表6-2</t>
        </is>
      </c>
      <c r="B68" s="8">
        <f>'附表6-2'!A8</f>
        <v/>
      </c>
    </row>
    <row r="69">
      <c r="A69" t="inlineStr">
        <is>
          <t>跨表依赖复核：附表7</t>
        </is>
      </c>
      <c r="B69" s="8">
        <f>'附表7'!A24</f>
        <v/>
      </c>
    </row>
    <row r="70">
      <c r="A70" t="inlineStr">
        <is>
          <t>跨表依赖复核：附表8</t>
        </is>
      </c>
      <c r="B70" s="8">
        <f>'附表8'!A24</f>
        <v/>
      </c>
    </row>
  </sheetData>
  <mergeCells count="1">
    <mergeCell ref="A1:A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total_investment</t>
        </is>
      </c>
      <c r="B2">
        <f>Inputs!B2</f>
        <v/>
      </c>
      <c r="C2" t="inlineStr">
        <is>
          <t>万元</t>
        </is>
      </c>
      <c r="D2" t="inlineStr">
        <is>
          <t>formula→Inputs</t>
        </is>
      </c>
    </row>
    <row r="3">
      <c r="A3" t="inlineStr">
        <is>
          <t>equity_capital</t>
        </is>
      </c>
      <c r="B3">
        <f>Inputs!B5</f>
        <v/>
      </c>
      <c r="C3" t="inlineStr">
        <is>
          <t>万元</t>
        </is>
      </c>
      <c r="D3" t="inlineStr">
        <is>
          <t>formula→Inputs</t>
        </is>
      </c>
    </row>
    <row r="4">
      <c r="A4" t="inlineStr">
        <is>
          <t>loan</t>
        </is>
      </c>
      <c r="B4">
        <f>Inputs!B6</f>
        <v/>
      </c>
      <c r="C4" t="inlineStr">
        <is>
          <t>万元</t>
        </is>
      </c>
      <c r="D4" t="inlineStr">
        <is>
          <t>formula→Inputs</t>
        </is>
      </c>
    </row>
    <row r="5">
      <c r="A5" t="inlineStr">
        <is>
          <t>project_irr_pct</t>
        </is>
      </c>
      <c r="B5" t="n">
        <v>2.96</v>
      </c>
      <c r="C5" t="inlineStr">
        <is>
          <t>%</t>
        </is>
      </c>
      <c r="D5" t="inlineStr">
        <is>
          <t>engine</t>
        </is>
      </c>
    </row>
    <row r="6">
      <c r="A6" t="inlineStr">
        <is>
          <t>npv_wan</t>
        </is>
      </c>
      <c r="B6" t="n">
        <v>-16412.29</v>
      </c>
      <c r="C6" t="inlineStr">
        <is>
          <t>万元</t>
        </is>
      </c>
      <c r="D6" t="inlineStr">
        <is>
          <t>engine</t>
        </is>
      </c>
    </row>
    <row r="7">
      <c r="A7" t="inlineStr">
        <is>
          <t>static_payback_years</t>
        </is>
      </c>
      <c r="B7" t="n">
        <v>17.44</v>
      </c>
      <c r="C7" t="inlineStr">
        <is>
          <t>年</t>
        </is>
      </c>
      <c r="D7" t="inlineStr">
        <is>
          <t>engine</t>
        </is>
      </c>
    </row>
    <row r="8">
      <c r="A8" t="inlineStr">
        <is>
          <t>dynamic_payback_years</t>
        </is>
      </c>
      <c r="C8" t="inlineStr">
        <is>
          <t>年</t>
        </is>
      </c>
      <c r="D8" t="inlineStr">
        <is>
          <t>engine</t>
        </is>
      </c>
    </row>
    <row r="9">
      <c r="A9" t="inlineStr">
        <is>
          <t>bep_pct</t>
        </is>
      </c>
      <c r="B9" t="n">
        <v>47.37</v>
      </c>
      <c r="C9" t="inlineStr">
        <is>
          <t>%</t>
        </is>
      </c>
      <c r="D9" t="inlineStr">
        <is>
          <t>engine</t>
        </is>
      </c>
    </row>
    <row r="10">
      <c r="A10" t="inlineStr">
        <is>
          <t>funding_sum</t>
        </is>
      </c>
      <c r="B10">
        <f>B3+B4</f>
        <v/>
      </c>
      <c r="C10" t="inlineStr">
        <is>
          <t>万元</t>
        </is>
      </c>
      <c r="D10" t="inlineStr">
        <is>
          <t>formula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operating_cost</t>
        </is>
      </c>
      <c r="D1" s="1" t="inlineStr">
        <is>
          <t>tax_surtax</t>
        </is>
      </c>
      <c r="E1" s="1" t="inlineStr">
        <is>
          <t>income_tax</t>
        </is>
      </c>
      <c r="F1" s="1" t="inlineStr">
        <is>
          <t>net_profit</t>
        </is>
      </c>
      <c r="G1" s="1" t="inlineStr">
        <is>
          <t>ebit</t>
        </is>
      </c>
      <c r="H1" s="1" t="inlineStr">
        <is>
          <t>net_profit_check</t>
        </is>
      </c>
    </row>
    <row r="2">
      <c r="A2" t="n">
        <v>1</v>
      </c>
      <c r="B2" t="n">
        <v>4195.8</v>
      </c>
      <c r="C2" t="n">
        <v>1473.79</v>
      </c>
      <c r="D2" t="n">
        <v>47.77</v>
      </c>
      <c r="E2" t="n">
        <v>166.64</v>
      </c>
      <c r="F2" t="n">
        <v>499.93</v>
      </c>
      <c r="G2" t="n">
        <v>666.5700000000001</v>
      </c>
      <c r="H2">
        <f>B2-C2-D2-E2</f>
        <v/>
      </c>
    </row>
    <row r="3">
      <c r="A3" t="n">
        <v>2</v>
      </c>
      <c r="B3" t="n">
        <v>4195.8</v>
      </c>
      <c r="C3" t="n">
        <v>1473.79</v>
      </c>
      <c r="D3" t="n">
        <v>47.77</v>
      </c>
      <c r="E3" t="n">
        <v>166.64</v>
      </c>
      <c r="F3" t="n">
        <v>499.93</v>
      </c>
      <c r="G3" t="n">
        <v>666.5700000000001</v>
      </c>
      <c r="H3">
        <f>B3-C3-D3-E3</f>
        <v/>
      </c>
    </row>
    <row r="4">
      <c r="A4" t="n">
        <v>3</v>
      </c>
      <c r="B4" t="n">
        <v>4195.8</v>
      </c>
      <c r="C4" t="n">
        <v>1473.79</v>
      </c>
      <c r="D4" t="n">
        <v>47.77</v>
      </c>
      <c r="E4" t="n">
        <v>166.64</v>
      </c>
      <c r="F4" t="n">
        <v>499.93</v>
      </c>
      <c r="G4" t="n">
        <v>666.5700000000001</v>
      </c>
      <c r="H4">
        <f>B4-C4-D4-E4</f>
        <v/>
      </c>
    </row>
    <row r="5">
      <c r="A5" t="n">
        <v>4</v>
      </c>
      <c r="B5" t="n">
        <v>4195.8</v>
      </c>
      <c r="C5" t="n">
        <v>1473.79</v>
      </c>
      <c r="D5" t="n">
        <v>47.77</v>
      </c>
      <c r="E5" t="n">
        <v>166.64</v>
      </c>
      <c r="F5" t="n">
        <v>499.93</v>
      </c>
      <c r="G5" t="n">
        <v>666.5700000000001</v>
      </c>
      <c r="H5">
        <f>B5-C5-D5-E5</f>
        <v/>
      </c>
    </row>
    <row r="6">
      <c r="A6" t="n">
        <v>5</v>
      </c>
      <c r="B6" t="n">
        <v>4195.8</v>
      </c>
      <c r="C6" t="n">
        <v>1473.79</v>
      </c>
      <c r="D6" t="n">
        <v>47.77</v>
      </c>
      <c r="E6" t="n">
        <v>166.64</v>
      </c>
      <c r="F6" t="n">
        <v>499.93</v>
      </c>
      <c r="G6" t="n">
        <v>666.5700000000001</v>
      </c>
      <c r="H6">
        <f>B6-C6-D6-E6</f>
        <v/>
      </c>
    </row>
    <row r="7">
      <c r="A7" t="n">
        <v>6</v>
      </c>
      <c r="B7" t="n">
        <v>4195.8</v>
      </c>
      <c r="C7" t="n">
        <v>1473.79</v>
      </c>
      <c r="D7" t="n">
        <v>47.77</v>
      </c>
      <c r="E7" t="n">
        <v>166.64</v>
      </c>
      <c r="F7" t="n">
        <v>499.93</v>
      </c>
      <c r="G7" t="n">
        <v>666.5700000000001</v>
      </c>
      <c r="H7">
        <f>B7-C7-D7-E7</f>
        <v/>
      </c>
    </row>
    <row r="8">
      <c r="A8" t="n">
        <v>7</v>
      </c>
      <c r="B8" t="n">
        <v>4195.8</v>
      </c>
      <c r="C8" t="n">
        <v>1473.79</v>
      </c>
      <c r="D8" t="n">
        <v>47.77</v>
      </c>
      <c r="E8" t="n">
        <v>166.64</v>
      </c>
      <c r="F8" t="n">
        <v>499.93</v>
      </c>
      <c r="G8" t="n">
        <v>666.5700000000001</v>
      </c>
      <c r="H8">
        <f>B8-C8-D8-E8</f>
        <v/>
      </c>
    </row>
    <row r="9">
      <c r="A9" t="n">
        <v>8</v>
      </c>
      <c r="B9" t="n">
        <v>4195.8</v>
      </c>
      <c r="C9" t="n">
        <v>1473.79</v>
      </c>
      <c r="D9" t="n">
        <v>47.77</v>
      </c>
      <c r="E9" t="n">
        <v>166.64</v>
      </c>
      <c r="F9" t="n">
        <v>499.93</v>
      </c>
      <c r="G9" t="n">
        <v>666.5700000000001</v>
      </c>
      <c r="H9">
        <f>B9-C9-D9-E9</f>
        <v/>
      </c>
    </row>
    <row r="10">
      <c r="A10" t="n">
        <v>9</v>
      </c>
      <c r="B10" t="n">
        <v>4195.8</v>
      </c>
      <c r="C10" t="n">
        <v>1473.79</v>
      </c>
      <c r="D10" t="n">
        <v>47.77</v>
      </c>
      <c r="E10" t="n">
        <v>166.64</v>
      </c>
      <c r="F10" t="n">
        <v>499.93</v>
      </c>
      <c r="G10" t="n">
        <v>666.5700000000001</v>
      </c>
      <c r="H10">
        <f>B10-C10-D10-E10</f>
        <v/>
      </c>
    </row>
    <row r="11">
      <c r="A11" t="n">
        <v>10</v>
      </c>
      <c r="B11" t="n">
        <v>4195.8</v>
      </c>
      <c r="C11" t="n">
        <v>1473.79</v>
      </c>
      <c r="D11" t="n">
        <v>47.77</v>
      </c>
      <c r="E11" t="n">
        <v>166.64</v>
      </c>
      <c r="F11" t="n">
        <v>499.93</v>
      </c>
      <c r="G11" t="n">
        <v>666.5700000000001</v>
      </c>
      <c r="H11">
        <f>B11-C11-D11-E11</f>
        <v/>
      </c>
    </row>
    <row r="12">
      <c r="A12" t="n">
        <v>11</v>
      </c>
      <c r="B12" t="n">
        <v>4195.8</v>
      </c>
      <c r="C12" t="n">
        <v>1473.79</v>
      </c>
      <c r="D12" t="n">
        <v>47.77</v>
      </c>
      <c r="E12" t="n">
        <v>166.64</v>
      </c>
      <c r="F12" t="n">
        <v>499.93</v>
      </c>
      <c r="G12" t="n">
        <v>666.5700000000001</v>
      </c>
      <c r="H12">
        <f>B12-C12-D12-E12</f>
        <v/>
      </c>
    </row>
    <row r="13">
      <c r="A13" t="n">
        <v>12</v>
      </c>
      <c r="B13" t="n">
        <v>4195.8</v>
      </c>
      <c r="C13" t="n">
        <v>1473.79</v>
      </c>
      <c r="D13" t="n">
        <v>47.77</v>
      </c>
      <c r="E13" t="n">
        <v>166.64</v>
      </c>
      <c r="F13" t="n">
        <v>499.93</v>
      </c>
      <c r="G13" t="n">
        <v>666.5700000000001</v>
      </c>
      <c r="H13">
        <f>B13-C13-D13-E13</f>
        <v/>
      </c>
    </row>
    <row r="14">
      <c r="A14" t="n">
        <v>13</v>
      </c>
      <c r="B14" t="n">
        <v>4195.8</v>
      </c>
      <c r="C14" t="n">
        <v>1473.79</v>
      </c>
      <c r="D14" t="n">
        <v>47.77</v>
      </c>
      <c r="E14" t="n">
        <v>166.64</v>
      </c>
      <c r="F14" t="n">
        <v>499.93</v>
      </c>
      <c r="G14" t="n">
        <v>666.5700000000001</v>
      </c>
      <c r="H14">
        <f>B14-C14-D14-E14</f>
        <v/>
      </c>
    </row>
    <row r="15">
      <c r="A15" t="n">
        <v>14</v>
      </c>
      <c r="B15" t="n">
        <v>4195.8</v>
      </c>
      <c r="C15" t="n">
        <v>1473.79</v>
      </c>
      <c r="D15" t="n">
        <v>47.77</v>
      </c>
      <c r="E15" t="n">
        <v>166.64</v>
      </c>
      <c r="F15" t="n">
        <v>499.93</v>
      </c>
      <c r="G15" t="n">
        <v>666.5700000000001</v>
      </c>
      <c r="H15">
        <f>B15-C15-D15-E15</f>
        <v/>
      </c>
    </row>
    <row r="16">
      <c r="A16" t="n">
        <v>15</v>
      </c>
      <c r="B16" t="n">
        <v>4195.8</v>
      </c>
      <c r="C16" t="n">
        <v>1473.79</v>
      </c>
      <c r="D16" t="n">
        <v>47.77</v>
      </c>
      <c r="E16" t="n">
        <v>166.64</v>
      </c>
      <c r="F16" t="n">
        <v>499.93</v>
      </c>
      <c r="G16" t="n">
        <v>666.5700000000001</v>
      </c>
      <c r="H16">
        <f>B16-C16-D16-E16</f>
        <v/>
      </c>
    </row>
    <row r="17">
      <c r="A17" t="n">
        <v>16</v>
      </c>
      <c r="B17" t="n">
        <v>4195.8</v>
      </c>
      <c r="C17" t="n">
        <v>1473.79</v>
      </c>
      <c r="D17" t="n">
        <v>47.77</v>
      </c>
      <c r="E17" t="n">
        <v>166.64</v>
      </c>
      <c r="F17" t="n">
        <v>499.93</v>
      </c>
      <c r="G17" t="n">
        <v>666.5700000000001</v>
      </c>
      <c r="H17">
        <f>B17-C17-D17-E17</f>
        <v/>
      </c>
    </row>
    <row r="18">
      <c r="A18" t="n">
        <v>17</v>
      </c>
      <c r="B18" t="n">
        <v>4195.8</v>
      </c>
      <c r="C18" t="n">
        <v>1473.79</v>
      </c>
      <c r="D18" t="n">
        <v>47.77</v>
      </c>
      <c r="E18" t="n">
        <v>166.64</v>
      </c>
      <c r="F18" t="n">
        <v>499.93</v>
      </c>
      <c r="G18" t="n">
        <v>666.5700000000001</v>
      </c>
      <c r="H18">
        <f>B18-C18-D18-E18</f>
        <v/>
      </c>
    </row>
    <row r="19">
      <c r="A19" t="n">
        <v>18</v>
      </c>
      <c r="B19" t="n">
        <v>4195.8</v>
      </c>
      <c r="C19" t="n">
        <v>1473.79</v>
      </c>
      <c r="D19" t="n">
        <v>47.77</v>
      </c>
      <c r="E19" t="n">
        <v>166.64</v>
      </c>
      <c r="F19" t="n">
        <v>499.93</v>
      </c>
      <c r="G19" t="n">
        <v>666.5700000000001</v>
      </c>
      <c r="H19">
        <f>B19-C19-D19-E19</f>
        <v/>
      </c>
    </row>
    <row r="20">
      <c r="A20" t="n">
        <v>19</v>
      </c>
      <c r="B20" t="n">
        <v>4195.8</v>
      </c>
      <c r="C20" t="n">
        <v>1473.79</v>
      </c>
      <c r="D20" t="n">
        <v>47.77</v>
      </c>
      <c r="E20" t="n">
        <v>166.64</v>
      </c>
      <c r="F20" t="n">
        <v>499.93</v>
      </c>
      <c r="G20" t="n">
        <v>666.5700000000001</v>
      </c>
      <c r="H20">
        <f>B20-C20-D20-E20</f>
        <v/>
      </c>
    </row>
    <row r="21">
      <c r="A21" t="n">
        <v>20</v>
      </c>
      <c r="B21" t="n">
        <v>4195.8</v>
      </c>
      <c r="C21" t="n">
        <v>1473.79</v>
      </c>
      <c r="D21" t="n">
        <v>47.77</v>
      </c>
      <c r="E21" t="n">
        <v>166.64</v>
      </c>
      <c r="F21" t="n">
        <v>499.93</v>
      </c>
      <c r="G21" t="n">
        <v>666.5700000000001</v>
      </c>
      <c r="H21">
        <f>B21-C21-D21-E21</f>
        <v/>
      </c>
    </row>
    <row r="22">
      <c r="A22" t="n">
        <v>21</v>
      </c>
      <c r="B22" t="n">
        <v>4195.8</v>
      </c>
      <c r="C22" t="n">
        <v>1473.79</v>
      </c>
      <c r="D22" t="n">
        <v>47.77</v>
      </c>
      <c r="E22" t="n">
        <v>668.5599999999999</v>
      </c>
      <c r="F22" t="n">
        <v>2005.68</v>
      </c>
      <c r="G22" t="n">
        <v>2674.24</v>
      </c>
      <c r="H22">
        <f>B22-C22-D22-E22</f>
        <v/>
      </c>
    </row>
    <row r="23">
      <c r="A23" t="n">
        <v>22</v>
      </c>
      <c r="B23" t="n">
        <v>4195.8</v>
      </c>
      <c r="C23" t="n">
        <v>1473.79</v>
      </c>
      <c r="D23" t="n">
        <v>47.77</v>
      </c>
      <c r="E23" t="n">
        <v>668.5599999999999</v>
      </c>
      <c r="F23" t="n">
        <v>2005.68</v>
      </c>
      <c r="G23" t="n">
        <v>2674.24</v>
      </c>
      <c r="H23">
        <f>B23-C23-D23-E23</f>
        <v/>
      </c>
    </row>
    <row r="24">
      <c r="A24" t="n">
        <v>23</v>
      </c>
      <c r="B24" t="n">
        <v>4195.8</v>
      </c>
      <c r="C24" t="n">
        <v>1473.79</v>
      </c>
      <c r="D24" t="n">
        <v>47.77</v>
      </c>
      <c r="E24" t="n">
        <v>668.5599999999999</v>
      </c>
      <c r="F24" t="n">
        <v>2005.68</v>
      </c>
      <c r="G24" t="n">
        <v>2674.24</v>
      </c>
      <c r="H24">
        <f>B24-C24-D24-E24</f>
        <v/>
      </c>
    </row>
    <row r="25">
      <c r="A25" t="n">
        <v>24</v>
      </c>
      <c r="B25" t="n">
        <v>4195.8</v>
      </c>
      <c r="C25" t="n">
        <v>1473.79</v>
      </c>
      <c r="D25" t="n">
        <v>47.77</v>
      </c>
      <c r="E25" t="n">
        <v>668.5599999999999</v>
      </c>
      <c r="F25" t="n">
        <v>2005.68</v>
      </c>
      <c r="G25" t="n">
        <v>2674.24</v>
      </c>
      <c r="H25">
        <f>B25-C25-D25-E25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operating_cost</t>
        </is>
      </c>
      <c r="C1" s="1" t="inlineStr">
        <is>
          <t>depreciation</t>
        </is>
      </c>
      <c r="D1" s="1" t="inlineStr">
        <is>
          <t>amortization</t>
        </is>
      </c>
      <c r="E1" s="1" t="inlineStr">
        <is>
          <t>interest</t>
        </is>
      </c>
      <c r="F1" s="1" t="inlineStr">
        <is>
          <t>total</t>
        </is>
      </c>
      <c r="G1" s="1" t="inlineStr">
        <is>
          <t>total_check</t>
        </is>
      </c>
    </row>
    <row r="2">
      <c r="A2" t="n">
        <v>1</v>
      </c>
      <c r="B2" t="n">
        <v>1473.79</v>
      </c>
      <c r="C2" t="n">
        <v>2007.67</v>
      </c>
      <c r="D2" t="n">
        <v>0</v>
      </c>
      <c r="E2" t="n">
        <v>955.1799999999999</v>
      </c>
      <c r="G2">
        <f>B2+C2+D2+E2</f>
        <v/>
      </c>
    </row>
    <row r="3">
      <c r="A3" t="n">
        <v>2</v>
      </c>
      <c r="B3" t="n">
        <v>1473.79</v>
      </c>
      <c r="C3" t="n">
        <v>2007.67</v>
      </c>
      <c r="D3" t="n">
        <v>0</v>
      </c>
      <c r="E3" t="n">
        <v>891.5</v>
      </c>
      <c r="G3">
        <f>B3+C3+D3+E3</f>
        <v/>
      </c>
    </row>
    <row r="4">
      <c r="A4" t="n">
        <v>3</v>
      </c>
      <c r="B4" t="n">
        <v>1473.79</v>
      </c>
      <c r="C4" t="n">
        <v>2007.67</v>
      </c>
      <c r="D4" t="n">
        <v>0</v>
      </c>
      <c r="E4" t="n">
        <v>827.8200000000001</v>
      </c>
      <c r="G4">
        <f>B4+C4+D4+E4</f>
        <v/>
      </c>
    </row>
    <row r="5">
      <c r="A5" t="n">
        <v>4</v>
      </c>
      <c r="B5" t="n">
        <v>1473.79</v>
      </c>
      <c r="C5" t="n">
        <v>2007.67</v>
      </c>
      <c r="D5" t="n">
        <v>0</v>
      </c>
      <c r="E5" t="n">
        <v>764.14</v>
      </c>
      <c r="G5">
        <f>B5+C5+D5+E5</f>
        <v/>
      </c>
    </row>
    <row r="6">
      <c r="A6" t="n">
        <v>5</v>
      </c>
      <c r="B6" t="n">
        <v>1473.79</v>
      </c>
      <c r="C6" t="n">
        <v>2007.67</v>
      </c>
      <c r="D6" t="n">
        <v>0</v>
      </c>
      <c r="E6" t="n">
        <v>700.47</v>
      </c>
      <c r="G6">
        <f>B6+C6+D6+E6</f>
        <v/>
      </c>
    </row>
    <row r="7">
      <c r="A7" t="n">
        <v>6</v>
      </c>
      <c r="B7" t="n">
        <v>1473.79</v>
      </c>
      <c r="C7" t="n">
        <v>2007.67</v>
      </c>
      <c r="D7" t="n">
        <v>0</v>
      </c>
      <c r="E7" t="n">
        <v>636.79</v>
      </c>
      <c r="G7">
        <f>B7+C7+D7+E7</f>
        <v/>
      </c>
    </row>
    <row r="8">
      <c r="A8" t="n">
        <v>7</v>
      </c>
      <c r="B8" t="n">
        <v>1473.79</v>
      </c>
      <c r="C8" t="n">
        <v>2007.67</v>
      </c>
      <c r="D8" t="n">
        <v>0</v>
      </c>
      <c r="E8" t="n">
        <v>573.11</v>
      </c>
      <c r="G8">
        <f>B8+C8+D8+E8</f>
        <v/>
      </c>
    </row>
    <row r="9">
      <c r="A9" t="n">
        <v>8</v>
      </c>
      <c r="B9" t="n">
        <v>1473.79</v>
      </c>
      <c r="C9" t="n">
        <v>2007.67</v>
      </c>
      <c r="D9" t="n">
        <v>0</v>
      </c>
      <c r="E9" t="n">
        <v>509.43</v>
      </c>
      <c r="G9">
        <f>B9+C9+D9+E9</f>
        <v/>
      </c>
    </row>
    <row r="10">
      <c r="A10" t="n">
        <v>9</v>
      </c>
      <c r="B10" t="n">
        <v>1473.79</v>
      </c>
      <c r="C10" t="n">
        <v>2007.67</v>
      </c>
      <c r="D10" t="n">
        <v>0</v>
      </c>
      <c r="E10" t="n">
        <v>445.75</v>
      </c>
      <c r="G10">
        <f>B10+C10+D10+E10</f>
        <v/>
      </c>
    </row>
    <row r="11">
      <c r="A11" t="n">
        <v>10</v>
      </c>
      <c r="B11" t="n">
        <v>1473.79</v>
      </c>
      <c r="C11" t="n">
        <v>2007.67</v>
      </c>
      <c r="D11" t="n">
        <v>0</v>
      </c>
      <c r="E11" t="n">
        <v>382.07</v>
      </c>
      <c r="G11">
        <f>B11+C11+D11+E11</f>
        <v/>
      </c>
    </row>
    <row r="12">
      <c r="A12" t="n">
        <v>11</v>
      </c>
      <c r="B12" t="n">
        <v>1473.79</v>
      </c>
      <c r="C12" t="n">
        <v>2007.67</v>
      </c>
      <c r="D12" t="n">
        <v>0</v>
      </c>
      <c r="E12" t="n">
        <v>318.39</v>
      </c>
      <c r="G12">
        <f>B12+C12+D12+E12</f>
        <v/>
      </c>
    </row>
    <row r="13">
      <c r="A13" t="n">
        <v>12</v>
      </c>
      <c r="B13" t="n">
        <v>1473.79</v>
      </c>
      <c r="C13" t="n">
        <v>2007.67</v>
      </c>
      <c r="D13" t="n">
        <v>0</v>
      </c>
      <c r="E13" t="n">
        <v>254.71</v>
      </c>
      <c r="G13">
        <f>B13+C13+D13+E13</f>
        <v/>
      </c>
    </row>
    <row r="14">
      <c r="A14" t="n">
        <v>13</v>
      </c>
      <c r="B14" t="n">
        <v>1473.79</v>
      </c>
      <c r="C14" t="n">
        <v>2007.67</v>
      </c>
      <c r="D14" t="n">
        <v>0</v>
      </c>
      <c r="E14" t="n">
        <v>191.04</v>
      </c>
      <c r="G14">
        <f>B14+C14+D14+E14</f>
        <v/>
      </c>
    </row>
    <row r="15">
      <c r="A15" t="n">
        <v>14</v>
      </c>
      <c r="B15" t="n">
        <v>1473.79</v>
      </c>
      <c r="C15" t="n">
        <v>2007.67</v>
      </c>
      <c r="D15" t="n">
        <v>0</v>
      </c>
      <c r="E15" t="n">
        <v>127.36</v>
      </c>
      <c r="G15">
        <f>B15+C15+D15+E15</f>
        <v/>
      </c>
    </row>
    <row r="16">
      <c r="A16" t="n">
        <v>15</v>
      </c>
      <c r="B16" t="n">
        <v>1473.79</v>
      </c>
      <c r="C16" t="n">
        <v>2007.67</v>
      </c>
      <c r="D16" t="n">
        <v>0</v>
      </c>
      <c r="E16" t="n">
        <v>63.68</v>
      </c>
      <c r="G16">
        <f>B16+C16+D16+E16</f>
        <v/>
      </c>
    </row>
    <row r="17">
      <c r="A17" t="n">
        <v>16</v>
      </c>
      <c r="B17" t="n">
        <v>1473.79</v>
      </c>
      <c r="C17" t="n">
        <v>2007.67</v>
      </c>
      <c r="D17" t="n">
        <v>0</v>
      </c>
      <c r="E17" t="n">
        <v>0</v>
      </c>
      <c r="G17">
        <f>B17+C17+D17+E17</f>
        <v/>
      </c>
    </row>
    <row r="18">
      <c r="A18" t="n">
        <v>17</v>
      </c>
      <c r="B18" t="n">
        <v>1473.79</v>
      </c>
      <c r="C18" t="n">
        <v>2007.67</v>
      </c>
      <c r="D18" t="n">
        <v>0</v>
      </c>
      <c r="E18" t="n">
        <v>0</v>
      </c>
      <c r="G18">
        <f>B18+C18+D18+E18</f>
        <v/>
      </c>
    </row>
    <row r="19">
      <c r="A19" t="n">
        <v>18</v>
      </c>
      <c r="B19" t="n">
        <v>1473.79</v>
      </c>
      <c r="C19" t="n">
        <v>2007.67</v>
      </c>
      <c r="D19" t="n">
        <v>0</v>
      </c>
      <c r="E19" t="n">
        <v>0</v>
      </c>
      <c r="G19">
        <f>B19+C19+D19+E19</f>
        <v/>
      </c>
    </row>
    <row r="20">
      <c r="A20" t="n">
        <v>19</v>
      </c>
      <c r="B20" t="n">
        <v>1473.79</v>
      </c>
      <c r="C20" t="n">
        <v>2007.67</v>
      </c>
      <c r="D20" t="n">
        <v>0</v>
      </c>
      <c r="E20" t="n">
        <v>0</v>
      </c>
      <c r="G20">
        <f>B20+C20+D20+E20</f>
        <v/>
      </c>
    </row>
    <row r="21">
      <c r="A21" t="n">
        <v>20</v>
      </c>
      <c r="B21" t="n">
        <v>1473.79</v>
      </c>
      <c r="C21" t="n">
        <v>2007.67</v>
      </c>
      <c r="D21" t="n">
        <v>0</v>
      </c>
      <c r="E21" t="n">
        <v>0</v>
      </c>
      <c r="G21">
        <f>B21+C21+D21+E21</f>
        <v/>
      </c>
    </row>
    <row r="22">
      <c r="A22" t="n">
        <v>21</v>
      </c>
      <c r="B22" t="n">
        <v>1473.79</v>
      </c>
      <c r="C22" t="n">
        <v>0</v>
      </c>
      <c r="D22" t="n">
        <v>0</v>
      </c>
      <c r="E22" t="n">
        <v>0</v>
      </c>
      <c r="G22">
        <f>B22+C22+D22+E22</f>
        <v/>
      </c>
    </row>
    <row r="23">
      <c r="A23" t="n">
        <v>22</v>
      </c>
      <c r="B23" t="n">
        <v>1473.79</v>
      </c>
      <c r="C23" t="n">
        <v>0</v>
      </c>
      <c r="D23" t="n">
        <v>0</v>
      </c>
      <c r="E23" t="n">
        <v>0</v>
      </c>
      <c r="G23">
        <f>B23+C23+D23+E23</f>
        <v/>
      </c>
    </row>
    <row r="24">
      <c r="A24" t="n">
        <v>23</v>
      </c>
      <c r="B24" t="n">
        <v>1473.79</v>
      </c>
      <c r="C24" t="n">
        <v>0</v>
      </c>
      <c r="D24" t="n">
        <v>0</v>
      </c>
      <c r="E24" t="n">
        <v>0</v>
      </c>
      <c r="G24">
        <f>B24+C24+D24+E24</f>
        <v/>
      </c>
    </row>
    <row r="25">
      <c r="A25" t="n">
        <v>24</v>
      </c>
      <c r="B25" t="n">
        <v>1473.79</v>
      </c>
      <c r="C25" t="n">
        <v>0</v>
      </c>
      <c r="D25" t="n">
        <v>0</v>
      </c>
      <c r="E25" t="n">
        <v>0</v>
      </c>
      <c r="G25">
        <f>B25+C25+D25+E25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net_cashflow</t>
        </is>
      </c>
      <c r="C1" s="1" t="inlineStr">
        <is>
          <t>cumulative</t>
        </is>
      </c>
      <c r="D1" s="1" t="inlineStr">
        <is>
          <t>revenue</t>
        </is>
      </c>
      <c r="E1" s="1" t="inlineStr">
        <is>
          <t>op_cash_cost</t>
        </is>
      </c>
      <c r="F1" s="1" t="inlineStr">
        <is>
          <t>construction</t>
        </is>
      </c>
      <c r="G1" s="1" t="inlineStr">
        <is>
          <t>wc_change</t>
        </is>
      </c>
      <c r="H1" s="1" t="inlineStr">
        <is>
          <t>recover</t>
        </is>
      </c>
    </row>
    <row r="2">
      <c r="A2" t="n">
        <v>0</v>
      </c>
      <c r="B2" t="n">
        <v>-42266.75</v>
      </c>
      <c r="C2" t="n">
        <v>-42266.75</v>
      </c>
      <c r="D2" t="n">
        <v>0</v>
      </c>
      <c r="E2" t="n">
        <v>0</v>
      </c>
      <c r="F2" t="n">
        <v>42266.75</v>
      </c>
      <c r="G2" t="n">
        <v>0</v>
      </c>
      <c r="H2" t="n">
        <v>0</v>
      </c>
    </row>
    <row r="3">
      <c r="A3" t="n">
        <v>1</v>
      </c>
      <c r="B3" t="n">
        <v>2423.95</v>
      </c>
      <c r="C3" t="n">
        <v>-39842.8</v>
      </c>
      <c r="D3" t="n">
        <v>4195.8</v>
      </c>
      <c r="E3" t="n">
        <v>1473.79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2423.95</v>
      </c>
      <c r="C4" t="n">
        <v>-37418.85</v>
      </c>
      <c r="D4" t="n">
        <v>4195.8</v>
      </c>
      <c r="E4" t="n">
        <v>1473.79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2423.95</v>
      </c>
      <c r="C5" t="n">
        <v>-34994.9</v>
      </c>
      <c r="D5" t="n">
        <v>4195.8</v>
      </c>
      <c r="E5" t="n">
        <v>1473.79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2423.95</v>
      </c>
      <c r="C6" t="n">
        <v>-32570.95</v>
      </c>
      <c r="D6" t="n">
        <v>4195.8</v>
      </c>
      <c r="E6" t="n">
        <v>1473.79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2423.95</v>
      </c>
      <c r="C7" t="n">
        <v>-30147</v>
      </c>
      <c r="D7" t="n">
        <v>4195.8</v>
      </c>
      <c r="E7" t="n">
        <v>1473.79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2423.95</v>
      </c>
      <c r="C8" t="n">
        <v>-27723.05</v>
      </c>
      <c r="D8" t="n">
        <v>4195.8</v>
      </c>
      <c r="E8" t="n">
        <v>1473.79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2423.95</v>
      </c>
      <c r="C9" t="n">
        <v>-25299.1</v>
      </c>
      <c r="D9" t="n">
        <v>4195.8</v>
      </c>
      <c r="E9" t="n">
        <v>1473.79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2423.95</v>
      </c>
      <c r="C10" t="n">
        <v>-22875.15</v>
      </c>
      <c r="D10" t="n">
        <v>4195.8</v>
      </c>
      <c r="E10" t="n">
        <v>1473.79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2423.95</v>
      </c>
      <c r="C11" t="n">
        <v>-20451.2</v>
      </c>
      <c r="D11" t="n">
        <v>4195.8</v>
      </c>
      <c r="E11" t="n">
        <v>1473.79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2423.95</v>
      </c>
      <c r="C12" t="n">
        <v>-18027.25</v>
      </c>
      <c r="D12" t="n">
        <v>4195.8</v>
      </c>
      <c r="E12" t="n">
        <v>1473.79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2423.95</v>
      </c>
      <c r="C13" t="n">
        <v>-15603.3</v>
      </c>
      <c r="D13" t="n">
        <v>4195.8</v>
      </c>
      <c r="E13" t="n">
        <v>1473.79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2423.95</v>
      </c>
      <c r="C14" t="n">
        <v>-13179.35</v>
      </c>
      <c r="D14" t="n">
        <v>4195.8</v>
      </c>
      <c r="E14" t="n">
        <v>1473.79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2423.95</v>
      </c>
      <c r="C15" t="n">
        <v>-10755.4</v>
      </c>
      <c r="D15" t="n">
        <v>4195.8</v>
      </c>
      <c r="E15" t="n">
        <v>1473.79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2423.95</v>
      </c>
      <c r="C16" t="n">
        <v>-8331.450000000001</v>
      </c>
      <c r="D16" t="n">
        <v>4195.8</v>
      </c>
      <c r="E16" t="n">
        <v>1473.79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2423.95</v>
      </c>
      <c r="C17" t="n">
        <v>-5907.5</v>
      </c>
      <c r="D17" t="n">
        <v>4195.8</v>
      </c>
      <c r="E17" t="n">
        <v>1473.79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2423.95</v>
      </c>
      <c r="C18" t="n">
        <v>-3483.55</v>
      </c>
      <c r="D18" t="n">
        <v>4195.8</v>
      </c>
      <c r="E18" t="n">
        <v>1473.79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2423.95</v>
      </c>
      <c r="C19" t="n">
        <v>-1059.6</v>
      </c>
      <c r="D19" t="n">
        <v>4195.8</v>
      </c>
      <c r="E19" t="n">
        <v>1473.79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2423.95</v>
      </c>
      <c r="C20" t="n">
        <v>1364.35</v>
      </c>
      <c r="D20" t="n">
        <v>4195.8</v>
      </c>
      <c r="E20" t="n">
        <v>1473.79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2423.95</v>
      </c>
      <c r="C21" t="n">
        <v>3788.3</v>
      </c>
      <c r="D21" t="n">
        <v>4195.8</v>
      </c>
      <c r="E21" t="n">
        <v>1473.79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2423.95</v>
      </c>
      <c r="C22" t="n">
        <v>6212.25</v>
      </c>
      <c r="D22" t="n">
        <v>4195.8</v>
      </c>
      <c r="E22" t="n">
        <v>1473.79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2423.95</v>
      </c>
      <c r="C23" t="n">
        <v>8636.200000000001</v>
      </c>
      <c r="D23" t="n">
        <v>4195.8</v>
      </c>
      <c r="E23" t="n">
        <v>1473.79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2423.95</v>
      </c>
      <c r="C24" t="n">
        <v>11060.15</v>
      </c>
      <c r="D24" t="n">
        <v>4195.8</v>
      </c>
      <c r="E24" t="n">
        <v>1473.79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2423.95</v>
      </c>
      <c r="C25" t="n">
        <v>13484.1</v>
      </c>
      <c r="D25" t="n">
        <v>4195.8</v>
      </c>
      <c r="E25" t="n">
        <v>1473.79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4537.29</v>
      </c>
      <c r="C26" t="n">
        <v>18021.39</v>
      </c>
      <c r="D26" t="n">
        <v>4195.8</v>
      </c>
      <c r="E26" t="n">
        <v>1473.79</v>
      </c>
      <c r="F26" t="n">
        <v>0</v>
      </c>
      <c r="G26" t="n">
        <v>0</v>
      </c>
      <c r="H26" t="n">
        <v>2113.34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capital_invest</t>
        </is>
      </c>
      <c r="C1" s="1" t="inlineStr">
        <is>
          <t>loan_draw</t>
        </is>
      </c>
      <c r="D1" s="1" t="inlineStr">
        <is>
          <t>subsidy_draw</t>
        </is>
      </c>
      <c r="E1" s="1" t="inlineStr">
        <is>
          <t>revenue</t>
        </is>
      </c>
      <c r="F1" s="1" t="inlineStr">
        <is>
          <t>recover_fixed</t>
        </is>
      </c>
      <c r="G1" s="1" t="inlineStr">
        <is>
          <t>recover_wc</t>
        </is>
      </c>
      <c r="H1" s="1" t="inlineStr">
        <is>
          <t>op_cash_cost</t>
        </is>
      </c>
      <c r="I1" s="1" t="inlineStr">
        <is>
          <t>tax_surtax</t>
        </is>
      </c>
    </row>
    <row r="2">
      <c r="A2" t="n">
        <v>0</v>
      </c>
      <c r="B2" t="n">
        <v>12417.35</v>
      </c>
      <c r="C2" t="n">
        <v>29849.4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4195.8</v>
      </c>
      <c r="F3" t="n">
        <v>0</v>
      </c>
      <c r="G3" t="n">
        <v>0</v>
      </c>
      <c r="H3" t="n">
        <v>1473.79</v>
      </c>
      <c r="I3" t="n">
        <v>47.77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4195.8</v>
      </c>
      <c r="F4" t="n">
        <v>0</v>
      </c>
      <c r="G4" t="n">
        <v>0</v>
      </c>
      <c r="H4" t="n">
        <v>1473.79</v>
      </c>
      <c r="I4" t="n">
        <v>47.77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4195.8</v>
      </c>
      <c r="F5" t="n">
        <v>0</v>
      </c>
      <c r="G5" t="n">
        <v>0</v>
      </c>
      <c r="H5" t="n">
        <v>1473.79</v>
      </c>
      <c r="I5" t="n">
        <v>47.77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4195.8</v>
      </c>
      <c r="F6" t="n">
        <v>0</v>
      </c>
      <c r="G6" t="n">
        <v>0</v>
      </c>
      <c r="H6" t="n">
        <v>1473.79</v>
      </c>
      <c r="I6" t="n">
        <v>47.77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4195.8</v>
      </c>
      <c r="F7" t="n">
        <v>0</v>
      </c>
      <c r="G7" t="n">
        <v>0</v>
      </c>
      <c r="H7" t="n">
        <v>1473.79</v>
      </c>
      <c r="I7" t="n">
        <v>47.77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4195.8</v>
      </c>
      <c r="F8" t="n">
        <v>0</v>
      </c>
      <c r="G8" t="n">
        <v>0</v>
      </c>
      <c r="H8" t="n">
        <v>1473.79</v>
      </c>
      <c r="I8" t="n">
        <v>47.77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4195.8</v>
      </c>
      <c r="F9" t="n">
        <v>0</v>
      </c>
      <c r="G9" t="n">
        <v>0</v>
      </c>
      <c r="H9" t="n">
        <v>1473.79</v>
      </c>
      <c r="I9" t="n">
        <v>47.77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4195.8</v>
      </c>
      <c r="F10" t="n">
        <v>0</v>
      </c>
      <c r="G10" t="n">
        <v>0</v>
      </c>
      <c r="H10" t="n">
        <v>1473.79</v>
      </c>
      <c r="I10" t="n">
        <v>47.77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4195.8</v>
      </c>
      <c r="F11" t="n">
        <v>0</v>
      </c>
      <c r="G11" t="n">
        <v>0</v>
      </c>
      <c r="H11" t="n">
        <v>1473.79</v>
      </c>
      <c r="I11" t="n">
        <v>47.77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4195.8</v>
      </c>
      <c r="F12" t="n">
        <v>0</v>
      </c>
      <c r="G12" t="n">
        <v>0</v>
      </c>
      <c r="H12" t="n">
        <v>1473.79</v>
      </c>
      <c r="I12" t="n">
        <v>47.77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4195.8</v>
      </c>
      <c r="F13" t="n">
        <v>0</v>
      </c>
      <c r="G13" t="n">
        <v>0</v>
      </c>
      <c r="H13" t="n">
        <v>1473.79</v>
      </c>
      <c r="I13" t="n">
        <v>47.77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4195.8</v>
      </c>
      <c r="F14" t="n">
        <v>0</v>
      </c>
      <c r="G14" t="n">
        <v>0</v>
      </c>
      <c r="H14" t="n">
        <v>1473.79</v>
      </c>
      <c r="I14" t="n">
        <v>47.77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4195.8</v>
      </c>
      <c r="F15" t="n">
        <v>0</v>
      </c>
      <c r="G15" t="n">
        <v>0</v>
      </c>
      <c r="H15" t="n">
        <v>1473.79</v>
      </c>
      <c r="I15" t="n">
        <v>47.77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4195.8</v>
      </c>
      <c r="F16" t="n">
        <v>0</v>
      </c>
      <c r="G16" t="n">
        <v>0</v>
      </c>
      <c r="H16" t="n">
        <v>1473.79</v>
      </c>
      <c r="I16" t="n">
        <v>47.77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4195.8</v>
      </c>
      <c r="F17" t="n">
        <v>0</v>
      </c>
      <c r="G17" t="n">
        <v>0</v>
      </c>
      <c r="H17" t="n">
        <v>1473.79</v>
      </c>
      <c r="I17" t="n">
        <v>47.77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4195.8</v>
      </c>
      <c r="F18" t="n">
        <v>0</v>
      </c>
      <c r="G18" t="n">
        <v>0</v>
      </c>
      <c r="H18" t="n">
        <v>1473.79</v>
      </c>
      <c r="I18" t="n">
        <v>47.77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4195.8</v>
      </c>
      <c r="F19" t="n">
        <v>0</v>
      </c>
      <c r="G19" t="n">
        <v>0</v>
      </c>
      <c r="H19" t="n">
        <v>1473.79</v>
      </c>
      <c r="I19" t="n">
        <v>47.77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4195.8</v>
      </c>
      <c r="F20" t="n">
        <v>0</v>
      </c>
      <c r="G20" t="n">
        <v>0</v>
      </c>
      <c r="H20" t="n">
        <v>1473.79</v>
      </c>
      <c r="I20" t="n">
        <v>47.77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4195.8</v>
      </c>
      <c r="F21" t="n">
        <v>0</v>
      </c>
      <c r="G21" t="n">
        <v>0</v>
      </c>
      <c r="H21" t="n">
        <v>1473.79</v>
      </c>
      <c r="I21" t="n">
        <v>47.77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4195.8</v>
      </c>
      <c r="F22" t="n">
        <v>0</v>
      </c>
      <c r="G22" t="n">
        <v>0</v>
      </c>
      <c r="H22" t="n">
        <v>1473.79</v>
      </c>
      <c r="I22" t="n">
        <v>47.77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4195.8</v>
      </c>
      <c r="F23" t="n">
        <v>0</v>
      </c>
      <c r="G23" t="n">
        <v>0</v>
      </c>
      <c r="H23" t="n">
        <v>1473.79</v>
      </c>
      <c r="I23" t="n">
        <v>47.77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4195.8</v>
      </c>
      <c r="F24" t="n">
        <v>0</v>
      </c>
      <c r="G24" t="n">
        <v>0</v>
      </c>
      <c r="H24" t="n">
        <v>1473.79</v>
      </c>
      <c r="I24" t="n">
        <v>47.77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4195.8</v>
      </c>
      <c r="F25" t="n">
        <v>0</v>
      </c>
      <c r="G25" t="n">
        <v>0</v>
      </c>
      <c r="H25" t="n">
        <v>1473.79</v>
      </c>
      <c r="I25" t="n">
        <v>47.77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4195.8</v>
      </c>
      <c r="F26" t="n">
        <v>2113.34</v>
      </c>
      <c r="G26" t="n">
        <v>0</v>
      </c>
      <c r="H26" t="n">
        <v>1473.79</v>
      </c>
      <c r="I26" t="n">
        <v>47.77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finance_in</t>
        </is>
      </c>
      <c r="C1" s="1" t="inlineStr">
        <is>
          <t>operating_net</t>
        </is>
      </c>
      <c r="D1" s="1" t="inlineStr">
        <is>
          <t>invest_out</t>
        </is>
      </c>
      <c r="E1" s="1" t="inlineStr">
        <is>
          <t>debt_service</t>
        </is>
      </c>
      <c r="F1" s="1" t="inlineStr">
        <is>
          <t>net_cashflow</t>
        </is>
      </c>
      <c r="G1" s="1" t="inlineStr">
        <is>
          <t>cumulative</t>
        </is>
      </c>
      <c r="H1" s="1" t="inlineStr">
        <is>
          <t>gap</t>
        </is>
      </c>
    </row>
    <row r="2">
      <c r="A2" t="n">
        <v>1</v>
      </c>
      <c r="B2" t="n">
        <v>42266.75</v>
      </c>
      <c r="C2" t="n">
        <v>0</v>
      </c>
      <c r="D2" t="n">
        <v>42266.75</v>
      </c>
      <c r="E2" t="n">
        <v>0</v>
      </c>
      <c r="F2" t="n">
        <v>0</v>
      </c>
      <c r="G2" t="n">
        <v>0</v>
      </c>
      <c r="H2" t="b">
        <v>0</v>
      </c>
    </row>
    <row r="3">
      <c r="A3" t="n">
        <v>2</v>
      </c>
      <c r="B3" t="n">
        <v>0</v>
      </c>
      <c r="C3" t="n">
        <v>2674.24</v>
      </c>
      <c r="D3" t="n">
        <v>0</v>
      </c>
      <c r="E3" t="n">
        <v>2945.14</v>
      </c>
      <c r="F3" t="n">
        <v>-270.9</v>
      </c>
      <c r="G3" t="n">
        <v>-270.9</v>
      </c>
      <c r="H3" t="b">
        <v>1</v>
      </c>
    </row>
    <row r="4">
      <c r="A4" t="n">
        <v>3</v>
      </c>
      <c r="B4" t="n">
        <v>0</v>
      </c>
      <c r="C4" t="n">
        <v>2674.24</v>
      </c>
      <c r="D4" t="n">
        <v>0</v>
      </c>
      <c r="E4" t="n">
        <v>2881.46</v>
      </c>
      <c r="F4" t="n">
        <v>-207.22</v>
      </c>
      <c r="G4" t="n">
        <v>-478.12</v>
      </c>
      <c r="H4" t="b">
        <v>1</v>
      </c>
    </row>
    <row r="5">
      <c r="A5" t="n">
        <v>4</v>
      </c>
      <c r="B5" t="n">
        <v>0</v>
      </c>
      <c r="C5" t="n">
        <v>2674.24</v>
      </c>
      <c r="D5" t="n">
        <v>0</v>
      </c>
      <c r="E5" t="n">
        <v>2817.78</v>
      </c>
      <c r="F5" t="n">
        <v>-143.54</v>
      </c>
      <c r="G5" t="n">
        <v>-621.66</v>
      </c>
      <c r="H5" t="b">
        <v>1</v>
      </c>
    </row>
    <row r="6">
      <c r="A6" t="n">
        <v>5</v>
      </c>
      <c r="B6" t="n">
        <v>0</v>
      </c>
      <c r="C6" t="n">
        <v>2674.24</v>
      </c>
      <c r="D6" t="n">
        <v>0</v>
      </c>
      <c r="E6" t="n">
        <v>2754.1</v>
      </c>
      <c r="F6" t="n">
        <v>-79.86</v>
      </c>
      <c r="G6" t="n">
        <v>-701.52</v>
      </c>
      <c r="H6" t="b">
        <v>1</v>
      </c>
    </row>
    <row r="7">
      <c r="A7" t="n">
        <v>6</v>
      </c>
      <c r="B7" t="n">
        <v>0</v>
      </c>
      <c r="C7" t="n">
        <v>2674.24</v>
      </c>
      <c r="D7" t="n">
        <v>0</v>
      </c>
      <c r="E7" t="n">
        <v>2690.43</v>
      </c>
      <c r="F7" t="n">
        <v>-16.19</v>
      </c>
      <c r="G7" t="n">
        <v>-717.71</v>
      </c>
      <c r="H7" t="b">
        <v>1</v>
      </c>
    </row>
    <row r="8">
      <c r="A8" t="n">
        <v>7</v>
      </c>
      <c r="B8" t="n">
        <v>0</v>
      </c>
      <c r="C8" t="n">
        <v>2666.79</v>
      </c>
      <c r="D8" t="n">
        <v>0</v>
      </c>
      <c r="E8" t="n">
        <v>2626.75</v>
      </c>
      <c r="F8" t="n">
        <v>40.04</v>
      </c>
      <c r="G8" t="n">
        <v>-677.67</v>
      </c>
      <c r="H8" t="b">
        <v>1</v>
      </c>
    </row>
    <row r="9">
      <c r="A9" t="n">
        <v>8</v>
      </c>
      <c r="B9" t="n">
        <v>0</v>
      </c>
      <c r="C9" t="n">
        <v>2650.88</v>
      </c>
      <c r="D9" t="n">
        <v>0</v>
      </c>
      <c r="E9" t="n">
        <v>2563.07</v>
      </c>
      <c r="F9" t="n">
        <v>87.81</v>
      </c>
      <c r="G9" t="n">
        <v>-589.86</v>
      </c>
      <c r="H9" t="b">
        <v>1</v>
      </c>
    </row>
    <row r="10">
      <c r="A10" t="n">
        <v>9</v>
      </c>
      <c r="B10" t="n">
        <v>0</v>
      </c>
      <c r="C10" t="n">
        <v>2634.96</v>
      </c>
      <c r="D10" t="n">
        <v>0</v>
      </c>
      <c r="E10" t="n">
        <v>2499.39</v>
      </c>
      <c r="F10" t="n">
        <v>135.57</v>
      </c>
      <c r="G10" t="n">
        <v>-454.29</v>
      </c>
      <c r="H10" t="b">
        <v>1</v>
      </c>
    </row>
    <row r="11">
      <c r="A11" t="n">
        <v>10</v>
      </c>
      <c r="B11" t="n">
        <v>0</v>
      </c>
      <c r="C11" t="n">
        <v>2619.04</v>
      </c>
      <c r="D11" t="n">
        <v>0</v>
      </c>
      <c r="E11" t="n">
        <v>2435.71</v>
      </c>
      <c r="F11" t="n">
        <v>183.33</v>
      </c>
      <c r="G11" t="n">
        <v>-270.96</v>
      </c>
      <c r="H11" t="b">
        <v>1</v>
      </c>
    </row>
    <row r="12">
      <c r="A12" t="n">
        <v>11</v>
      </c>
      <c r="B12" t="n">
        <v>0</v>
      </c>
      <c r="C12" t="n">
        <v>2603.12</v>
      </c>
      <c r="D12" t="n">
        <v>0</v>
      </c>
      <c r="E12" t="n">
        <v>2372.03</v>
      </c>
      <c r="F12" t="n">
        <v>231.09</v>
      </c>
      <c r="G12" t="n">
        <v>-39.87</v>
      </c>
      <c r="H12" t="b">
        <v>1</v>
      </c>
    </row>
    <row r="13">
      <c r="A13" t="n">
        <v>12</v>
      </c>
      <c r="B13" t="n">
        <v>0</v>
      </c>
      <c r="C13" t="n">
        <v>2587.19</v>
      </c>
      <c r="D13" t="n">
        <v>0</v>
      </c>
      <c r="E13" t="n">
        <v>2308.35</v>
      </c>
      <c r="F13" t="n">
        <v>278.84</v>
      </c>
      <c r="G13" t="n">
        <v>238.97</v>
      </c>
      <c r="H13" t="b">
        <v>0</v>
      </c>
    </row>
    <row r="14">
      <c r="A14" t="n">
        <v>13</v>
      </c>
      <c r="B14" t="n">
        <v>0</v>
      </c>
      <c r="C14" t="n">
        <v>2571.27</v>
      </c>
      <c r="D14" t="n">
        <v>0</v>
      </c>
      <c r="E14" t="n">
        <v>2244.67</v>
      </c>
      <c r="F14" t="n">
        <v>326.6</v>
      </c>
      <c r="G14" t="n">
        <v>565.5700000000001</v>
      </c>
      <c r="H14" t="b">
        <v>0</v>
      </c>
    </row>
    <row r="15">
      <c r="A15" t="n">
        <v>14</v>
      </c>
      <c r="B15" t="n">
        <v>0</v>
      </c>
      <c r="C15" t="n">
        <v>2555.36</v>
      </c>
      <c r="D15" t="n">
        <v>0</v>
      </c>
      <c r="E15" t="n">
        <v>2181</v>
      </c>
      <c r="F15" t="n">
        <v>374.36</v>
      </c>
      <c r="G15" t="n">
        <v>939.9299999999999</v>
      </c>
      <c r="H15" t="b">
        <v>0</v>
      </c>
    </row>
    <row r="16">
      <c r="A16" t="n">
        <v>15</v>
      </c>
      <c r="B16" t="n">
        <v>0</v>
      </c>
      <c r="C16" t="n">
        <v>2539.44</v>
      </c>
      <c r="D16" t="n">
        <v>0</v>
      </c>
      <c r="E16" t="n">
        <v>2117.32</v>
      </c>
      <c r="F16" t="n">
        <v>422.12</v>
      </c>
      <c r="G16" t="n">
        <v>1362.05</v>
      </c>
      <c r="H16" t="b">
        <v>0</v>
      </c>
    </row>
    <row r="17">
      <c r="A17" t="n">
        <v>16</v>
      </c>
      <c r="B17" t="n">
        <v>0</v>
      </c>
      <c r="C17" t="n">
        <v>2523.52</v>
      </c>
      <c r="D17" t="n">
        <v>0</v>
      </c>
      <c r="E17" t="n">
        <v>2053.64</v>
      </c>
      <c r="F17" t="n">
        <v>469.88</v>
      </c>
      <c r="G17" t="n">
        <v>1831.93</v>
      </c>
      <c r="H17" t="b">
        <v>0</v>
      </c>
    </row>
    <row r="18">
      <c r="A18" t="n">
        <v>17</v>
      </c>
      <c r="B18" t="n">
        <v>0</v>
      </c>
      <c r="C18" t="n">
        <v>2507.6</v>
      </c>
      <c r="D18" t="n">
        <v>0</v>
      </c>
      <c r="E18" t="n">
        <v>0</v>
      </c>
      <c r="F18" t="n">
        <v>2507.6</v>
      </c>
      <c r="G18" t="n">
        <v>4339.53</v>
      </c>
      <c r="H18" t="b">
        <v>0</v>
      </c>
    </row>
    <row r="19">
      <c r="A19" t="n">
        <v>18</v>
      </c>
      <c r="B19" t="n">
        <v>0</v>
      </c>
      <c r="C19" t="n">
        <v>2507.6</v>
      </c>
      <c r="D19" t="n">
        <v>0</v>
      </c>
      <c r="E19" t="n">
        <v>0</v>
      </c>
      <c r="F19" t="n">
        <v>2507.6</v>
      </c>
      <c r="G19" t="n">
        <v>6847.13</v>
      </c>
      <c r="H19" t="b">
        <v>0</v>
      </c>
    </row>
    <row r="20">
      <c r="A20" t="n">
        <v>19</v>
      </c>
      <c r="B20" t="n">
        <v>0</v>
      </c>
      <c r="C20" t="n">
        <v>2507.6</v>
      </c>
      <c r="D20" t="n">
        <v>0</v>
      </c>
      <c r="E20" t="n">
        <v>0</v>
      </c>
      <c r="F20" t="n">
        <v>2507.6</v>
      </c>
      <c r="G20" t="n">
        <v>9354.73</v>
      </c>
      <c r="H20" t="b">
        <v>0</v>
      </c>
    </row>
    <row r="21">
      <c r="A21" t="n">
        <v>20</v>
      </c>
      <c r="B21" t="n">
        <v>0</v>
      </c>
      <c r="C21" t="n">
        <v>2507.6</v>
      </c>
      <c r="D21" t="n">
        <v>0</v>
      </c>
      <c r="E21" t="n">
        <v>0</v>
      </c>
      <c r="F21" t="n">
        <v>2507.6</v>
      </c>
      <c r="G21" t="n">
        <v>11862.33</v>
      </c>
      <c r="H21" t="b">
        <v>0</v>
      </c>
    </row>
    <row r="22">
      <c r="A22" t="n">
        <v>21</v>
      </c>
      <c r="B22" t="n">
        <v>0</v>
      </c>
      <c r="C22" t="n">
        <v>2507.6</v>
      </c>
      <c r="D22" t="n">
        <v>0</v>
      </c>
      <c r="E22" t="n">
        <v>0</v>
      </c>
      <c r="F22" t="n">
        <v>2507.6</v>
      </c>
      <c r="G22" t="n">
        <v>14369.93</v>
      </c>
      <c r="H22" t="b">
        <v>0</v>
      </c>
    </row>
    <row r="23">
      <c r="A23" t="n">
        <v>22</v>
      </c>
      <c r="B23" t="n">
        <v>0</v>
      </c>
      <c r="C23" t="n">
        <v>2005.68</v>
      </c>
      <c r="D23" t="n">
        <v>0</v>
      </c>
      <c r="E23" t="n">
        <v>0</v>
      </c>
      <c r="F23" t="n">
        <v>2005.68</v>
      </c>
      <c r="G23" t="n">
        <v>16375.61</v>
      </c>
      <c r="H23" t="b">
        <v>0</v>
      </c>
    </row>
    <row r="24">
      <c r="A24" t="n">
        <v>23</v>
      </c>
      <c r="B24" t="n">
        <v>0</v>
      </c>
      <c r="C24" t="n">
        <v>2005.68</v>
      </c>
      <c r="D24" t="n">
        <v>0</v>
      </c>
      <c r="E24" t="n">
        <v>0</v>
      </c>
      <c r="F24" t="n">
        <v>2005.68</v>
      </c>
      <c r="G24" t="n">
        <v>18381.29</v>
      </c>
      <c r="H24" t="b">
        <v>0</v>
      </c>
    </row>
    <row r="25">
      <c r="A25" t="n">
        <v>24</v>
      </c>
      <c r="B25" t="n">
        <v>0</v>
      </c>
      <c r="C25" t="n">
        <v>2005.68</v>
      </c>
      <c r="D25" t="n">
        <v>0</v>
      </c>
      <c r="E25" t="n">
        <v>0</v>
      </c>
      <c r="F25" t="n">
        <v>2005.68</v>
      </c>
      <c r="G25" t="n">
        <v>20386.97</v>
      </c>
      <c r="H25" t="b">
        <v>0</v>
      </c>
    </row>
    <row r="26">
      <c r="A26" t="n">
        <v>25</v>
      </c>
      <c r="B26" t="n">
        <v>0</v>
      </c>
      <c r="C26" t="n">
        <v>2005.68</v>
      </c>
      <c r="D26" t="n">
        <v>-2113.34</v>
      </c>
      <c r="E26" t="n">
        <v>0</v>
      </c>
      <c r="F26" t="n">
        <v>4119.02</v>
      </c>
      <c r="G26" t="n">
        <v>24505.99</v>
      </c>
      <c r="H26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begin</t>
        </is>
      </c>
      <c r="C1" s="1" t="inlineStr">
        <is>
          <t>principal</t>
        </is>
      </c>
      <c r="D1" s="1" t="inlineStr">
        <is>
          <t>interest</t>
        </is>
      </c>
      <c r="E1" s="1" t="inlineStr">
        <is>
          <t>end</t>
        </is>
      </c>
      <c r="F1" s="1" t="inlineStr">
        <is>
          <t>dscr</t>
        </is>
      </c>
      <c r="G1" s="1" t="inlineStr">
        <is>
          <t>icr</t>
        </is>
      </c>
    </row>
    <row r="2">
      <c r="A2" t="n">
        <v>1</v>
      </c>
      <c r="B2" t="n">
        <v>29849.4</v>
      </c>
      <c r="C2" t="n">
        <v>1989.96</v>
      </c>
      <c r="D2" t="n">
        <v>955.1799999999999</v>
      </c>
      <c r="E2" t="n">
        <v>27859.44</v>
      </c>
      <c r="F2" t="n">
        <v>0.91</v>
      </c>
      <c r="G2" t="n">
        <v>0.7</v>
      </c>
    </row>
    <row r="3">
      <c r="A3" t="n">
        <v>2</v>
      </c>
      <c r="B3" t="n">
        <v>27859.44</v>
      </c>
      <c r="C3" t="n">
        <v>1989.96</v>
      </c>
      <c r="D3" t="n">
        <v>891.5</v>
      </c>
      <c r="E3" t="n">
        <v>25869.48</v>
      </c>
      <c r="F3" t="n">
        <v>0.93</v>
      </c>
      <c r="G3" t="n">
        <v>0.75</v>
      </c>
    </row>
    <row r="4">
      <c r="A4" t="n">
        <v>3</v>
      </c>
      <c r="B4" t="n">
        <v>25869.48</v>
      </c>
      <c r="C4" t="n">
        <v>1989.96</v>
      </c>
      <c r="D4" t="n">
        <v>827.8200000000001</v>
      </c>
      <c r="E4" t="n">
        <v>23879.52</v>
      </c>
      <c r="F4" t="n">
        <v>0.95</v>
      </c>
      <c r="G4" t="n">
        <v>0.8100000000000001</v>
      </c>
    </row>
    <row r="5">
      <c r="A5" t="n">
        <v>4</v>
      </c>
      <c r="B5" t="n">
        <v>23879.52</v>
      </c>
      <c r="C5" t="n">
        <v>1989.96</v>
      </c>
      <c r="D5" t="n">
        <v>764.14</v>
      </c>
      <c r="E5" t="n">
        <v>21889.56</v>
      </c>
      <c r="F5" t="n">
        <v>0.97</v>
      </c>
      <c r="G5" t="n">
        <v>0.87</v>
      </c>
    </row>
    <row r="6">
      <c r="A6" t="n">
        <v>5</v>
      </c>
      <c r="B6" t="n">
        <v>21889.56</v>
      </c>
      <c r="C6" t="n">
        <v>1989.96</v>
      </c>
      <c r="D6" t="n">
        <v>700.47</v>
      </c>
      <c r="E6" t="n">
        <v>19899.6</v>
      </c>
      <c r="F6" t="n">
        <v>0.99</v>
      </c>
      <c r="G6" t="n">
        <v>0.95</v>
      </c>
    </row>
    <row r="7">
      <c r="A7" t="n">
        <v>6</v>
      </c>
      <c r="B7" t="n">
        <v>19899.6</v>
      </c>
      <c r="C7" t="n">
        <v>1989.96</v>
      </c>
      <c r="D7" t="n">
        <v>636.79</v>
      </c>
      <c r="E7" t="n">
        <v>17909.64</v>
      </c>
      <c r="F7" t="n">
        <v>1.02</v>
      </c>
      <c r="G7" t="n">
        <v>1.05</v>
      </c>
    </row>
    <row r="8">
      <c r="A8" t="n">
        <v>7</v>
      </c>
      <c r="B8" t="n">
        <v>17909.64</v>
      </c>
      <c r="C8" t="n">
        <v>1989.96</v>
      </c>
      <c r="D8" t="n">
        <v>573.11</v>
      </c>
      <c r="E8" t="n">
        <v>15919.68</v>
      </c>
      <c r="F8" t="n">
        <v>1.03</v>
      </c>
      <c r="G8" t="n">
        <v>1.16</v>
      </c>
    </row>
    <row r="9">
      <c r="A9" t="n">
        <v>8</v>
      </c>
      <c r="B9" t="n">
        <v>15919.68</v>
      </c>
      <c r="C9" t="n">
        <v>1989.96</v>
      </c>
      <c r="D9" t="n">
        <v>509.43</v>
      </c>
      <c r="E9" t="n">
        <v>13929.72</v>
      </c>
      <c r="F9" t="n">
        <v>1.05</v>
      </c>
      <c r="G9" t="n">
        <v>1.31</v>
      </c>
    </row>
    <row r="10">
      <c r="A10" t="n">
        <v>9</v>
      </c>
      <c r="B10" t="n">
        <v>13929.72</v>
      </c>
      <c r="C10" t="n">
        <v>1989.96</v>
      </c>
      <c r="D10" t="n">
        <v>445.75</v>
      </c>
      <c r="E10" t="n">
        <v>11939.76</v>
      </c>
      <c r="F10" t="n">
        <v>1.08</v>
      </c>
      <c r="G10" t="n">
        <v>1.5</v>
      </c>
    </row>
    <row r="11">
      <c r="A11" t="n">
        <v>10</v>
      </c>
      <c r="B11" t="n">
        <v>11939.76</v>
      </c>
      <c r="C11" t="n">
        <v>1989.96</v>
      </c>
      <c r="D11" t="n">
        <v>382.07</v>
      </c>
      <c r="E11" t="n">
        <v>9949.799999999999</v>
      </c>
      <c r="F11" t="n">
        <v>1.1</v>
      </c>
      <c r="G11" t="n">
        <v>1.74</v>
      </c>
    </row>
    <row r="12">
      <c r="A12" t="n">
        <v>11</v>
      </c>
      <c r="B12" t="n">
        <v>9949.799999999999</v>
      </c>
      <c r="C12" t="n">
        <v>1989.96</v>
      </c>
      <c r="D12" t="n">
        <v>318.39</v>
      </c>
      <c r="E12" t="n">
        <v>7959.84</v>
      </c>
      <c r="F12" t="n">
        <v>1.12</v>
      </c>
      <c r="G12" t="n">
        <v>2.09</v>
      </c>
    </row>
    <row r="13">
      <c r="A13" t="n">
        <v>12</v>
      </c>
      <c r="B13" t="n">
        <v>7959.84</v>
      </c>
      <c r="C13" t="n">
        <v>1989.96</v>
      </c>
      <c r="D13" t="n">
        <v>254.71</v>
      </c>
      <c r="E13" t="n">
        <v>5969.88</v>
      </c>
      <c r="F13" t="n">
        <v>1.15</v>
      </c>
      <c r="G13" t="n">
        <v>2.62</v>
      </c>
    </row>
    <row r="14">
      <c r="A14" t="n">
        <v>13</v>
      </c>
      <c r="B14" t="n">
        <v>5969.88</v>
      </c>
      <c r="C14" t="n">
        <v>1989.96</v>
      </c>
      <c r="D14" t="n">
        <v>191.04</v>
      </c>
      <c r="E14" t="n">
        <v>3979.92</v>
      </c>
      <c r="F14" t="n">
        <v>1.17</v>
      </c>
      <c r="G14" t="n">
        <v>3.49</v>
      </c>
    </row>
    <row r="15">
      <c r="A15" t="n">
        <v>14</v>
      </c>
      <c r="B15" t="n">
        <v>3979.92</v>
      </c>
      <c r="C15" t="n">
        <v>1989.96</v>
      </c>
      <c r="D15" t="n">
        <v>127.36</v>
      </c>
      <c r="E15" t="n">
        <v>1989.96</v>
      </c>
      <c r="F15" t="n">
        <v>1.2</v>
      </c>
      <c r="G15" t="n">
        <v>5.23</v>
      </c>
    </row>
    <row r="16">
      <c r="A16" t="n">
        <v>15</v>
      </c>
      <c r="B16" t="n">
        <v>1989.96</v>
      </c>
      <c r="C16" t="n">
        <v>1989.96</v>
      </c>
      <c r="D16" t="n">
        <v>63.68</v>
      </c>
      <c r="E16" t="n">
        <v>0</v>
      </c>
      <c r="F16" t="n">
        <v>1.23</v>
      </c>
      <c r="G16" t="n">
        <v>10.47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ok</t>
        </is>
      </c>
      <c r="C1" s="1" t="inlineStr">
        <is>
          <t>detail</t>
        </is>
      </c>
      <c r="D1" s="1" t="inlineStr">
        <is>
          <t>blocking</t>
        </is>
      </c>
    </row>
    <row r="2">
      <c r="A2" t="inlineStr">
        <is>
          <t>资金筹措合计=总投资</t>
        </is>
      </c>
      <c r="B2" t="b">
        <v>1</v>
      </c>
      <c r="C2" t="inlineStr">
        <is>
          <t>筹措合计 42,642.00 vs 总投资 42,642.00 万元</t>
        </is>
      </c>
      <c r="D2" t="b">
        <v>0</v>
      </c>
    </row>
    <row r="3">
      <c r="A3" t="inlineStr">
        <is>
          <t>现金流表IRR=技经指标IRR</t>
        </is>
      </c>
      <c r="B3" t="b">
        <v>1</v>
      </c>
      <c r="C3" t="inlineStr">
        <is>
          <t>现金流表 2.96% vs 指标表 2.96%</t>
        </is>
      </c>
      <c r="D3" t="b">
        <v>0</v>
      </c>
    </row>
    <row r="4">
      <c r="A4" t="inlineStr">
        <is>
          <t>总成本=经营成本+折旧+摊销+利息</t>
        </is>
      </c>
      <c r="B4" t="b">
        <v>1</v>
      </c>
      <c r="C4" t="inlineStr">
        <is>
          <t>逐年校验 24 年</t>
        </is>
      </c>
      <c r="D4" t="b">
        <v>0</v>
      </c>
    </row>
    <row r="5">
      <c r="A5" t="inlineStr">
        <is>
          <t>建设期利息汇总=投资估算利息</t>
        </is>
      </c>
      <c r="B5" t="b">
        <v>1</v>
      </c>
      <c r="C5" t="inlineStr">
        <is>
          <t>汇总 477.59 vs 估算 477.59 万元</t>
        </is>
      </c>
      <c r="D5" t="b">
        <v>0</v>
      </c>
    </row>
    <row r="6">
      <c r="A6" t="inlineStr">
        <is>
          <t>流动资金分项净额=投资估算流动资金</t>
        </is>
      </c>
      <c r="B6" t="b">
        <v>1</v>
      </c>
      <c r="C6" t="inlineStr">
        <is>
          <t>分项净额 0.00 vs 估算 0.00 万元</t>
        </is>
      </c>
      <c r="D6" t="b">
        <v>0</v>
      </c>
    </row>
    <row r="7">
      <c r="A7" t="inlineStr">
        <is>
          <t>折旧表+摊销表=总成本表折旧摊销</t>
        </is>
      </c>
      <c r="B7" t="b">
        <v>1</v>
      </c>
      <c r="C7" t="inlineStr">
        <is>
          <t>逐年校验 24 年（附表6-2/6-3↔附表6）</t>
        </is>
      </c>
      <c r="D7" t="b">
        <v>0</v>
      </c>
    </row>
    <row r="8">
      <c r="A8" t="inlineStr">
        <is>
          <t>资本金现金流建设期投入=非流动投资−贷款及补助</t>
        </is>
      </c>
      <c r="B8" t="b">
        <v>1</v>
      </c>
      <c r="C8" t="inlineStr">
        <is>
          <t>建设期股东净投入 12,417.35 vs 建设投资+建设期利息−贷款−补助 12,417.35 万元</t>
        </is>
      </c>
      <c r="D8" t="b">
        <v>0</v>
      </c>
    </row>
    <row r="9">
      <c r="A9" t="inlineStr">
        <is>
          <t>折旧表原值×(1−残值率)/年限=折旧额</t>
        </is>
      </c>
      <c r="B9" t="b">
        <v>1</v>
      </c>
      <c r="C9" t="inlineStr">
        <is>
          <t>逐年复算 24 年（附表6-2 自洽）</t>
        </is>
      </c>
      <c r="D9" t="b">
        <v>0</v>
      </c>
    </row>
    <row r="10">
      <c r="A10" t="inlineStr">
        <is>
          <t>投资构成分项合计=总投资</t>
        </is>
      </c>
      <c r="B10" t="b">
        <v>1</v>
      </c>
      <c r="C10" t="inlineStr">
        <is>
          <t>建设投资+利息+流资 42,266.75 vs 总投资 42,642.00 万元（scope=clear; other/reserve 不重复计入）</t>
        </is>
      </c>
      <c r="D10" t="b">
        <v>0</v>
      </c>
    </row>
    <row r="11">
      <c r="A11" t="inlineStr">
        <is>
          <t>附表7利润表总成本=附表6总成本(含息)</t>
        </is>
      </c>
      <c r="B11" t="b">
        <v>1</v>
      </c>
      <c r="C11" t="inlineStr">
        <is>
          <t>逐年校验 24 年(利润表已计运营期利息)</t>
        </is>
      </c>
      <c r="D11" t="b">
        <v>0</v>
      </c>
    </row>
    <row r="12">
      <c r="A12" t="inlineStr">
        <is>
          <t>财务计划现金流三活动合计=当期净现金流</t>
        </is>
      </c>
      <c r="B12" t="b">
        <v>1</v>
      </c>
      <c r="C12" t="inlineStr">
        <is>
          <t>逐年校验 25 期(投资/融资/经营三活动自洽)</t>
        </is>
      </c>
      <c r="D12" t="b">
        <v>0</v>
      </c>
    </row>
    <row r="13">
      <c r="A13" t="inlineStr">
        <is>
          <t>附表9组成合计=净现金流</t>
        </is>
      </c>
      <c r="B13" t="b">
        <v>1</v>
      </c>
      <c r="C13" t="inlineStr">
        <is>
          <t>逐年复核 25 期(营收−成本−税−调整所得税−建设投资−流资+回收)</t>
        </is>
      </c>
      <c r="D13" t="b">
        <v>0</v>
      </c>
    </row>
    <row r="14">
      <c r="A14" t="inlineStr">
        <is>
          <t>附表5税金及附加=附表9税金及附加</t>
        </is>
      </c>
      <c r="B14" t="b">
        <v>1</v>
      </c>
      <c r="C14" t="inlineStr">
        <is>
          <t>运营期逐年比对 24 年；首年 附表5=47.77 vs 附表9=47.77 万元</t>
        </is>
      </c>
      <c r="D14" t="b">
        <v>1</v>
      </c>
    </row>
    <row r="15">
      <c r="A15" t="inlineStr">
        <is>
          <t>indicators附加税=附表5税金及附加</t>
        </is>
      </c>
      <c r="B15" t="b">
        <v>1</v>
      </c>
      <c r="C15" t="inlineStr">
        <is>
          <t>indicators=47.77 vs 附表5达产年(第24运营年,营收=4,195.80)=47.77 万元</t>
        </is>
      </c>
      <c r="D15" t="b">
        <v>1</v>
      </c>
    </row>
    <row r="16">
      <c r="A16" t="inlineStr">
        <is>
          <t>附表10资本金投入合计=筹措资本金</t>
        </is>
      </c>
      <c r="B16" t="b">
        <v>0</v>
      </c>
      <c r="C16" t="inlineStr">
        <is>
          <t>sum(capital_invest)=12,417.35 vs funding.capital=12,792.60 万元</t>
        </is>
      </c>
      <c r="D16" t="b">
        <v>1</v>
      </c>
    </row>
    <row r="17">
      <c r="A17" t="inlineStr">
        <is>
          <t>附表2建设期利息含期初利率期末</t>
        </is>
      </c>
      <c r="B17" t="b">
        <v>1</v>
      </c>
      <c r="C17" t="inlineStr">
        <is>
          <t>begin=True rate=True end=True rows=1</t>
        </is>
      </c>
      <c r="D17" t="b">
        <v>1</v>
      </c>
    </row>
    <row r="18">
      <c r="A18" t="inlineStr">
        <is>
          <t>投资明细三段合计=建设投资</t>
        </is>
      </c>
      <c r="B18" t="b">
        <v>0</v>
      </c>
      <c r="C18" t="inlineStr">
        <is>
          <t>三段合计 39,719.16(工程38,502.00+其他0.00+预备1,217.16) vs 建设投资 41,789.16 万元</t>
        </is>
      </c>
      <c r="D18" t="b">
        <v>0</v>
      </c>
    </row>
    <row r="19">
      <c r="A19" t="inlineStr">
        <is>
          <t>投资口径无歧义</t>
        </is>
      </c>
      <c r="B19" t="b">
        <v>1</v>
      </c>
      <c r="C19" t="inlineStr">
        <is>
          <t>投资分项未超总投资，缺项按倒算推定，口径可接受</t>
        </is>
      </c>
      <c r="D19" t="b">
        <v>0</v>
      </c>
    </row>
    <row r="20">
      <c r="A20" t="inlineStr">
        <is>
          <t>统一时间轴期间数=计算期</t>
        </is>
      </c>
      <c r="B20" t="b">
        <v>1</v>
      </c>
      <c r="C20" t="inlineStr">
        <is>
          <t>timeline.calc_years=25 params=25</t>
        </is>
      </c>
      <c r="D20" t="b">
        <v>0</v>
      </c>
    </row>
    <row r="21">
      <c r="A21" t="inlineStr">
        <is>
          <t>流动资金分项为业务周转驱动</t>
        </is>
      </c>
      <c r="B21" t="b">
        <v>0</v>
      </c>
      <c r="C21" t="inlineStr">
        <is>
          <t>当前为汇总反解分项（ratio_backsolve），不得标分项法完成</t>
        </is>
      </c>
      <c r="D21" t="b">
        <v>0</v>
      </c>
    </row>
    <row r="22">
      <c r="A22" t="inlineStr">
        <is>
          <t>财务计划无资金缺口年</t>
        </is>
      </c>
      <c r="B22" t="b">
        <v>1</v>
      </c>
      <c r="C22" t="inlineStr">
        <is>
          <t>缺口年数 0/25</t>
        </is>
      </c>
      <c r="D22" t="b">
        <v>0</v>
      </c>
    </row>
    <row r="23">
      <c r="A23" t="inlineStr">
        <is>
          <t>利息备付率ICR&gt;=1</t>
        </is>
      </c>
      <c r="B23" t="b">
        <v>0</v>
      </c>
      <c r="C23" t="inlineStr">
        <is>
          <t>ICR&lt;1 年数 5</t>
        </is>
      </c>
      <c r="D23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</t>
        </is>
      </c>
      <c r="B1" t="inlineStr">
        <is>
          <t>source</t>
        </is>
      </c>
      <c r="C1" t="inlineStr">
        <is>
          <t>method</t>
        </is>
      </c>
    </row>
    <row r="2">
      <c r="A2" t="inlineStr">
        <is>
          <t>附表1!A4</t>
        </is>
      </c>
      <c r="B2" t="inlineStr">
        <is>
          <t>investment.breakdown_detail.no</t>
        </is>
      </c>
      <c r="C2" t="inlineStr">
        <is>
          <t>engine_value</t>
        </is>
      </c>
    </row>
    <row r="3">
      <c r="A3" t="inlineStr">
        <is>
          <t>附表1!B4</t>
        </is>
      </c>
      <c r="B3" t="inlineStr">
        <is>
          <t>investment.breakdown_detail.name</t>
        </is>
      </c>
      <c r="C3" t="inlineStr">
        <is>
          <t>engine_value</t>
        </is>
      </c>
    </row>
    <row r="4">
      <c r="A4" t="inlineStr">
        <is>
          <t>附表1!C4</t>
        </is>
      </c>
      <c r="B4" t="inlineStr">
        <is>
          <t>investment.breakdown_detail.unit</t>
        </is>
      </c>
      <c r="C4" t="inlineStr">
        <is>
          <t>engine_value</t>
        </is>
      </c>
    </row>
    <row r="5">
      <c r="A5" t="inlineStr">
        <is>
          <t>附表1!D4</t>
        </is>
      </c>
      <c r="B5" t="inlineStr">
        <is>
          <t>investment.breakdown_detail.quantity</t>
        </is>
      </c>
      <c r="C5" t="inlineStr">
        <is>
          <t>engine_value</t>
        </is>
      </c>
    </row>
    <row r="6">
      <c r="A6" t="inlineStr">
        <is>
          <t>附表1!E4</t>
        </is>
      </c>
      <c r="B6" t="inlineStr">
        <is>
          <t>investment.breakdown_detail.indicator</t>
        </is>
      </c>
      <c r="C6" t="inlineStr">
        <is>
          <t>engine_value</t>
        </is>
      </c>
    </row>
    <row r="7">
      <c r="A7" t="inlineStr">
        <is>
          <t>附表1!F4</t>
        </is>
      </c>
      <c r="B7" t="inlineStr">
        <is>
          <t>investment.breakdown_detail.civil</t>
        </is>
      </c>
      <c r="C7" t="inlineStr">
        <is>
          <t>engine_value</t>
        </is>
      </c>
    </row>
    <row r="8">
      <c r="A8" t="inlineStr">
        <is>
          <t>附表1!G4</t>
        </is>
      </c>
      <c r="B8" t="inlineStr">
        <is>
          <t>investment.breakdown_detail.equipment</t>
        </is>
      </c>
      <c r="C8" t="inlineStr">
        <is>
          <t>engine_value</t>
        </is>
      </c>
    </row>
    <row r="9">
      <c r="A9" t="inlineStr">
        <is>
          <t>附表1!H4</t>
        </is>
      </c>
      <c r="B9" t="inlineStr">
        <is>
          <t>investment.breakdown_detail.installation</t>
        </is>
      </c>
      <c r="C9" t="inlineStr">
        <is>
          <t>engine_value</t>
        </is>
      </c>
    </row>
    <row r="10">
      <c r="A10" t="inlineStr">
        <is>
          <t>附表1!I4</t>
        </is>
      </c>
      <c r="B10" t="inlineStr">
        <is>
          <t>investment.breakdown_detail.other</t>
        </is>
      </c>
      <c r="C10" t="inlineStr">
        <is>
          <t>engine_value</t>
        </is>
      </c>
    </row>
    <row r="11">
      <c r="A11" t="inlineStr">
        <is>
          <t>附表1!J4</t>
        </is>
      </c>
      <c r="B11" t="inlineStr">
        <is>
          <t>investment.breakdown_detail.total</t>
        </is>
      </c>
      <c r="C11" t="inlineStr">
        <is>
          <t>engine_value</t>
        </is>
      </c>
    </row>
    <row r="12">
      <c r="A12" t="inlineStr">
        <is>
          <t>附表1!K4</t>
        </is>
      </c>
      <c r="B12" t="inlineStr">
        <is>
          <t>investment.breakdown_detail.pct</t>
        </is>
      </c>
      <c r="C12" t="inlineStr">
        <is>
          <t>engine_value</t>
        </is>
      </c>
    </row>
    <row r="13">
      <c r="A13" t="inlineStr">
        <is>
          <t>附表1!A5</t>
        </is>
      </c>
      <c r="B13" t="inlineStr">
        <is>
          <t>investment.breakdown_detail.no</t>
        </is>
      </c>
      <c r="C13" t="inlineStr">
        <is>
          <t>engine_value</t>
        </is>
      </c>
    </row>
    <row r="14">
      <c r="A14" t="inlineStr">
        <is>
          <t>附表1!B5</t>
        </is>
      </c>
      <c r="B14" t="inlineStr">
        <is>
          <t>investment.breakdown_detail.name</t>
        </is>
      </c>
      <c r="C14" t="inlineStr">
        <is>
          <t>engine_value</t>
        </is>
      </c>
    </row>
    <row r="15">
      <c r="A15" t="inlineStr">
        <is>
          <t>附表1!C5</t>
        </is>
      </c>
      <c r="B15" t="inlineStr">
        <is>
          <t>investment.breakdown_detail.unit</t>
        </is>
      </c>
      <c r="C15" t="inlineStr">
        <is>
          <t>engine_value</t>
        </is>
      </c>
    </row>
    <row r="16">
      <c r="A16" t="inlineStr">
        <is>
          <t>附表1!D5</t>
        </is>
      </c>
      <c r="B16" t="inlineStr">
        <is>
          <t>investment.breakdown_detail.quantity</t>
        </is>
      </c>
      <c r="C16" t="inlineStr">
        <is>
          <t>engine_value</t>
        </is>
      </c>
    </row>
    <row r="17">
      <c r="A17" t="inlineStr">
        <is>
          <t>附表1!E5</t>
        </is>
      </c>
      <c r="B17" t="inlineStr">
        <is>
          <t>investment.breakdown_detail.indicator</t>
        </is>
      </c>
      <c r="C17" t="inlineStr">
        <is>
          <t>engine_value</t>
        </is>
      </c>
    </row>
    <row r="18">
      <c r="A18" t="inlineStr">
        <is>
          <t>附表1!F5</t>
        </is>
      </c>
      <c r="B18" t="inlineStr">
        <is>
          <t>investment.breakdown_detail.civil</t>
        </is>
      </c>
      <c r="C18" t="inlineStr">
        <is>
          <t>engine_value</t>
        </is>
      </c>
    </row>
    <row r="19">
      <c r="A19" t="inlineStr">
        <is>
          <t>附表1!G5</t>
        </is>
      </c>
      <c r="B19" t="inlineStr">
        <is>
          <t>investment.breakdown_detail.equipment</t>
        </is>
      </c>
      <c r="C19" t="inlineStr">
        <is>
          <t>engine_value</t>
        </is>
      </c>
    </row>
    <row r="20">
      <c r="A20" t="inlineStr">
        <is>
          <t>附表1!H5</t>
        </is>
      </c>
      <c r="B20" t="inlineStr">
        <is>
          <t>investment.breakdown_detail.installation</t>
        </is>
      </c>
      <c r="C20" t="inlineStr">
        <is>
          <t>engine_value</t>
        </is>
      </c>
    </row>
    <row r="21">
      <c r="A21" t="inlineStr">
        <is>
          <t>附表1!I5</t>
        </is>
      </c>
      <c r="B21" t="inlineStr">
        <is>
          <t>investment.breakdown_detail.other</t>
        </is>
      </c>
      <c r="C21" t="inlineStr">
        <is>
          <t>engine_value</t>
        </is>
      </c>
    </row>
    <row r="22">
      <c r="A22" t="inlineStr">
        <is>
          <t>附表1!J5</t>
        </is>
      </c>
      <c r="B22" t="inlineStr">
        <is>
          <t>investment.breakdown_detail.total</t>
        </is>
      </c>
      <c r="C22" t="inlineStr">
        <is>
          <t>engine_value</t>
        </is>
      </c>
    </row>
    <row r="23">
      <c r="A23" t="inlineStr">
        <is>
          <t>附表1!K5</t>
        </is>
      </c>
      <c r="B23" t="inlineStr">
        <is>
          <t>investment.breakdown_detail.pct</t>
        </is>
      </c>
      <c r="C23" t="inlineStr">
        <is>
          <t>engine_value</t>
        </is>
      </c>
    </row>
    <row r="24">
      <c r="A24" t="inlineStr">
        <is>
          <t>附表1!A6</t>
        </is>
      </c>
      <c r="B24" t="inlineStr">
        <is>
          <t>investment.breakdown_detail.no</t>
        </is>
      </c>
      <c r="C24" t="inlineStr">
        <is>
          <t>engine_value</t>
        </is>
      </c>
    </row>
    <row r="25">
      <c r="A25" t="inlineStr">
        <is>
          <t>附表1!B6</t>
        </is>
      </c>
      <c r="B25" t="inlineStr">
        <is>
          <t>investment.breakdown_detail.name</t>
        </is>
      </c>
      <c r="C25" t="inlineStr">
        <is>
          <t>engine_value</t>
        </is>
      </c>
    </row>
    <row r="26">
      <c r="A26" t="inlineStr">
        <is>
          <t>附表1!C6</t>
        </is>
      </c>
      <c r="B26" t="inlineStr">
        <is>
          <t>investment.breakdown_detail.unit</t>
        </is>
      </c>
      <c r="C26" t="inlineStr">
        <is>
          <t>engine_value</t>
        </is>
      </c>
    </row>
    <row r="27">
      <c r="A27" t="inlineStr">
        <is>
          <t>附表1!D6</t>
        </is>
      </c>
      <c r="B27" t="inlineStr">
        <is>
          <t>investment.breakdown_detail.quantity</t>
        </is>
      </c>
      <c r="C27" t="inlineStr">
        <is>
          <t>engine_value</t>
        </is>
      </c>
    </row>
    <row r="28">
      <c r="A28" t="inlineStr">
        <is>
          <t>附表1!E6</t>
        </is>
      </c>
      <c r="B28" t="inlineStr">
        <is>
          <t>investment.breakdown_detail.indicator</t>
        </is>
      </c>
      <c r="C28" t="inlineStr">
        <is>
          <t>engine_value</t>
        </is>
      </c>
    </row>
    <row r="29">
      <c r="A29" t="inlineStr">
        <is>
          <t>附表1!F6</t>
        </is>
      </c>
      <c r="B29" t="inlineStr">
        <is>
          <t>investment.breakdown_detail.civil</t>
        </is>
      </c>
      <c r="C29" t="inlineStr">
        <is>
          <t>engine_value</t>
        </is>
      </c>
    </row>
    <row r="30">
      <c r="A30" t="inlineStr">
        <is>
          <t>附表1!G6</t>
        </is>
      </c>
      <c r="B30" t="inlineStr">
        <is>
          <t>investment.breakdown_detail.equipment</t>
        </is>
      </c>
      <c r="C30" t="inlineStr">
        <is>
          <t>engine_value</t>
        </is>
      </c>
    </row>
    <row r="31">
      <c r="A31" t="inlineStr">
        <is>
          <t>附表1!H6</t>
        </is>
      </c>
      <c r="B31" t="inlineStr">
        <is>
          <t>investment.breakdown_detail.installation</t>
        </is>
      </c>
      <c r="C31" t="inlineStr">
        <is>
          <t>engine_value</t>
        </is>
      </c>
    </row>
    <row r="32">
      <c r="A32" t="inlineStr">
        <is>
          <t>附表1!I6</t>
        </is>
      </c>
      <c r="B32" t="inlineStr">
        <is>
          <t>investment.breakdown_detail.other</t>
        </is>
      </c>
      <c r="C32" t="inlineStr">
        <is>
          <t>engine_value</t>
        </is>
      </c>
    </row>
    <row r="33">
      <c r="A33" t="inlineStr">
        <is>
          <t>附表1!J6</t>
        </is>
      </c>
      <c r="B33" t="inlineStr">
        <is>
          <t>investment.breakdown_detail.total</t>
        </is>
      </c>
      <c r="C33" t="inlineStr">
        <is>
          <t>engine_value</t>
        </is>
      </c>
    </row>
    <row r="34">
      <c r="A34" t="inlineStr">
        <is>
          <t>附表1!K6</t>
        </is>
      </c>
      <c r="B34" t="inlineStr">
        <is>
          <t>investment.breakdown_detail.pct</t>
        </is>
      </c>
      <c r="C34" t="inlineStr">
        <is>
          <t>engine_value</t>
        </is>
      </c>
    </row>
    <row r="35">
      <c r="A35" t="inlineStr">
        <is>
          <t>附表1!A7</t>
        </is>
      </c>
      <c r="B35" t="inlineStr">
        <is>
          <t>investment.breakdown_detail.no</t>
        </is>
      </c>
      <c r="C35" t="inlineStr">
        <is>
          <t>engine_value</t>
        </is>
      </c>
    </row>
    <row r="36">
      <c r="A36" t="inlineStr">
        <is>
          <t>附表1!B7</t>
        </is>
      </c>
      <c r="B36" t="inlineStr">
        <is>
          <t>investment.breakdown_detail.name</t>
        </is>
      </c>
      <c r="C36" t="inlineStr">
        <is>
          <t>engine_value</t>
        </is>
      </c>
    </row>
    <row r="37">
      <c r="A37" t="inlineStr">
        <is>
          <t>附表1!C7</t>
        </is>
      </c>
      <c r="B37" t="inlineStr">
        <is>
          <t>investment.breakdown_detail.unit</t>
        </is>
      </c>
      <c r="C37" t="inlineStr">
        <is>
          <t>engine_value</t>
        </is>
      </c>
    </row>
    <row r="38">
      <c r="A38" t="inlineStr">
        <is>
          <t>附表1!D7</t>
        </is>
      </c>
      <c r="B38" t="inlineStr">
        <is>
          <t>investment.breakdown_detail.quantity</t>
        </is>
      </c>
      <c r="C38" t="inlineStr">
        <is>
          <t>engine_value</t>
        </is>
      </c>
    </row>
    <row r="39">
      <c r="A39" t="inlineStr">
        <is>
          <t>附表1!E7</t>
        </is>
      </c>
      <c r="B39" t="inlineStr">
        <is>
          <t>investment.breakdown_detail.indicator</t>
        </is>
      </c>
      <c r="C39" t="inlineStr">
        <is>
          <t>engine_value</t>
        </is>
      </c>
    </row>
    <row r="40">
      <c r="A40" t="inlineStr">
        <is>
          <t>附表1!F7</t>
        </is>
      </c>
      <c r="B40" t="inlineStr">
        <is>
          <t>investment.breakdown_detail.civil</t>
        </is>
      </c>
      <c r="C40" t="inlineStr">
        <is>
          <t>engine_value</t>
        </is>
      </c>
    </row>
    <row r="41">
      <c r="A41" t="inlineStr">
        <is>
          <t>附表1!G7</t>
        </is>
      </c>
      <c r="B41" t="inlineStr">
        <is>
          <t>investment.breakdown_detail.equipment</t>
        </is>
      </c>
      <c r="C41" t="inlineStr">
        <is>
          <t>engine_value</t>
        </is>
      </c>
    </row>
    <row r="42">
      <c r="A42" t="inlineStr">
        <is>
          <t>附表1!H7</t>
        </is>
      </c>
      <c r="B42" t="inlineStr">
        <is>
          <t>investment.breakdown_detail.installation</t>
        </is>
      </c>
      <c r="C42" t="inlineStr">
        <is>
          <t>engine_value</t>
        </is>
      </c>
    </row>
    <row r="43">
      <c r="A43" t="inlineStr">
        <is>
          <t>附表1!I7</t>
        </is>
      </c>
      <c r="B43" t="inlineStr">
        <is>
          <t>investment.breakdown_detail.other</t>
        </is>
      </c>
      <c r="C43" t="inlineStr">
        <is>
          <t>engine_value</t>
        </is>
      </c>
    </row>
    <row r="44">
      <c r="A44" t="inlineStr">
        <is>
          <t>附表1!J7</t>
        </is>
      </c>
      <c r="B44" t="inlineStr">
        <is>
          <t>investment.breakdown_detail.total</t>
        </is>
      </c>
      <c r="C44" t="inlineStr">
        <is>
          <t>engine_value</t>
        </is>
      </c>
    </row>
    <row r="45">
      <c r="A45" t="inlineStr">
        <is>
          <t>附表1!K7</t>
        </is>
      </c>
      <c r="B45" t="inlineStr">
        <is>
          <t>investment.breakdown_detail.pct</t>
        </is>
      </c>
      <c r="C45" t="inlineStr">
        <is>
          <t>engine_value</t>
        </is>
      </c>
    </row>
    <row r="46">
      <c r="A46" t="inlineStr">
        <is>
          <t>附表1!A8</t>
        </is>
      </c>
      <c r="B46" t="inlineStr">
        <is>
          <t>investment.breakdown_detail.no</t>
        </is>
      </c>
      <c r="C46" t="inlineStr">
        <is>
          <t>engine_value</t>
        </is>
      </c>
    </row>
    <row r="47">
      <c r="A47" t="inlineStr">
        <is>
          <t>附表1!B8</t>
        </is>
      </c>
      <c r="B47" t="inlineStr">
        <is>
          <t>investment.breakdown_detail.name</t>
        </is>
      </c>
      <c r="C47" t="inlineStr">
        <is>
          <t>engine_value</t>
        </is>
      </c>
    </row>
    <row r="48">
      <c r="A48" t="inlineStr">
        <is>
          <t>附表1!C8</t>
        </is>
      </c>
      <c r="B48" t="inlineStr">
        <is>
          <t>investment.breakdown_detail.unit</t>
        </is>
      </c>
      <c r="C48" t="inlineStr">
        <is>
          <t>engine_value</t>
        </is>
      </c>
    </row>
    <row r="49">
      <c r="A49" t="inlineStr">
        <is>
          <t>附表1!D8</t>
        </is>
      </c>
      <c r="B49" t="inlineStr">
        <is>
          <t>investment.breakdown_detail.quantity</t>
        </is>
      </c>
      <c r="C49" t="inlineStr">
        <is>
          <t>engine_value</t>
        </is>
      </c>
    </row>
    <row r="50">
      <c r="A50" t="inlineStr">
        <is>
          <t>附表1!E8</t>
        </is>
      </c>
      <c r="B50" t="inlineStr">
        <is>
          <t>investment.breakdown_detail.indicator</t>
        </is>
      </c>
      <c r="C50" t="inlineStr">
        <is>
          <t>engine_value</t>
        </is>
      </c>
    </row>
    <row r="51">
      <c r="A51" t="inlineStr">
        <is>
          <t>附表1!F8</t>
        </is>
      </c>
      <c r="B51" t="inlineStr">
        <is>
          <t>investment.breakdown_detail.civil</t>
        </is>
      </c>
      <c r="C51" t="inlineStr">
        <is>
          <t>engine_value</t>
        </is>
      </c>
    </row>
    <row r="52">
      <c r="A52" t="inlineStr">
        <is>
          <t>附表1!G8</t>
        </is>
      </c>
      <c r="B52" t="inlineStr">
        <is>
          <t>investment.breakdown_detail.equipment</t>
        </is>
      </c>
      <c r="C52" t="inlineStr">
        <is>
          <t>engine_value</t>
        </is>
      </c>
    </row>
    <row r="53">
      <c r="A53" t="inlineStr">
        <is>
          <t>附表1!H8</t>
        </is>
      </c>
      <c r="B53" t="inlineStr">
        <is>
          <t>investment.breakdown_detail.installation</t>
        </is>
      </c>
      <c r="C53" t="inlineStr">
        <is>
          <t>engine_value</t>
        </is>
      </c>
    </row>
    <row r="54">
      <c r="A54" t="inlineStr">
        <is>
          <t>附表1!I8</t>
        </is>
      </c>
      <c r="B54" t="inlineStr">
        <is>
          <t>investment.breakdown_detail.other</t>
        </is>
      </c>
      <c r="C54" t="inlineStr">
        <is>
          <t>engine_value</t>
        </is>
      </c>
    </row>
    <row r="55">
      <c r="A55" t="inlineStr">
        <is>
          <t>附表1!J8</t>
        </is>
      </c>
      <c r="B55" t="inlineStr">
        <is>
          <t>investment.breakdown_detail.total</t>
        </is>
      </c>
      <c r="C55" t="inlineStr">
        <is>
          <t>engine_value</t>
        </is>
      </c>
    </row>
    <row r="56">
      <c r="A56" t="inlineStr">
        <is>
          <t>附表1!K8</t>
        </is>
      </c>
      <c r="B56" t="inlineStr">
        <is>
          <t>investment.breakdown_detail.pct</t>
        </is>
      </c>
      <c r="C56" t="inlineStr">
        <is>
          <t>engine_value</t>
        </is>
      </c>
    </row>
    <row r="57">
      <c r="A57" t="inlineStr">
        <is>
          <t>附表1!A9</t>
        </is>
      </c>
      <c r="B57" t="inlineStr">
        <is>
          <t>investment.breakdown_detail.no</t>
        </is>
      </c>
      <c r="C57" t="inlineStr">
        <is>
          <t>engine_value</t>
        </is>
      </c>
    </row>
    <row r="58">
      <c r="A58" t="inlineStr">
        <is>
          <t>附表1!B9</t>
        </is>
      </c>
      <c r="B58" t="inlineStr">
        <is>
          <t>investment.breakdown_detail.name</t>
        </is>
      </c>
      <c r="C58" t="inlineStr">
        <is>
          <t>engine_value</t>
        </is>
      </c>
    </row>
    <row r="59">
      <c r="A59" t="inlineStr">
        <is>
          <t>附表1!C9</t>
        </is>
      </c>
      <c r="B59" t="inlineStr">
        <is>
          <t>investment.breakdown_detail.unit</t>
        </is>
      </c>
      <c r="C59" t="inlineStr">
        <is>
          <t>engine_value</t>
        </is>
      </c>
    </row>
    <row r="60">
      <c r="A60" t="inlineStr">
        <is>
          <t>附表1!D9</t>
        </is>
      </c>
      <c r="B60" t="inlineStr">
        <is>
          <t>investment.breakdown_detail.quantity</t>
        </is>
      </c>
      <c r="C60" t="inlineStr">
        <is>
          <t>engine_value</t>
        </is>
      </c>
    </row>
    <row r="61">
      <c r="A61" t="inlineStr">
        <is>
          <t>附表1!E9</t>
        </is>
      </c>
      <c r="B61" t="inlineStr">
        <is>
          <t>investment.breakdown_detail.indicator</t>
        </is>
      </c>
      <c r="C61" t="inlineStr">
        <is>
          <t>engine_value</t>
        </is>
      </c>
    </row>
    <row r="62">
      <c r="A62" t="inlineStr">
        <is>
          <t>附表1!F9</t>
        </is>
      </c>
      <c r="B62" t="inlineStr">
        <is>
          <t>investment.breakdown_detail.civil</t>
        </is>
      </c>
      <c r="C62" t="inlineStr">
        <is>
          <t>engine_value</t>
        </is>
      </c>
    </row>
    <row r="63">
      <c r="A63" t="inlineStr">
        <is>
          <t>附表1!G9</t>
        </is>
      </c>
      <c r="B63" t="inlineStr">
        <is>
          <t>investment.breakdown_detail.equipment</t>
        </is>
      </c>
      <c r="C63" t="inlineStr">
        <is>
          <t>engine_value</t>
        </is>
      </c>
    </row>
    <row r="64">
      <c r="A64" t="inlineStr">
        <is>
          <t>附表1!H9</t>
        </is>
      </c>
      <c r="B64" t="inlineStr">
        <is>
          <t>investment.breakdown_detail.installation</t>
        </is>
      </c>
      <c r="C64" t="inlineStr">
        <is>
          <t>engine_value</t>
        </is>
      </c>
    </row>
    <row r="65">
      <c r="A65" t="inlineStr">
        <is>
          <t>附表1!I9</t>
        </is>
      </c>
      <c r="B65" t="inlineStr">
        <is>
          <t>investment.breakdown_detail.other</t>
        </is>
      </c>
      <c r="C65" t="inlineStr">
        <is>
          <t>engine_value</t>
        </is>
      </c>
    </row>
    <row r="66">
      <c r="A66" t="inlineStr">
        <is>
          <t>附表1!J9</t>
        </is>
      </c>
      <c r="B66" t="inlineStr">
        <is>
          <t>investment.breakdown_detail.total</t>
        </is>
      </c>
      <c r="C66" t="inlineStr">
        <is>
          <t>engine_value</t>
        </is>
      </c>
    </row>
    <row r="67">
      <c r="A67" t="inlineStr">
        <is>
          <t>附表1!K9</t>
        </is>
      </c>
      <c r="B67" t="inlineStr">
        <is>
          <t>investment.breakdown_detail.pct</t>
        </is>
      </c>
      <c r="C67" t="inlineStr">
        <is>
          <t>engine_value</t>
        </is>
      </c>
    </row>
    <row r="68">
      <c r="A68" t="inlineStr">
        <is>
          <t>附表1!A10</t>
        </is>
      </c>
      <c r="B68" t="inlineStr">
        <is>
          <t>investment.breakdown_detail.no</t>
        </is>
      </c>
      <c r="C68" t="inlineStr">
        <is>
          <t>engine_value</t>
        </is>
      </c>
    </row>
    <row r="69">
      <c r="A69" t="inlineStr">
        <is>
          <t>附表1!B10</t>
        </is>
      </c>
      <c r="B69" t="inlineStr">
        <is>
          <t>investment.breakdown_detail.name</t>
        </is>
      </c>
      <c r="C69" t="inlineStr">
        <is>
          <t>engine_value</t>
        </is>
      </c>
    </row>
    <row r="70">
      <c r="A70" t="inlineStr">
        <is>
          <t>附表1!C10</t>
        </is>
      </c>
      <c r="B70" t="inlineStr">
        <is>
          <t>investment.breakdown_detail.unit</t>
        </is>
      </c>
      <c r="C70" t="inlineStr">
        <is>
          <t>engine_value</t>
        </is>
      </c>
    </row>
    <row r="71">
      <c r="A71" t="inlineStr">
        <is>
          <t>附表1!D10</t>
        </is>
      </c>
      <c r="B71" t="inlineStr">
        <is>
          <t>investment.breakdown_detail.quantity</t>
        </is>
      </c>
      <c r="C71" t="inlineStr">
        <is>
          <t>engine_value</t>
        </is>
      </c>
    </row>
    <row r="72">
      <c r="A72" t="inlineStr">
        <is>
          <t>附表1!E10</t>
        </is>
      </c>
      <c r="B72" t="inlineStr">
        <is>
          <t>investment.breakdown_detail.indicator</t>
        </is>
      </c>
      <c r="C72" t="inlineStr">
        <is>
          <t>engine_value</t>
        </is>
      </c>
    </row>
    <row r="73">
      <c r="A73" t="inlineStr">
        <is>
          <t>附表1!F10</t>
        </is>
      </c>
      <c r="B73" t="inlineStr">
        <is>
          <t>investment.breakdown_detail.civil</t>
        </is>
      </c>
      <c r="C73" t="inlineStr">
        <is>
          <t>engine_value</t>
        </is>
      </c>
    </row>
    <row r="74">
      <c r="A74" t="inlineStr">
        <is>
          <t>附表1!G10</t>
        </is>
      </c>
      <c r="B74" t="inlineStr">
        <is>
          <t>investment.breakdown_detail.equipment</t>
        </is>
      </c>
      <c r="C74" t="inlineStr">
        <is>
          <t>engine_value</t>
        </is>
      </c>
    </row>
    <row r="75">
      <c r="A75" t="inlineStr">
        <is>
          <t>附表1!H10</t>
        </is>
      </c>
      <c r="B75" t="inlineStr">
        <is>
          <t>investment.breakdown_detail.installation</t>
        </is>
      </c>
      <c r="C75" t="inlineStr">
        <is>
          <t>engine_value</t>
        </is>
      </c>
    </row>
    <row r="76">
      <c r="A76" t="inlineStr">
        <is>
          <t>附表1!I10</t>
        </is>
      </c>
      <c r="B76" t="inlineStr">
        <is>
          <t>investment.breakdown_detail.other</t>
        </is>
      </c>
      <c r="C76" t="inlineStr">
        <is>
          <t>engine_value</t>
        </is>
      </c>
    </row>
    <row r="77">
      <c r="A77" t="inlineStr">
        <is>
          <t>附表1!J10</t>
        </is>
      </c>
      <c r="B77" t="inlineStr">
        <is>
          <t>investment.breakdown_detail.total</t>
        </is>
      </c>
      <c r="C77" t="inlineStr">
        <is>
          <t>engine_value</t>
        </is>
      </c>
    </row>
    <row r="78">
      <c r="A78" t="inlineStr">
        <is>
          <t>附表1!K10</t>
        </is>
      </c>
      <c r="B78" t="inlineStr">
        <is>
          <t>investment.breakdown_detail.pct</t>
        </is>
      </c>
      <c r="C78" t="inlineStr">
        <is>
          <t>engine_value</t>
        </is>
      </c>
    </row>
    <row r="79">
      <c r="A79" t="inlineStr">
        <is>
          <t>附表1!A11</t>
        </is>
      </c>
      <c r="B79" t="inlineStr">
        <is>
          <t>investment.breakdown_detail.no</t>
        </is>
      </c>
      <c r="C79" t="inlineStr">
        <is>
          <t>engine_value</t>
        </is>
      </c>
    </row>
    <row r="80">
      <c r="A80" t="inlineStr">
        <is>
          <t>附表1!B11</t>
        </is>
      </c>
      <c r="B80" t="inlineStr">
        <is>
          <t>investment.breakdown_detail.name</t>
        </is>
      </c>
      <c r="C80" t="inlineStr">
        <is>
          <t>engine_value</t>
        </is>
      </c>
    </row>
    <row r="81">
      <c r="A81" t="inlineStr">
        <is>
          <t>附表1!C11</t>
        </is>
      </c>
      <c r="B81" t="inlineStr">
        <is>
          <t>investment.breakdown_detail.unit</t>
        </is>
      </c>
      <c r="C81" t="inlineStr">
        <is>
          <t>engine_value</t>
        </is>
      </c>
    </row>
    <row r="82">
      <c r="A82" t="inlineStr">
        <is>
          <t>附表1!D11</t>
        </is>
      </c>
      <c r="B82" t="inlineStr">
        <is>
          <t>investment.breakdown_detail.quantity</t>
        </is>
      </c>
      <c r="C82" t="inlineStr">
        <is>
          <t>engine_value</t>
        </is>
      </c>
    </row>
    <row r="83">
      <c r="A83" t="inlineStr">
        <is>
          <t>附表1!E11</t>
        </is>
      </c>
      <c r="B83" t="inlineStr">
        <is>
          <t>investment.breakdown_detail.indicator</t>
        </is>
      </c>
      <c r="C83" t="inlineStr">
        <is>
          <t>engine_value</t>
        </is>
      </c>
    </row>
    <row r="84">
      <c r="A84" t="inlineStr">
        <is>
          <t>附表1!F11</t>
        </is>
      </c>
      <c r="B84" t="inlineStr">
        <is>
          <t>investment.breakdown_detail.civil</t>
        </is>
      </c>
      <c r="C84" t="inlineStr">
        <is>
          <t>engine_value</t>
        </is>
      </c>
    </row>
    <row r="85">
      <c r="A85" t="inlineStr">
        <is>
          <t>附表1!G11</t>
        </is>
      </c>
      <c r="B85" t="inlineStr">
        <is>
          <t>investment.breakdown_detail.equipment</t>
        </is>
      </c>
      <c r="C85" t="inlineStr">
        <is>
          <t>engine_value</t>
        </is>
      </c>
    </row>
    <row r="86">
      <c r="A86" t="inlineStr">
        <is>
          <t>附表1!H11</t>
        </is>
      </c>
      <c r="B86" t="inlineStr">
        <is>
          <t>investment.breakdown_detail.installation</t>
        </is>
      </c>
      <c r="C86" t="inlineStr">
        <is>
          <t>engine_value</t>
        </is>
      </c>
    </row>
    <row r="87">
      <c r="A87" t="inlineStr">
        <is>
          <t>附表1!I11</t>
        </is>
      </c>
      <c r="B87" t="inlineStr">
        <is>
          <t>investment.breakdown_detail.other</t>
        </is>
      </c>
      <c r="C87" t="inlineStr">
        <is>
          <t>engine_value</t>
        </is>
      </c>
    </row>
    <row r="88">
      <c r="A88" t="inlineStr">
        <is>
          <t>附表1!J11</t>
        </is>
      </c>
      <c r="B88" t="inlineStr">
        <is>
          <t>investment.breakdown_detail.total</t>
        </is>
      </c>
      <c r="C88" t="inlineStr">
        <is>
          <t>engine_value</t>
        </is>
      </c>
    </row>
    <row r="89">
      <c r="A89" t="inlineStr">
        <is>
          <t>附表1!K11</t>
        </is>
      </c>
      <c r="B89" t="inlineStr">
        <is>
          <t>investment.breakdown_detail.pct</t>
        </is>
      </c>
      <c r="C89" t="inlineStr">
        <is>
          <t>engine_value</t>
        </is>
      </c>
    </row>
    <row r="90">
      <c r="A90" t="inlineStr">
        <is>
          <t>附表1!A12</t>
        </is>
      </c>
      <c r="B90" t="inlineStr">
        <is>
          <t>investment.breakdown_detail.no</t>
        </is>
      </c>
      <c r="C90" t="inlineStr">
        <is>
          <t>engine_value</t>
        </is>
      </c>
    </row>
    <row r="91">
      <c r="A91" t="inlineStr">
        <is>
          <t>附表1!B12</t>
        </is>
      </c>
      <c r="B91" t="inlineStr">
        <is>
          <t>investment.breakdown_detail.name</t>
        </is>
      </c>
      <c r="C91" t="inlineStr">
        <is>
          <t>engine_value</t>
        </is>
      </c>
    </row>
    <row r="92">
      <c r="A92" t="inlineStr">
        <is>
          <t>附表1!C12</t>
        </is>
      </c>
      <c r="B92" t="inlineStr">
        <is>
          <t>investment.breakdown_detail.unit</t>
        </is>
      </c>
      <c r="C92" t="inlineStr">
        <is>
          <t>engine_value</t>
        </is>
      </c>
    </row>
    <row r="93">
      <c r="A93" t="inlineStr">
        <is>
          <t>附表1!D12</t>
        </is>
      </c>
      <c r="B93" t="inlineStr">
        <is>
          <t>investment.breakdown_detail.quantity</t>
        </is>
      </c>
      <c r="C93" t="inlineStr">
        <is>
          <t>engine_value</t>
        </is>
      </c>
    </row>
    <row r="94">
      <c r="A94" t="inlineStr">
        <is>
          <t>附表1!E12</t>
        </is>
      </c>
      <c r="B94" t="inlineStr">
        <is>
          <t>investment.breakdown_detail.indicator</t>
        </is>
      </c>
      <c r="C94" t="inlineStr">
        <is>
          <t>engine_value</t>
        </is>
      </c>
    </row>
    <row r="95">
      <c r="A95" t="inlineStr">
        <is>
          <t>附表1!F12</t>
        </is>
      </c>
      <c r="B95" t="inlineStr">
        <is>
          <t>investment.breakdown_detail.civil</t>
        </is>
      </c>
      <c r="C95" t="inlineStr">
        <is>
          <t>engine_value</t>
        </is>
      </c>
    </row>
    <row r="96">
      <c r="A96" t="inlineStr">
        <is>
          <t>附表1!G12</t>
        </is>
      </c>
      <c r="B96" t="inlineStr">
        <is>
          <t>investment.breakdown_detail.equipment</t>
        </is>
      </c>
      <c r="C96" t="inlineStr">
        <is>
          <t>engine_value</t>
        </is>
      </c>
    </row>
    <row r="97">
      <c r="A97" t="inlineStr">
        <is>
          <t>附表1!H12</t>
        </is>
      </c>
      <c r="B97" t="inlineStr">
        <is>
          <t>investment.breakdown_detail.installation</t>
        </is>
      </c>
      <c r="C97" t="inlineStr">
        <is>
          <t>engine_value</t>
        </is>
      </c>
    </row>
    <row r="98">
      <c r="A98" t="inlineStr">
        <is>
          <t>附表1!I12</t>
        </is>
      </c>
      <c r="B98" t="inlineStr">
        <is>
          <t>investment.breakdown_detail.other</t>
        </is>
      </c>
      <c r="C98" t="inlineStr">
        <is>
          <t>engine_value</t>
        </is>
      </c>
    </row>
    <row r="99">
      <c r="A99" t="inlineStr">
        <is>
          <t>附表1!J12</t>
        </is>
      </c>
      <c r="B99" t="inlineStr">
        <is>
          <t>investment.breakdown_detail.total</t>
        </is>
      </c>
      <c r="C99" t="inlineStr">
        <is>
          <t>engine_value</t>
        </is>
      </c>
    </row>
    <row r="100">
      <c r="A100" t="inlineStr">
        <is>
          <t>附表1!K12</t>
        </is>
      </c>
      <c r="B100" t="inlineStr">
        <is>
          <t>investment.breakdown_detail.pct</t>
        </is>
      </c>
      <c r="C100" t="inlineStr">
        <is>
          <t>engine_value</t>
        </is>
      </c>
    </row>
    <row r="101">
      <c r="A101" t="inlineStr">
        <is>
          <t>附表1!A13</t>
        </is>
      </c>
      <c r="B101" t="inlineStr">
        <is>
          <t>investment.breakdown_detail.no</t>
        </is>
      </c>
      <c r="C101" t="inlineStr">
        <is>
          <t>engine_value</t>
        </is>
      </c>
    </row>
    <row r="102">
      <c r="A102" t="inlineStr">
        <is>
          <t>附表1!B13</t>
        </is>
      </c>
      <c r="B102" t="inlineStr">
        <is>
          <t>investment.breakdown_detail.name</t>
        </is>
      </c>
      <c r="C102" t="inlineStr">
        <is>
          <t>engine_value</t>
        </is>
      </c>
    </row>
    <row r="103">
      <c r="A103" t="inlineStr">
        <is>
          <t>附表1!C13</t>
        </is>
      </c>
      <c r="B103" t="inlineStr">
        <is>
          <t>investment.breakdown_detail.unit</t>
        </is>
      </c>
      <c r="C103" t="inlineStr">
        <is>
          <t>engine_value</t>
        </is>
      </c>
    </row>
    <row r="104">
      <c r="A104" t="inlineStr">
        <is>
          <t>附表1!D13</t>
        </is>
      </c>
      <c r="B104" t="inlineStr">
        <is>
          <t>investment.breakdown_detail.quantity</t>
        </is>
      </c>
      <c r="C104" t="inlineStr">
        <is>
          <t>engine_value</t>
        </is>
      </c>
    </row>
    <row r="105">
      <c r="A105" t="inlineStr">
        <is>
          <t>附表1!E13</t>
        </is>
      </c>
      <c r="B105" t="inlineStr">
        <is>
          <t>investment.breakdown_detail.indicator</t>
        </is>
      </c>
      <c r="C105" t="inlineStr">
        <is>
          <t>engine_value</t>
        </is>
      </c>
    </row>
    <row r="106">
      <c r="A106" t="inlineStr">
        <is>
          <t>附表1!F13</t>
        </is>
      </c>
      <c r="B106" t="inlineStr">
        <is>
          <t>investment.breakdown_detail.civil</t>
        </is>
      </c>
      <c r="C106" t="inlineStr">
        <is>
          <t>engine_value</t>
        </is>
      </c>
    </row>
    <row r="107">
      <c r="A107" t="inlineStr">
        <is>
          <t>附表1!G13</t>
        </is>
      </c>
      <c r="B107" t="inlineStr">
        <is>
          <t>investment.breakdown_detail.equipment</t>
        </is>
      </c>
      <c r="C107" t="inlineStr">
        <is>
          <t>engine_value</t>
        </is>
      </c>
    </row>
    <row r="108">
      <c r="A108" t="inlineStr">
        <is>
          <t>附表1!H13</t>
        </is>
      </c>
      <c r="B108" t="inlineStr">
        <is>
          <t>investment.breakdown_detail.installation</t>
        </is>
      </c>
      <c r="C108" t="inlineStr">
        <is>
          <t>engine_value</t>
        </is>
      </c>
    </row>
    <row r="109">
      <c r="A109" t="inlineStr">
        <is>
          <t>附表1!I13</t>
        </is>
      </c>
      <c r="B109" t="inlineStr">
        <is>
          <t>investment.breakdown_detail.other</t>
        </is>
      </c>
      <c r="C109" t="inlineStr">
        <is>
          <t>engine_value</t>
        </is>
      </c>
    </row>
    <row r="110">
      <c r="A110" t="inlineStr">
        <is>
          <t>附表1!J13</t>
        </is>
      </c>
      <c r="B110" t="inlineStr">
        <is>
          <t>investment.breakdown_detail.total</t>
        </is>
      </c>
      <c r="C110" t="inlineStr">
        <is>
          <t>engine_value</t>
        </is>
      </c>
    </row>
    <row r="111">
      <c r="A111" t="inlineStr">
        <is>
          <t>附表1!K13</t>
        </is>
      </c>
      <c r="B111" t="inlineStr">
        <is>
          <t>investment.breakdown_detail.pct</t>
        </is>
      </c>
      <c r="C111" t="inlineStr">
        <is>
          <t>engine_value</t>
        </is>
      </c>
    </row>
    <row r="112">
      <c r="A112" t="inlineStr">
        <is>
          <t>附表1!A14</t>
        </is>
      </c>
      <c r="B112" t="inlineStr">
        <is>
          <t>investment.breakdown_detail.no</t>
        </is>
      </c>
      <c r="C112" t="inlineStr">
        <is>
          <t>engine_value</t>
        </is>
      </c>
    </row>
    <row r="113">
      <c r="A113" t="inlineStr">
        <is>
          <t>附表1!B14</t>
        </is>
      </c>
      <c r="B113" t="inlineStr">
        <is>
          <t>investment.breakdown_detail.name</t>
        </is>
      </c>
      <c r="C113" t="inlineStr">
        <is>
          <t>engine_value</t>
        </is>
      </c>
    </row>
    <row r="114">
      <c r="A114" t="inlineStr">
        <is>
          <t>附表1!C14</t>
        </is>
      </c>
      <c r="B114" t="inlineStr">
        <is>
          <t>investment.breakdown_detail.unit</t>
        </is>
      </c>
      <c r="C114" t="inlineStr">
        <is>
          <t>engine_value</t>
        </is>
      </c>
    </row>
    <row r="115">
      <c r="A115" t="inlineStr">
        <is>
          <t>附表1!D14</t>
        </is>
      </c>
      <c r="B115" t="inlineStr">
        <is>
          <t>investment.breakdown_detail.quantity</t>
        </is>
      </c>
      <c r="C115" t="inlineStr">
        <is>
          <t>engine_value</t>
        </is>
      </c>
    </row>
    <row r="116">
      <c r="A116" t="inlineStr">
        <is>
          <t>附表1!E14</t>
        </is>
      </c>
      <c r="B116" t="inlineStr">
        <is>
          <t>investment.breakdown_detail.indicator</t>
        </is>
      </c>
      <c r="C116" t="inlineStr">
        <is>
          <t>engine_value</t>
        </is>
      </c>
    </row>
    <row r="117">
      <c r="A117" t="inlineStr">
        <is>
          <t>附表1!F14</t>
        </is>
      </c>
      <c r="B117" t="inlineStr">
        <is>
          <t>investment.breakdown_detail.civil</t>
        </is>
      </c>
      <c r="C117" t="inlineStr">
        <is>
          <t>engine_value</t>
        </is>
      </c>
    </row>
    <row r="118">
      <c r="A118" t="inlineStr">
        <is>
          <t>附表1!G14</t>
        </is>
      </c>
      <c r="B118" t="inlineStr">
        <is>
          <t>investment.breakdown_detail.equipment</t>
        </is>
      </c>
      <c r="C118" t="inlineStr">
        <is>
          <t>engine_value</t>
        </is>
      </c>
    </row>
    <row r="119">
      <c r="A119" t="inlineStr">
        <is>
          <t>附表1!H14</t>
        </is>
      </c>
      <c r="B119" t="inlineStr">
        <is>
          <t>investment.breakdown_detail.installation</t>
        </is>
      </c>
      <c r="C119" t="inlineStr">
        <is>
          <t>engine_value</t>
        </is>
      </c>
    </row>
    <row r="120">
      <c r="A120" t="inlineStr">
        <is>
          <t>附表1!I14</t>
        </is>
      </c>
      <c r="B120" t="inlineStr">
        <is>
          <t>investment.breakdown_detail.other</t>
        </is>
      </c>
      <c r="C120" t="inlineStr">
        <is>
          <t>engine_value</t>
        </is>
      </c>
    </row>
    <row r="121">
      <c r="A121" t="inlineStr">
        <is>
          <t>附表1!J14</t>
        </is>
      </c>
      <c r="B121" t="inlineStr">
        <is>
          <t>investment.breakdown_detail.total</t>
        </is>
      </c>
      <c r="C121" t="inlineStr">
        <is>
          <t>engine_value</t>
        </is>
      </c>
    </row>
    <row r="122">
      <c r="A122" t="inlineStr">
        <is>
          <t>附表1!K14</t>
        </is>
      </c>
      <c r="B122" t="inlineStr">
        <is>
          <t>investment.breakdown_detail.pct</t>
        </is>
      </c>
      <c r="C122" t="inlineStr">
        <is>
          <t>engine_value</t>
        </is>
      </c>
    </row>
    <row r="123">
      <c r="A123" t="inlineStr">
        <is>
          <t>附表1!A15</t>
        </is>
      </c>
      <c r="B123" t="inlineStr">
        <is>
          <t>investment.breakdown_detail.no</t>
        </is>
      </c>
      <c r="C123" t="inlineStr">
        <is>
          <t>engine_value</t>
        </is>
      </c>
    </row>
    <row r="124">
      <c r="A124" t="inlineStr">
        <is>
          <t>附表1!B15</t>
        </is>
      </c>
      <c r="B124" t="inlineStr">
        <is>
          <t>investment.breakdown_detail.name</t>
        </is>
      </c>
      <c r="C124" t="inlineStr">
        <is>
          <t>engine_value</t>
        </is>
      </c>
    </row>
    <row r="125">
      <c r="A125" t="inlineStr">
        <is>
          <t>附表1!C15</t>
        </is>
      </c>
      <c r="B125" t="inlineStr">
        <is>
          <t>investment.breakdown_detail.unit</t>
        </is>
      </c>
      <c r="C125" t="inlineStr">
        <is>
          <t>engine_value</t>
        </is>
      </c>
    </row>
    <row r="126">
      <c r="A126" t="inlineStr">
        <is>
          <t>附表1!D15</t>
        </is>
      </c>
      <c r="B126" t="inlineStr">
        <is>
          <t>investment.breakdown_detail.quantity</t>
        </is>
      </c>
      <c r="C126" t="inlineStr">
        <is>
          <t>engine_value</t>
        </is>
      </c>
    </row>
    <row r="127">
      <c r="A127" t="inlineStr">
        <is>
          <t>附表1!E15</t>
        </is>
      </c>
      <c r="B127" t="inlineStr">
        <is>
          <t>investment.breakdown_detail.indicator</t>
        </is>
      </c>
      <c r="C127" t="inlineStr">
        <is>
          <t>engine_value</t>
        </is>
      </c>
    </row>
    <row r="128">
      <c r="A128" t="inlineStr">
        <is>
          <t>附表1!F15</t>
        </is>
      </c>
      <c r="B128" t="inlineStr">
        <is>
          <t>investment.breakdown_detail.civil</t>
        </is>
      </c>
      <c r="C128" t="inlineStr">
        <is>
          <t>engine_value</t>
        </is>
      </c>
    </row>
    <row r="129">
      <c r="A129" t="inlineStr">
        <is>
          <t>附表1!G15</t>
        </is>
      </c>
      <c r="B129" t="inlineStr">
        <is>
          <t>investment.breakdown_detail.equipment</t>
        </is>
      </c>
      <c r="C129" t="inlineStr">
        <is>
          <t>engine_value</t>
        </is>
      </c>
    </row>
    <row r="130">
      <c r="A130" t="inlineStr">
        <is>
          <t>附表1!H15</t>
        </is>
      </c>
      <c r="B130" t="inlineStr">
        <is>
          <t>investment.breakdown_detail.installation</t>
        </is>
      </c>
      <c r="C130" t="inlineStr">
        <is>
          <t>engine_value</t>
        </is>
      </c>
    </row>
    <row r="131">
      <c r="A131" t="inlineStr">
        <is>
          <t>附表1!I15</t>
        </is>
      </c>
      <c r="B131" t="inlineStr">
        <is>
          <t>investment.breakdown_detail.other</t>
        </is>
      </c>
      <c r="C131" t="inlineStr">
        <is>
          <t>engine_value</t>
        </is>
      </c>
    </row>
    <row r="132">
      <c r="A132" t="inlineStr">
        <is>
          <t>附表1!J15</t>
        </is>
      </c>
      <c r="B132" t="inlineStr">
        <is>
          <t>investment.breakdown_detail.total</t>
        </is>
      </c>
      <c r="C132" t="inlineStr">
        <is>
          <t>engine_value</t>
        </is>
      </c>
    </row>
    <row r="133">
      <c r="A133" t="inlineStr">
        <is>
          <t>附表1!K15</t>
        </is>
      </c>
      <c r="B133" t="inlineStr">
        <is>
          <t>investment.breakdown_detail.pct</t>
        </is>
      </c>
      <c r="C133" t="inlineStr">
        <is>
          <t>engine_value</t>
        </is>
      </c>
    </row>
    <row r="134">
      <c r="A134" t="inlineStr">
        <is>
          <t>附表2!A4</t>
        </is>
      </c>
      <c r="B134" t="inlineStr">
        <is>
          <t>annual.interest_during_construction.no</t>
        </is>
      </c>
      <c r="C134" t="inlineStr">
        <is>
          <t>engine_value</t>
        </is>
      </c>
    </row>
    <row r="135">
      <c r="A135" t="inlineStr">
        <is>
          <t>附表2!B4</t>
        </is>
      </c>
      <c r="B135" t="inlineStr">
        <is>
          <t>annual.interest_during_construction.item</t>
        </is>
      </c>
      <c r="C135" t="inlineStr">
        <is>
          <t>engine_value</t>
        </is>
      </c>
    </row>
    <row r="136">
      <c r="A136" t="inlineStr">
        <is>
          <t>附表2!C4</t>
        </is>
      </c>
      <c r="B136" t="inlineStr">
        <is>
          <t>annual.interest_during_construction.total</t>
        </is>
      </c>
      <c r="C136" t="inlineStr">
        <is>
          <t>engine_value</t>
        </is>
      </c>
    </row>
    <row r="137">
      <c r="A137" t="inlineStr">
        <is>
          <t>附表2!D4</t>
        </is>
      </c>
      <c r="B137" t="inlineStr">
        <is>
          <t>annual.interest_during_construction.period_1</t>
        </is>
      </c>
      <c r="C137" t="inlineStr">
        <is>
          <t>engine_value</t>
        </is>
      </c>
    </row>
    <row r="138">
      <c r="A138" t="inlineStr">
        <is>
          <t>附表2!A5</t>
        </is>
      </c>
      <c r="B138" t="inlineStr">
        <is>
          <t>annual.interest_during_construction.no</t>
        </is>
      </c>
      <c r="C138" t="inlineStr">
        <is>
          <t>engine_value</t>
        </is>
      </c>
    </row>
    <row r="139">
      <c r="A139" t="inlineStr">
        <is>
          <t>附表2!B5</t>
        </is>
      </c>
      <c r="B139" t="inlineStr">
        <is>
          <t>annual.interest_during_construction.item</t>
        </is>
      </c>
      <c r="C139" t="inlineStr">
        <is>
          <t>engine_value</t>
        </is>
      </c>
    </row>
    <row r="140">
      <c r="A140" t="inlineStr">
        <is>
          <t>附表2!C5</t>
        </is>
      </c>
      <c r="B140" t="inlineStr">
        <is>
          <t>annual.interest_during_construction.total</t>
        </is>
      </c>
      <c r="C140" t="inlineStr">
        <is>
          <t>engine_value</t>
        </is>
      </c>
    </row>
    <row r="141">
      <c r="A141" t="inlineStr">
        <is>
          <t>附表2!D5</t>
        </is>
      </c>
      <c r="B141" t="inlineStr">
        <is>
          <t>annual.interest_during_construction.period_1</t>
        </is>
      </c>
      <c r="C141" t="inlineStr">
        <is>
          <t>engine_value</t>
        </is>
      </c>
    </row>
    <row r="142">
      <c r="A142" t="inlineStr">
        <is>
          <t>附表2!A6</t>
        </is>
      </c>
      <c r="B142" t="inlineStr">
        <is>
          <t>annual.interest_during_construction.no</t>
        </is>
      </c>
      <c r="C142" t="inlineStr">
        <is>
          <t>engine_value</t>
        </is>
      </c>
    </row>
    <row r="143">
      <c r="A143" t="inlineStr">
        <is>
          <t>附表2!B6</t>
        </is>
      </c>
      <c r="B143" t="inlineStr">
        <is>
          <t>annual.interest_during_construction.item</t>
        </is>
      </c>
      <c r="C143" t="inlineStr">
        <is>
          <t>engine_value</t>
        </is>
      </c>
    </row>
    <row r="144">
      <c r="A144" t="inlineStr">
        <is>
          <t>附表2!C6</t>
        </is>
      </c>
      <c r="B144" t="inlineStr">
        <is>
          <t>annual.interest_during_construction.total</t>
        </is>
      </c>
      <c r="C144" t="inlineStr">
        <is>
          <t>engine_value</t>
        </is>
      </c>
    </row>
    <row r="145">
      <c r="A145" t="inlineStr">
        <is>
          <t>附表2!D6</t>
        </is>
      </c>
      <c r="B145" t="inlineStr">
        <is>
          <t>annual.interest_during_construction.period_1</t>
        </is>
      </c>
      <c r="C145" t="inlineStr">
        <is>
          <t>engine_value</t>
        </is>
      </c>
    </row>
    <row r="146">
      <c r="A146" t="inlineStr">
        <is>
          <t>附表2!A7</t>
        </is>
      </c>
      <c r="B146" t="inlineStr">
        <is>
          <t>annual.interest_during_construction.no</t>
        </is>
      </c>
      <c r="C146" t="inlineStr">
        <is>
          <t>engine_value</t>
        </is>
      </c>
    </row>
    <row r="147">
      <c r="A147" t="inlineStr">
        <is>
          <t>附表2!B7</t>
        </is>
      </c>
      <c r="B147" t="inlineStr">
        <is>
          <t>annual.interest_during_construction.item</t>
        </is>
      </c>
      <c r="C147" t="inlineStr">
        <is>
          <t>engine_value</t>
        </is>
      </c>
    </row>
    <row r="148">
      <c r="A148" t="inlineStr">
        <is>
          <t>附表2!C7</t>
        </is>
      </c>
      <c r="B148" t="inlineStr">
        <is>
          <t>annual.interest_during_construction.total</t>
        </is>
      </c>
      <c r="C148" t="inlineStr">
        <is>
          <t>engine_value</t>
        </is>
      </c>
    </row>
    <row r="149">
      <c r="A149" t="inlineStr">
        <is>
          <t>附表2!D7</t>
        </is>
      </c>
      <c r="B149" t="inlineStr">
        <is>
          <t>annual.interest_during_construction.period_1</t>
        </is>
      </c>
      <c r="C149" t="inlineStr">
        <is>
          <t>engine_value</t>
        </is>
      </c>
    </row>
    <row r="150">
      <c r="A150" t="inlineStr">
        <is>
          <t>附表2!A8</t>
        </is>
      </c>
      <c r="B150" t="inlineStr">
        <is>
          <t>annual.interest_during_construction.no</t>
        </is>
      </c>
      <c r="C150" t="inlineStr">
        <is>
          <t>engine_value</t>
        </is>
      </c>
    </row>
    <row r="151">
      <c r="A151" t="inlineStr">
        <is>
          <t>附表2!B8</t>
        </is>
      </c>
      <c r="B151" t="inlineStr">
        <is>
          <t>annual.interest_during_construction.item</t>
        </is>
      </c>
      <c r="C151" t="inlineStr">
        <is>
          <t>engine_value</t>
        </is>
      </c>
    </row>
    <row r="152">
      <c r="A152" t="inlineStr">
        <is>
          <t>附表2!C8</t>
        </is>
      </c>
      <c r="B152" t="inlineStr">
        <is>
          <t>annual.interest_during_construction.total</t>
        </is>
      </c>
      <c r="C152" t="inlineStr">
        <is>
          <t>engine_value</t>
        </is>
      </c>
    </row>
    <row r="153">
      <c r="A153" t="inlineStr">
        <is>
          <t>附表2!D8</t>
        </is>
      </c>
      <c r="B153" t="inlineStr">
        <is>
          <t>annual.interest_during_construction.period_1</t>
        </is>
      </c>
      <c r="C153" t="inlineStr">
        <is>
          <t>engine_value</t>
        </is>
      </c>
    </row>
    <row r="154">
      <c r="A154" t="inlineStr">
        <is>
          <t>附表2!A9</t>
        </is>
      </c>
      <c r="B154" t="inlineStr">
        <is>
          <t>annual.interest_during_construction.no</t>
        </is>
      </c>
      <c r="C154" t="inlineStr">
        <is>
          <t>engine_value</t>
        </is>
      </c>
    </row>
    <row r="155">
      <c r="A155" t="inlineStr">
        <is>
          <t>附表2!B9</t>
        </is>
      </c>
      <c r="B155" t="inlineStr">
        <is>
          <t>annual.interest_during_construction.item</t>
        </is>
      </c>
      <c r="C155" t="inlineStr">
        <is>
          <t>engine_value</t>
        </is>
      </c>
    </row>
    <row r="156">
      <c r="A156" t="inlineStr">
        <is>
          <t>附表2!C9</t>
        </is>
      </c>
      <c r="B156" t="inlineStr">
        <is>
          <t>annual.interest_during_construction.total</t>
        </is>
      </c>
      <c r="C156" t="inlineStr">
        <is>
          <t>engine_value</t>
        </is>
      </c>
    </row>
    <row r="157">
      <c r="A157" t="inlineStr">
        <is>
          <t>附表2!D9</t>
        </is>
      </c>
      <c r="B157" t="inlineStr">
        <is>
          <t>annual.interest_during_construction.period_1</t>
        </is>
      </c>
      <c r="C157" t="inlineStr">
        <is>
          <t>engine_value</t>
        </is>
      </c>
    </row>
    <row r="158">
      <c r="A158" t="inlineStr">
        <is>
          <t>附表2!A10</t>
        </is>
      </c>
      <c r="B158" t="inlineStr">
        <is>
          <t>annual.interest_during_construction.no</t>
        </is>
      </c>
      <c r="C158" t="inlineStr">
        <is>
          <t>engine_value</t>
        </is>
      </c>
    </row>
    <row r="159">
      <c r="A159" t="inlineStr">
        <is>
          <t>附表2!B10</t>
        </is>
      </c>
      <c r="B159" t="inlineStr">
        <is>
          <t>annual.interest_during_construction.item</t>
        </is>
      </c>
      <c r="C159" t="inlineStr">
        <is>
          <t>engine_value</t>
        </is>
      </c>
    </row>
    <row r="160">
      <c r="A160" t="inlineStr">
        <is>
          <t>附表2!C10</t>
        </is>
      </c>
      <c r="B160" t="inlineStr">
        <is>
          <t>annual.interest_during_construction.total</t>
        </is>
      </c>
      <c r="C160" t="inlineStr">
        <is>
          <t>engine_value</t>
        </is>
      </c>
    </row>
    <row r="161">
      <c r="A161" t="inlineStr">
        <is>
          <t>附表2!D10</t>
        </is>
      </c>
      <c r="B161" t="inlineStr">
        <is>
          <t>annual.interest_during_construction.period_1</t>
        </is>
      </c>
      <c r="C161" t="inlineStr">
        <is>
          <t>engine_value</t>
        </is>
      </c>
    </row>
    <row r="162">
      <c r="A162" t="inlineStr">
        <is>
          <t>附表3!A4</t>
        </is>
      </c>
      <c r="B162" t="inlineStr">
        <is>
          <t>annual.working_capital.item</t>
        </is>
      </c>
      <c r="C162" t="inlineStr">
        <is>
          <t>engine_value</t>
        </is>
      </c>
    </row>
    <row r="163">
      <c r="A163" t="inlineStr">
        <is>
          <t>附表3!B4</t>
        </is>
      </c>
      <c r="B163" t="inlineStr">
        <is>
          <t>annual.working_capital.amount</t>
        </is>
      </c>
      <c r="C163" t="inlineStr">
        <is>
          <t>engine_value</t>
        </is>
      </c>
    </row>
    <row r="164">
      <c r="A164" t="inlineStr">
        <is>
          <t>附表4!A4</t>
        </is>
      </c>
      <c r="B164" t="inlineStr">
        <is>
          <t>investment+funding+annual.project_cashflow.no</t>
        </is>
      </c>
      <c r="C164" t="inlineStr">
        <is>
          <t>engine_value</t>
        </is>
      </c>
    </row>
    <row r="165">
      <c r="A165" t="inlineStr">
        <is>
          <t>附表4!B4</t>
        </is>
      </c>
      <c r="B165" t="inlineStr">
        <is>
          <t>investment+funding+annual.project_cashflow.name</t>
        </is>
      </c>
      <c r="C165" t="inlineStr">
        <is>
          <t>engine_value</t>
        </is>
      </c>
    </row>
    <row r="166">
      <c r="A166" t="inlineStr">
        <is>
          <t>附表4!C4</t>
        </is>
      </c>
      <c r="B166" t="inlineStr">
        <is>
          <t>investment+funding+annual.project_cashflow.year_1</t>
        </is>
      </c>
      <c r="C166" t="inlineStr">
        <is>
          <t>engine_value</t>
        </is>
      </c>
    </row>
    <row r="167">
      <c r="A167" t="inlineStr">
        <is>
          <t>附表4!D4</t>
        </is>
      </c>
      <c r="B167" t="inlineStr">
        <is>
          <t>investment+funding+annual.project_cashflow.amount</t>
        </is>
      </c>
      <c r="C167" t="inlineStr">
        <is>
          <t>engine_value</t>
        </is>
      </c>
    </row>
    <row r="168">
      <c r="A168" t="inlineStr">
        <is>
          <t>附表4!A5</t>
        </is>
      </c>
      <c r="B168" t="inlineStr">
        <is>
          <t>investment+funding+annual.project_cashflow.no</t>
        </is>
      </c>
      <c r="C168" t="inlineStr">
        <is>
          <t>engine_value</t>
        </is>
      </c>
    </row>
    <row r="169">
      <c r="A169" t="inlineStr">
        <is>
          <t>附表4!B5</t>
        </is>
      </c>
      <c r="B169" t="inlineStr">
        <is>
          <t>investment+funding+annual.project_cashflow.name</t>
        </is>
      </c>
      <c r="C169" t="inlineStr">
        <is>
          <t>engine_value</t>
        </is>
      </c>
    </row>
    <row r="170">
      <c r="A170" t="inlineStr">
        <is>
          <t>附表4!C5</t>
        </is>
      </c>
      <c r="B170" t="inlineStr">
        <is>
          <t>investment+funding+annual.project_cashflow.year_1</t>
        </is>
      </c>
      <c r="C170" t="inlineStr">
        <is>
          <t>engine_value</t>
        </is>
      </c>
    </row>
    <row r="171">
      <c r="A171" t="inlineStr">
        <is>
          <t>附表4!D5</t>
        </is>
      </c>
      <c r="B171" t="inlineStr">
        <is>
          <t>investment+funding+annual.project_cashflow.amount</t>
        </is>
      </c>
      <c r="C171" t="inlineStr">
        <is>
          <t>engine_value</t>
        </is>
      </c>
    </row>
    <row r="172">
      <c r="A172" t="inlineStr">
        <is>
          <t>附表4!A6</t>
        </is>
      </c>
      <c r="B172" t="inlineStr">
        <is>
          <t>investment+funding+annual.project_cashflow.no</t>
        </is>
      </c>
      <c r="C172" t="inlineStr">
        <is>
          <t>engine_value</t>
        </is>
      </c>
    </row>
    <row r="173">
      <c r="A173" t="inlineStr">
        <is>
          <t>附表4!B6</t>
        </is>
      </c>
      <c r="B173" t="inlineStr">
        <is>
          <t>investment+funding+annual.project_cashflow.name</t>
        </is>
      </c>
      <c r="C173" t="inlineStr">
        <is>
          <t>engine_value</t>
        </is>
      </c>
    </row>
    <row r="174">
      <c r="A174" t="inlineStr">
        <is>
          <t>附表4!C6</t>
        </is>
      </c>
      <c r="B174" t="inlineStr">
        <is>
          <t>investment+funding+annual.project_cashflow.year_1</t>
        </is>
      </c>
      <c r="C174" t="inlineStr">
        <is>
          <t>engine_value</t>
        </is>
      </c>
    </row>
    <row r="175">
      <c r="A175" t="inlineStr">
        <is>
          <t>附表4!D6</t>
        </is>
      </c>
      <c r="B175" t="inlineStr">
        <is>
          <t>investment+funding+annual.project_cashflow.amount</t>
        </is>
      </c>
      <c r="C175" t="inlineStr">
        <is>
          <t>engine_value</t>
        </is>
      </c>
    </row>
    <row r="176">
      <c r="A176" t="inlineStr">
        <is>
          <t>附表4!A7</t>
        </is>
      </c>
      <c r="B176" t="inlineStr">
        <is>
          <t>investment+funding+annual.project_cashflow.no</t>
        </is>
      </c>
      <c r="C176" t="inlineStr">
        <is>
          <t>engine_value</t>
        </is>
      </c>
    </row>
    <row r="177">
      <c r="A177" t="inlineStr">
        <is>
          <t>附表4!B7</t>
        </is>
      </c>
      <c r="B177" t="inlineStr">
        <is>
          <t>investment+funding+annual.project_cashflow.name</t>
        </is>
      </c>
      <c r="C177" t="inlineStr">
        <is>
          <t>engine_value</t>
        </is>
      </c>
    </row>
    <row r="178">
      <c r="A178" t="inlineStr">
        <is>
          <t>附表4!C7</t>
        </is>
      </c>
      <c r="B178" t="inlineStr">
        <is>
          <t>investment+funding+annual.project_cashflow.year_1</t>
        </is>
      </c>
      <c r="C178" t="inlineStr">
        <is>
          <t>engine_value</t>
        </is>
      </c>
    </row>
    <row r="179">
      <c r="A179" t="inlineStr">
        <is>
          <t>附表4!D7</t>
        </is>
      </c>
      <c r="B179" t="inlineStr">
        <is>
          <t>investment+funding+annual.project_cashflow.amount</t>
        </is>
      </c>
      <c r="C179" t="inlineStr">
        <is>
          <t>engine_value</t>
        </is>
      </c>
    </row>
    <row r="180">
      <c r="A180" t="inlineStr">
        <is>
          <t>附表4!A8</t>
        </is>
      </c>
      <c r="B180" t="inlineStr">
        <is>
          <t>investment+funding+annual.project_cashflow.no</t>
        </is>
      </c>
      <c r="C180" t="inlineStr">
        <is>
          <t>engine_value</t>
        </is>
      </c>
    </row>
    <row r="181">
      <c r="A181" t="inlineStr">
        <is>
          <t>附表4!B8</t>
        </is>
      </c>
      <c r="B181" t="inlineStr">
        <is>
          <t>investment+funding+annual.project_cashflow.name</t>
        </is>
      </c>
      <c r="C181" t="inlineStr">
        <is>
          <t>engine_value</t>
        </is>
      </c>
    </row>
    <row r="182">
      <c r="A182" t="inlineStr">
        <is>
          <t>附表4!C8</t>
        </is>
      </c>
      <c r="B182" t="inlineStr">
        <is>
          <t>investment+funding+annual.project_cashflow.year_1</t>
        </is>
      </c>
      <c r="C182" t="inlineStr">
        <is>
          <t>engine_value</t>
        </is>
      </c>
    </row>
    <row r="183">
      <c r="A183" t="inlineStr">
        <is>
          <t>附表4!D8</t>
        </is>
      </c>
      <c r="B183" t="inlineStr">
        <is>
          <t>investment+funding+annual.project_cashflow.amount</t>
        </is>
      </c>
      <c r="C183" t="inlineStr">
        <is>
          <t>engine_value</t>
        </is>
      </c>
    </row>
    <row r="184">
      <c r="A184" t="inlineStr">
        <is>
          <t>附表4!A9</t>
        </is>
      </c>
      <c r="B184" t="inlineStr">
        <is>
          <t>investment+funding+annual.project_cashflow.no</t>
        </is>
      </c>
      <c r="C184" t="inlineStr">
        <is>
          <t>engine_value</t>
        </is>
      </c>
    </row>
    <row r="185">
      <c r="A185" t="inlineStr">
        <is>
          <t>附表4!B9</t>
        </is>
      </c>
      <c r="B185" t="inlineStr">
        <is>
          <t>investment+funding+annual.project_cashflow.name</t>
        </is>
      </c>
      <c r="C185" t="inlineStr">
        <is>
          <t>engine_value</t>
        </is>
      </c>
    </row>
    <row r="186">
      <c r="A186" t="inlineStr">
        <is>
          <t>附表4!C9</t>
        </is>
      </c>
      <c r="B186" t="inlineStr">
        <is>
          <t>investment+funding+annual.project_cashflow.year_1</t>
        </is>
      </c>
      <c r="C186" t="inlineStr">
        <is>
          <t>engine_value</t>
        </is>
      </c>
    </row>
    <row r="187">
      <c r="A187" t="inlineStr">
        <is>
          <t>附表4!D9</t>
        </is>
      </c>
      <c r="B187" t="inlineStr">
        <is>
          <t>investment+funding+annual.project_cashflow.amount</t>
        </is>
      </c>
      <c r="C187" t="inlineStr">
        <is>
          <t>engine_value</t>
        </is>
      </c>
    </row>
    <row r="188">
      <c r="A188" t="inlineStr">
        <is>
          <t>附表4!A10</t>
        </is>
      </c>
      <c r="B188" t="inlineStr">
        <is>
          <t>investment+funding+annual.project_cashflow.no</t>
        </is>
      </c>
      <c r="C188" t="inlineStr">
        <is>
          <t>engine_value</t>
        </is>
      </c>
    </row>
    <row r="189">
      <c r="A189" t="inlineStr">
        <is>
          <t>附表4!B10</t>
        </is>
      </c>
      <c r="B189" t="inlineStr">
        <is>
          <t>investment+funding+annual.project_cashflow.name</t>
        </is>
      </c>
      <c r="C189" t="inlineStr">
        <is>
          <t>engine_value</t>
        </is>
      </c>
    </row>
    <row r="190">
      <c r="A190" t="inlineStr">
        <is>
          <t>附表4!C10</t>
        </is>
      </c>
      <c r="B190" t="inlineStr">
        <is>
          <t>investment+funding+annual.project_cashflow.year_1</t>
        </is>
      </c>
      <c r="C190" t="inlineStr">
        <is>
          <t>engine_value</t>
        </is>
      </c>
    </row>
    <row r="191">
      <c r="A191" t="inlineStr">
        <is>
          <t>附表4!D10</t>
        </is>
      </c>
      <c r="B191" t="inlineStr">
        <is>
          <t>investment+funding+annual.project_cashflow.amount</t>
        </is>
      </c>
      <c r="C191" t="inlineStr">
        <is>
          <t>engine_value</t>
        </is>
      </c>
    </row>
    <row r="192">
      <c r="A192" t="inlineStr">
        <is>
          <t>附表4!A11</t>
        </is>
      </c>
      <c r="B192" t="inlineStr">
        <is>
          <t>investment+funding+annual.project_cashflow.no</t>
        </is>
      </c>
      <c r="C192" t="inlineStr">
        <is>
          <t>engine_value</t>
        </is>
      </c>
    </row>
    <row r="193">
      <c r="A193" t="inlineStr">
        <is>
          <t>附表4!B11</t>
        </is>
      </c>
      <c r="B193" t="inlineStr">
        <is>
          <t>investment+funding+annual.project_cashflow.name</t>
        </is>
      </c>
      <c r="C193" t="inlineStr">
        <is>
          <t>engine_value</t>
        </is>
      </c>
    </row>
    <row r="194">
      <c r="A194" t="inlineStr">
        <is>
          <t>附表4!C11</t>
        </is>
      </c>
      <c r="B194" t="inlineStr">
        <is>
          <t>investment+funding+annual.project_cashflow.year_1</t>
        </is>
      </c>
      <c r="C194" t="inlineStr">
        <is>
          <t>engine_value</t>
        </is>
      </c>
    </row>
    <row r="195">
      <c r="A195" t="inlineStr">
        <is>
          <t>附表4!D11</t>
        </is>
      </c>
      <c r="B195" t="inlineStr">
        <is>
          <t>investment+funding+annual.project_cashflow.amount</t>
        </is>
      </c>
      <c r="C195" t="inlineStr">
        <is>
          <t>engine_value</t>
        </is>
      </c>
    </row>
    <row r="196">
      <c r="A196" t="inlineStr">
        <is>
          <t>附表5!A4</t>
        </is>
      </c>
      <c r="B196" t="inlineStr">
        <is>
          <t>annual.income_statement+spec.revenue.products.no</t>
        </is>
      </c>
      <c r="C196" t="inlineStr">
        <is>
          <t>engine_value</t>
        </is>
      </c>
    </row>
    <row r="197">
      <c r="A197" t="inlineStr">
        <is>
          <t>附表5!B4</t>
        </is>
      </c>
      <c r="B197" t="inlineStr">
        <is>
          <t>annual.income_statement+spec.revenue.products.item</t>
        </is>
      </c>
      <c r="C197" t="inlineStr">
        <is>
          <t>engine_value</t>
        </is>
      </c>
    </row>
    <row r="198">
      <c r="A198" t="inlineStr">
        <is>
          <t>附表5!C4</t>
        </is>
      </c>
      <c r="B198" t="inlineStr">
        <is>
          <t>annual.income_statement+spec.revenue.products.unit</t>
        </is>
      </c>
      <c r="C198" t="inlineStr">
        <is>
          <t>engine_value</t>
        </is>
      </c>
    </row>
    <row r="199">
      <c r="A199" t="inlineStr">
        <is>
          <t>附表5!D4</t>
        </is>
      </c>
      <c r="B199" t="inlineStr">
        <is>
          <t>annual.income_statement+spec.revenue.products.total</t>
        </is>
      </c>
      <c r="C199" t="inlineStr">
        <is>
          <t>engine_value</t>
        </is>
      </c>
    </row>
    <row r="200">
      <c r="A200" t="inlineStr">
        <is>
          <t>附表5!E4</t>
        </is>
      </c>
      <c r="B200" t="inlineStr">
        <is>
          <t>annual.income_statement+spec.revenue.products.period_1</t>
        </is>
      </c>
      <c r="C200" t="inlineStr">
        <is>
          <t>engine_value</t>
        </is>
      </c>
    </row>
    <row r="201">
      <c r="A201" t="inlineStr">
        <is>
          <t>附表5!F4</t>
        </is>
      </c>
      <c r="B201" t="inlineStr">
        <is>
          <t>annual.income_statement+spec.revenue.products.period_2</t>
        </is>
      </c>
      <c r="C201" t="inlineStr">
        <is>
          <t>engine_value</t>
        </is>
      </c>
    </row>
    <row r="202">
      <c r="A202" t="inlineStr">
        <is>
          <t>附表5!G4</t>
        </is>
      </c>
      <c r="B202" t="inlineStr">
        <is>
          <t>annual.income_statement+spec.revenue.products.period_3</t>
        </is>
      </c>
      <c r="C202" t="inlineStr">
        <is>
          <t>engine_value</t>
        </is>
      </c>
    </row>
    <row r="203">
      <c r="A203" t="inlineStr">
        <is>
          <t>附表5!H4</t>
        </is>
      </c>
      <c r="B203" t="inlineStr">
        <is>
          <t>annual.income_statement+spec.revenue.products.period_4</t>
        </is>
      </c>
      <c r="C203" t="inlineStr">
        <is>
          <t>engine_value</t>
        </is>
      </c>
    </row>
    <row r="204">
      <c r="A204" t="inlineStr">
        <is>
          <t>附表5!I4</t>
        </is>
      </c>
      <c r="B204" t="inlineStr">
        <is>
          <t>annual.income_statement+spec.revenue.products.period_5</t>
        </is>
      </c>
      <c r="C204" t="inlineStr">
        <is>
          <t>engine_value</t>
        </is>
      </c>
    </row>
    <row r="205">
      <c r="A205" t="inlineStr">
        <is>
          <t>附表5!J4</t>
        </is>
      </c>
      <c r="B205" t="inlineStr">
        <is>
          <t>annual.income_statement+spec.revenue.products.period_6</t>
        </is>
      </c>
      <c r="C205" t="inlineStr">
        <is>
          <t>engine_value</t>
        </is>
      </c>
    </row>
    <row r="206">
      <c r="A206" t="inlineStr">
        <is>
          <t>附表5!K4</t>
        </is>
      </c>
      <c r="B206" t="inlineStr">
        <is>
          <t>annual.income_statement+spec.revenue.products.period_7</t>
        </is>
      </c>
      <c r="C206" t="inlineStr">
        <is>
          <t>engine_value</t>
        </is>
      </c>
    </row>
    <row r="207">
      <c r="A207" t="inlineStr">
        <is>
          <t>附表5!L4</t>
        </is>
      </c>
      <c r="B207" t="inlineStr">
        <is>
          <t>annual.income_statement+spec.revenue.products.period_8</t>
        </is>
      </c>
      <c r="C207" t="inlineStr">
        <is>
          <t>engine_value</t>
        </is>
      </c>
    </row>
    <row r="208">
      <c r="A208" t="inlineStr">
        <is>
          <t>附表5!M4</t>
        </is>
      </c>
      <c r="B208" t="inlineStr">
        <is>
          <t>annual.income_statement+spec.revenue.products.period_9</t>
        </is>
      </c>
      <c r="C208" t="inlineStr">
        <is>
          <t>engine_value</t>
        </is>
      </c>
    </row>
    <row r="209">
      <c r="A209" t="inlineStr">
        <is>
          <t>附表5!N4</t>
        </is>
      </c>
      <c r="B209" t="inlineStr">
        <is>
          <t>annual.income_statement+spec.revenue.products.period_10</t>
        </is>
      </c>
      <c r="C209" t="inlineStr">
        <is>
          <t>engine_value</t>
        </is>
      </c>
    </row>
    <row r="210">
      <c r="A210" t="inlineStr">
        <is>
          <t>附表5!O4</t>
        </is>
      </c>
      <c r="B210" t="inlineStr">
        <is>
          <t>annual.income_statement+spec.revenue.products.period_11</t>
        </is>
      </c>
      <c r="C210" t="inlineStr">
        <is>
          <t>engine_value</t>
        </is>
      </c>
    </row>
    <row r="211">
      <c r="A211" t="inlineStr">
        <is>
          <t>附表5!P4</t>
        </is>
      </c>
      <c r="B211" t="inlineStr">
        <is>
          <t>annual.income_statement+spec.revenue.products.period_12</t>
        </is>
      </c>
      <c r="C211" t="inlineStr">
        <is>
          <t>engine_value</t>
        </is>
      </c>
    </row>
    <row r="212">
      <c r="A212" t="inlineStr">
        <is>
          <t>附表5!Q4</t>
        </is>
      </c>
      <c r="B212" t="inlineStr">
        <is>
          <t>annual.income_statement+spec.revenue.products.period_13</t>
        </is>
      </c>
      <c r="C212" t="inlineStr">
        <is>
          <t>engine_value</t>
        </is>
      </c>
    </row>
    <row r="213">
      <c r="A213" t="inlineStr">
        <is>
          <t>附表5!R4</t>
        </is>
      </c>
      <c r="B213" t="inlineStr">
        <is>
          <t>annual.income_statement+spec.revenue.products.period_14</t>
        </is>
      </c>
      <c r="C213" t="inlineStr">
        <is>
          <t>engine_value</t>
        </is>
      </c>
    </row>
    <row r="214">
      <c r="A214" t="inlineStr">
        <is>
          <t>附表5!S4</t>
        </is>
      </c>
      <c r="B214" t="inlineStr">
        <is>
          <t>annual.income_statement+spec.revenue.products.period_15</t>
        </is>
      </c>
      <c r="C214" t="inlineStr">
        <is>
          <t>engine_value</t>
        </is>
      </c>
    </row>
    <row r="215">
      <c r="A215" t="inlineStr">
        <is>
          <t>附表5!T4</t>
        </is>
      </c>
      <c r="B215" t="inlineStr">
        <is>
          <t>annual.income_statement+spec.revenue.products.period_16</t>
        </is>
      </c>
      <c r="C215" t="inlineStr">
        <is>
          <t>engine_value</t>
        </is>
      </c>
    </row>
    <row r="216">
      <c r="A216" t="inlineStr">
        <is>
          <t>附表5!U4</t>
        </is>
      </c>
      <c r="B216" t="inlineStr">
        <is>
          <t>annual.income_statement+spec.revenue.products.period_17</t>
        </is>
      </c>
      <c r="C216" t="inlineStr">
        <is>
          <t>engine_value</t>
        </is>
      </c>
    </row>
    <row r="217">
      <c r="A217" t="inlineStr">
        <is>
          <t>附表5!V4</t>
        </is>
      </c>
      <c r="B217" t="inlineStr">
        <is>
          <t>annual.income_statement+spec.revenue.products.period_18</t>
        </is>
      </c>
      <c r="C217" t="inlineStr">
        <is>
          <t>engine_value</t>
        </is>
      </c>
    </row>
    <row r="218">
      <c r="A218" t="inlineStr">
        <is>
          <t>附表5!W4</t>
        </is>
      </c>
      <c r="B218" t="inlineStr">
        <is>
          <t>annual.income_statement+spec.revenue.products.period_19</t>
        </is>
      </c>
      <c r="C218" t="inlineStr">
        <is>
          <t>engine_value</t>
        </is>
      </c>
    </row>
    <row r="219">
      <c r="A219" t="inlineStr">
        <is>
          <t>附表5!X4</t>
        </is>
      </c>
      <c r="B219" t="inlineStr">
        <is>
          <t>annual.income_statement+spec.revenue.products.period_20</t>
        </is>
      </c>
      <c r="C219" t="inlineStr">
        <is>
          <t>engine_value</t>
        </is>
      </c>
    </row>
    <row r="220">
      <c r="A220" t="inlineStr">
        <is>
          <t>附表5!Y4</t>
        </is>
      </c>
      <c r="B220" t="inlineStr">
        <is>
          <t>annual.income_statement+spec.revenue.products.period_21</t>
        </is>
      </c>
      <c r="C220" t="inlineStr">
        <is>
          <t>engine_value</t>
        </is>
      </c>
    </row>
    <row r="221">
      <c r="A221" t="inlineStr">
        <is>
          <t>附表5!Z4</t>
        </is>
      </c>
      <c r="B221" t="inlineStr">
        <is>
          <t>annual.income_statement+spec.revenue.products.period_22</t>
        </is>
      </c>
      <c r="C221" t="inlineStr">
        <is>
          <t>engine_value</t>
        </is>
      </c>
    </row>
    <row r="222">
      <c r="A222" t="inlineStr">
        <is>
          <t>附表5!AA4</t>
        </is>
      </c>
      <c r="B222" t="inlineStr">
        <is>
          <t>annual.income_statement+spec.revenue.products.period_23</t>
        </is>
      </c>
      <c r="C222" t="inlineStr">
        <is>
          <t>engine_value</t>
        </is>
      </c>
    </row>
    <row r="223">
      <c r="A223" t="inlineStr">
        <is>
          <t>附表5!AB4</t>
        </is>
      </c>
      <c r="B223" t="inlineStr">
        <is>
          <t>annual.income_statement+spec.revenue.products.period_24</t>
        </is>
      </c>
      <c r="C223" t="inlineStr">
        <is>
          <t>engine_value</t>
        </is>
      </c>
    </row>
    <row r="224">
      <c r="A224" t="inlineStr">
        <is>
          <t>附表5!A5</t>
        </is>
      </c>
      <c r="B224" t="inlineStr">
        <is>
          <t>annual.income_statement+spec.revenue.products.no</t>
        </is>
      </c>
      <c r="C224" t="inlineStr">
        <is>
          <t>engine_value</t>
        </is>
      </c>
    </row>
    <row r="225">
      <c r="A225" t="inlineStr">
        <is>
          <t>附表5!B5</t>
        </is>
      </c>
      <c r="B225" t="inlineStr">
        <is>
          <t>annual.income_statement+spec.revenue.products.item</t>
        </is>
      </c>
      <c r="C225" t="inlineStr">
        <is>
          <t>engine_value</t>
        </is>
      </c>
    </row>
    <row r="226">
      <c r="A226" t="inlineStr">
        <is>
          <t>附表5!C5</t>
        </is>
      </c>
      <c r="B226" t="inlineStr">
        <is>
          <t>annual.income_statement+spec.revenue.products.unit</t>
        </is>
      </c>
      <c r="C226" t="inlineStr">
        <is>
          <t>engine_value</t>
        </is>
      </c>
    </row>
    <row r="227">
      <c r="A227" t="inlineStr">
        <is>
          <t>附表5!D5</t>
        </is>
      </c>
      <c r="B227" t="inlineStr">
        <is>
          <t>annual.income_statement+spec.revenue.products.total</t>
        </is>
      </c>
      <c r="C227" t="inlineStr">
        <is>
          <t>engine_value</t>
        </is>
      </c>
    </row>
    <row r="228">
      <c r="A228" t="inlineStr">
        <is>
          <t>附表5!E5</t>
        </is>
      </c>
      <c r="B228" t="inlineStr">
        <is>
          <t>annual.income_statement+spec.revenue.products.period_1</t>
        </is>
      </c>
      <c r="C228" t="inlineStr">
        <is>
          <t>engine_value</t>
        </is>
      </c>
    </row>
    <row r="229">
      <c r="A229" t="inlineStr">
        <is>
          <t>附表5!F5</t>
        </is>
      </c>
      <c r="B229" t="inlineStr">
        <is>
          <t>annual.income_statement+spec.revenue.products.period_2</t>
        </is>
      </c>
      <c r="C229" t="inlineStr">
        <is>
          <t>engine_value</t>
        </is>
      </c>
    </row>
    <row r="230">
      <c r="A230" t="inlineStr">
        <is>
          <t>附表5!G5</t>
        </is>
      </c>
      <c r="B230" t="inlineStr">
        <is>
          <t>annual.income_statement+spec.revenue.products.period_3</t>
        </is>
      </c>
      <c r="C230" t="inlineStr">
        <is>
          <t>engine_value</t>
        </is>
      </c>
    </row>
    <row r="231">
      <c r="A231" t="inlineStr">
        <is>
          <t>附表5!H5</t>
        </is>
      </c>
      <c r="B231" t="inlineStr">
        <is>
          <t>annual.income_statement+spec.revenue.products.period_4</t>
        </is>
      </c>
      <c r="C231" t="inlineStr">
        <is>
          <t>engine_value</t>
        </is>
      </c>
    </row>
    <row r="232">
      <c r="A232" t="inlineStr">
        <is>
          <t>附表5!I5</t>
        </is>
      </c>
      <c r="B232" t="inlineStr">
        <is>
          <t>annual.income_statement+spec.revenue.products.period_5</t>
        </is>
      </c>
      <c r="C232" t="inlineStr">
        <is>
          <t>engine_value</t>
        </is>
      </c>
    </row>
    <row r="233">
      <c r="A233" t="inlineStr">
        <is>
          <t>附表5!J5</t>
        </is>
      </c>
      <c r="B233" t="inlineStr">
        <is>
          <t>annual.income_statement+spec.revenue.products.period_6</t>
        </is>
      </c>
      <c r="C233" t="inlineStr">
        <is>
          <t>engine_value</t>
        </is>
      </c>
    </row>
    <row r="234">
      <c r="A234" t="inlineStr">
        <is>
          <t>附表5!K5</t>
        </is>
      </c>
      <c r="B234" t="inlineStr">
        <is>
          <t>annual.income_statement+spec.revenue.products.period_7</t>
        </is>
      </c>
      <c r="C234" t="inlineStr">
        <is>
          <t>engine_value</t>
        </is>
      </c>
    </row>
    <row r="235">
      <c r="A235" t="inlineStr">
        <is>
          <t>附表5!L5</t>
        </is>
      </c>
      <c r="B235" t="inlineStr">
        <is>
          <t>annual.income_statement+spec.revenue.products.period_8</t>
        </is>
      </c>
      <c r="C235" t="inlineStr">
        <is>
          <t>engine_value</t>
        </is>
      </c>
    </row>
    <row r="236">
      <c r="A236" t="inlineStr">
        <is>
          <t>附表5!M5</t>
        </is>
      </c>
      <c r="B236" t="inlineStr">
        <is>
          <t>annual.income_statement+spec.revenue.products.period_9</t>
        </is>
      </c>
      <c r="C236" t="inlineStr">
        <is>
          <t>engine_value</t>
        </is>
      </c>
    </row>
    <row r="237">
      <c r="A237" t="inlineStr">
        <is>
          <t>附表5!N5</t>
        </is>
      </c>
      <c r="B237" t="inlineStr">
        <is>
          <t>annual.income_statement+spec.revenue.products.period_10</t>
        </is>
      </c>
      <c r="C237" t="inlineStr">
        <is>
          <t>engine_value</t>
        </is>
      </c>
    </row>
    <row r="238">
      <c r="A238" t="inlineStr">
        <is>
          <t>附表5!O5</t>
        </is>
      </c>
      <c r="B238" t="inlineStr">
        <is>
          <t>annual.income_statement+spec.revenue.products.period_11</t>
        </is>
      </c>
      <c r="C238" t="inlineStr">
        <is>
          <t>engine_value</t>
        </is>
      </c>
    </row>
    <row r="239">
      <c r="A239" t="inlineStr">
        <is>
          <t>附表5!P5</t>
        </is>
      </c>
      <c r="B239" t="inlineStr">
        <is>
          <t>annual.income_statement+spec.revenue.products.period_12</t>
        </is>
      </c>
      <c r="C239" t="inlineStr">
        <is>
          <t>engine_value</t>
        </is>
      </c>
    </row>
    <row r="240">
      <c r="A240" t="inlineStr">
        <is>
          <t>附表5!Q5</t>
        </is>
      </c>
      <c r="B240" t="inlineStr">
        <is>
          <t>annual.income_statement+spec.revenue.products.period_13</t>
        </is>
      </c>
      <c r="C240" t="inlineStr">
        <is>
          <t>engine_value</t>
        </is>
      </c>
    </row>
    <row r="241">
      <c r="A241" t="inlineStr">
        <is>
          <t>附表5!R5</t>
        </is>
      </c>
      <c r="B241" t="inlineStr">
        <is>
          <t>annual.income_statement+spec.revenue.products.period_14</t>
        </is>
      </c>
      <c r="C241" t="inlineStr">
        <is>
          <t>engine_value</t>
        </is>
      </c>
    </row>
    <row r="242">
      <c r="A242" t="inlineStr">
        <is>
          <t>附表5!S5</t>
        </is>
      </c>
      <c r="B242" t="inlineStr">
        <is>
          <t>annual.income_statement+spec.revenue.products.period_15</t>
        </is>
      </c>
      <c r="C242" t="inlineStr">
        <is>
          <t>engine_value</t>
        </is>
      </c>
    </row>
    <row r="243">
      <c r="A243" t="inlineStr">
        <is>
          <t>附表5!T5</t>
        </is>
      </c>
      <c r="B243" t="inlineStr">
        <is>
          <t>annual.income_statement+spec.revenue.products.period_16</t>
        </is>
      </c>
      <c r="C243" t="inlineStr">
        <is>
          <t>engine_value</t>
        </is>
      </c>
    </row>
    <row r="244">
      <c r="A244" t="inlineStr">
        <is>
          <t>附表5!U5</t>
        </is>
      </c>
      <c r="B244" t="inlineStr">
        <is>
          <t>annual.income_statement+spec.revenue.products.period_17</t>
        </is>
      </c>
      <c r="C244" t="inlineStr">
        <is>
          <t>engine_value</t>
        </is>
      </c>
    </row>
    <row r="245">
      <c r="A245" t="inlineStr">
        <is>
          <t>附表5!V5</t>
        </is>
      </c>
      <c r="B245" t="inlineStr">
        <is>
          <t>annual.income_statement+spec.revenue.products.period_18</t>
        </is>
      </c>
      <c r="C245" t="inlineStr">
        <is>
          <t>engine_value</t>
        </is>
      </c>
    </row>
    <row r="246">
      <c r="A246" t="inlineStr">
        <is>
          <t>附表5!W5</t>
        </is>
      </c>
      <c r="B246" t="inlineStr">
        <is>
          <t>annual.income_statement+spec.revenue.products.period_19</t>
        </is>
      </c>
      <c r="C246" t="inlineStr">
        <is>
          <t>engine_value</t>
        </is>
      </c>
    </row>
    <row r="247">
      <c r="A247" t="inlineStr">
        <is>
          <t>附表5!X5</t>
        </is>
      </c>
      <c r="B247" t="inlineStr">
        <is>
          <t>annual.income_statement+spec.revenue.products.period_20</t>
        </is>
      </c>
      <c r="C247" t="inlineStr">
        <is>
          <t>engine_value</t>
        </is>
      </c>
    </row>
    <row r="248">
      <c r="A248" t="inlineStr">
        <is>
          <t>附表5!Y5</t>
        </is>
      </c>
      <c r="B248" t="inlineStr">
        <is>
          <t>annual.income_statement+spec.revenue.products.period_21</t>
        </is>
      </c>
      <c r="C248" t="inlineStr">
        <is>
          <t>engine_value</t>
        </is>
      </c>
    </row>
    <row r="249">
      <c r="A249" t="inlineStr">
        <is>
          <t>附表5!Z5</t>
        </is>
      </c>
      <c r="B249" t="inlineStr">
        <is>
          <t>annual.income_statement+spec.revenue.products.period_22</t>
        </is>
      </c>
      <c r="C249" t="inlineStr">
        <is>
          <t>engine_value</t>
        </is>
      </c>
    </row>
    <row r="250">
      <c r="A250" t="inlineStr">
        <is>
          <t>附表5!AA5</t>
        </is>
      </c>
      <c r="B250" t="inlineStr">
        <is>
          <t>annual.income_statement+spec.revenue.products.period_23</t>
        </is>
      </c>
      <c r="C250" t="inlineStr">
        <is>
          <t>engine_value</t>
        </is>
      </c>
    </row>
    <row r="251">
      <c r="A251" t="inlineStr">
        <is>
          <t>附表5!AB5</t>
        </is>
      </c>
      <c r="B251" t="inlineStr">
        <is>
          <t>annual.income_statement+spec.revenue.products.period_24</t>
        </is>
      </c>
      <c r="C251" t="inlineStr">
        <is>
          <t>engine_value</t>
        </is>
      </c>
    </row>
    <row r="252">
      <c r="A252" t="inlineStr">
        <is>
          <t>附表5!A6</t>
        </is>
      </c>
      <c r="B252" t="inlineStr">
        <is>
          <t>annual.income_statement+spec.revenue.products.no</t>
        </is>
      </c>
      <c r="C252" t="inlineStr">
        <is>
          <t>engine_value</t>
        </is>
      </c>
    </row>
    <row r="253">
      <c r="A253" t="inlineStr">
        <is>
          <t>附表5!B6</t>
        </is>
      </c>
      <c r="B253" t="inlineStr">
        <is>
          <t>annual.income_statement+spec.revenue.products.item</t>
        </is>
      </c>
      <c r="C253" t="inlineStr">
        <is>
          <t>engine_value</t>
        </is>
      </c>
    </row>
    <row r="254">
      <c r="A254" t="inlineStr">
        <is>
          <t>附表5!C6</t>
        </is>
      </c>
      <c r="B254" t="inlineStr">
        <is>
          <t>annual.income_statement+spec.revenue.products.unit</t>
        </is>
      </c>
      <c r="C254" t="inlineStr">
        <is>
          <t>engine_value</t>
        </is>
      </c>
    </row>
    <row r="255">
      <c r="A255" t="inlineStr">
        <is>
          <t>附表5!D6</t>
        </is>
      </c>
      <c r="B255" t="inlineStr">
        <is>
          <t>annual.income_statement+spec.revenue.products.total</t>
        </is>
      </c>
      <c r="C255" t="inlineStr">
        <is>
          <t>engine_value</t>
        </is>
      </c>
    </row>
    <row r="256">
      <c r="A256" t="inlineStr">
        <is>
          <t>附表5!E6</t>
        </is>
      </c>
      <c r="B256" t="inlineStr">
        <is>
          <t>annual.income_statement+spec.revenue.products.period_1</t>
        </is>
      </c>
      <c r="C256" t="inlineStr">
        <is>
          <t>engine_value</t>
        </is>
      </c>
    </row>
    <row r="257">
      <c r="A257" t="inlineStr">
        <is>
          <t>附表5!F6</t>
        </is>
      </c>
      <c r="B257" t="inlineStr">
        <is>
          <t>annual.income_statement+spec.revenue.products.period_2</t>
        </is>
      </c>
      <c r="C257" t="inlineStr">
        <is>
          <t>engine_value</t>
        </is>
      </c>
    </row>
    <row r="258">
      <c r="A258" t="inlineStr">
        <is>
          <t>附表5!G6</t>
        </is>
      </c>
      <c r="B258" t="inlineStr">
        <is>
          <t>annual.income_statement+spec.revenue.products.period_3</t>
        </is>
      </c>
      <c r="C258" t="inlineStr">
        <is>
          <t>engine_value</t>
        </is>
      </c>
    </row>
    <row r="259">
      <c r="A259" t="inlineStr">
        <is>
          <t>附表5!H6</t>
        </is>
      </c>
      <c r="B259" t="inlineStr">
        <is>
          <t>annual.income_statement+spec.revenue.products.period_4</t>
        </is>
      </c>
      <c r="C259" t="inlineStr">
        <is>
          <t>engine_value</t>
        </is>
      </c>
    </row>
    <row r="260">
      <c r="A260" t="inlineStr">
        <is>
          <t>附表5!I6</t>
        </is>
      </c>
      <c r="B260" t="inlineStr">
        <is>
          <t>annual.income_statement+spec.revenue.products.period_5</t>
        </is>
      </c>
      <c r="C260" t="inlineStr">
        <is>
          <t>engine_value</t>
        </is>
      </c>
    </row>
    <row r="261">
      <c r="A261" t="inlineStr">
        <is>
          <t>附表5!J6</t>
        </is>
      </c>
      <c r="B261" t="inlineStr">
        <is>
          <t>annual.income_statement+spec.revenue.products.period_6</t>
        </is>
      </c>
      <c r="C261" t="inlineStr">
        <is>
          <t>engine_value</t>
        </is>
      </c>
    </row>
    <row r="262">
      <c r="A262" t="inlineStr">
        <is>
          <t>附表5!K6</t>
        </is>
      </c>
      <c r="B262" t="inlineStr">
        <is>
          <t>annual.income_statement+spec.revenue.products.period_7</t>
        </is>
      </c>
      <c r="C262" t="inlineStr">
        <is>
          <t>engine_value</t>
        </is>
      </c>
    </row>
    <row r="263">
      <c r="A263" t="inlineStr">
        <is>
          <t>附表5!L6</t>
        </is>
      </c>
      <c r="B263" t="inlineStr">
        <is>
          <t>annual.income_statement+spec.revenue.products.period_8</t>
        </is>
      </c>
      <c r="C263" t="inlineStr">
        <is>
          <t>engine_value</t>
        </is>
      </c>
    </row>
    <row r="264">
      <c r="A264" t="inlineStr">
        <is>
          <t>附表5!M6</t>
        </is>
      </c>
      <c r="B264" t="inlineStr">
        <is>
          <t>annual.income_statement+spec.revenue.products.period_9</t>
        </is>
      </c>
      <c r="C264" t="inlineStr">
        <is>
          <t>engine_value</t>
        </is>
      </c>
    </row>
    <row r="265">
      <c r="A265" t="inlineStr">
        <is>
          <t>附表5!N6</t>
        </is>
      </c>
      <c r="B265" t="inlineStr">
        <is>
          <t>annual.income_statement+spec.revenue.products.period_10</t>
        </is>
      </c>
      <c r="C265" t="inlineStr">
        <is>
          <t>engine_value</t>
        </is>
      </c>
    </row>
    <row r="266">
      <c r="A266" t="inlineStr">
        <is>
          <t>附表5!O6</t>
        </is>
      </c>
      <c r="B266" t="inlineStr">
        <is>
          <t>annual.income_statement+spec.revenue.products.period_11</t>
        </is>
      </c>
      <c r="C266" t="inlineStr">
        <is>
          <t>engine_value</t>
        </is>
      </c>
    </row>
    <row r="267">
      <c r="A267" t="inlineStr">
        <is>
          <t>附表5!P6</t>
        </is>
      </c>
      <c r="B267" t="inlineStr">
        <is>
          <t>annual.income_statement+spec.revenue.products.period_12</t>
        </is>
      </c>
      <c r="C267" t="inlineStr">
        <is>
          <t>engine_value</t>
        </is>
      </c>
    </row>
    <row r="268">
      <c r="A268" t="inlineStr">
        <is>
          <t>附表5!Q6</t>
        </is>
      </c>
      <c r="B268" t="inlineStr">
        <is>
          <t>annual.income_statement+spec.revenue.products.period_13</t>
        </is>
      </c>
      <c r="C268" t="inlineStr">
        <is>
          <t>engine_value</t>
        </is>
      </c>
    </row>
    <row r="269">
      <c r="A269" t="inlineStr">
        <is>
          <t>附表5!R6</t>
        </is>
      </c>
      <c r="B269" t="inlineStr">
        <is>
          <t>annual.income_statement+spec.revenue.products.period_14</t>
        </is>
      </c>
      <c r="C269" t="inlineStr">
        <is>
          <t>engine_value</t>
        </is>
      </c>
    </row>
    <row r="270">
      <c r="A270" t="inlineStr">
        <is>
          <t>附表5!S6</t>
        </is>
      </c>
      <c r="B270" t="inlineStr">
        <is>
          <t>annual.income_statement+spec.revenue.products.period_15</t>
        </is>
      </c>
      <c r="C270" t="inlineStr">
        <is>
          <t>engine_value</t>
        </is>
      </c>
    </row>
    <row r="271">
      <c r="A271" t="inlineStr">
        <is>
          <t>附表5!T6</t>
        </is>
      </c>
      <c r="B271" t="inlineStr">
        <is>
          <t>annual.income_statement+spec.revenue.products.period_16</t>
        </is>
      </c>
      <c r="C271" t="inlineStr">
        <is>
          <t>engine_value</t>
        </is>
      </c>
    </row>
    <row r="272">
      <c r="A272" t="inlineStr">
        <is>
          <t>附表5!U6</t>
        </is>
      </c>
      <c r="B272" t="inlineStr">
        <is>
          <t>annual.income_statement+spec.revenue.products.period_17</t>
        </is>
      </c>
      <c r="C272" t="inlineStr">
        <is>
          <t>engine_value</t>
        </is>
      </c>
    </row>
    <row r="273">
      <c r="A273" t="inlineStr">
        <is>
          <t>附表5!V6</t>
        </is>
      </c>
      <c r="B273" t="inlineStr">
        <is>
          <t>annual.income_statement+spec.revenue.products.period_18</t>
        </is>
      </c>
      <c r="C273" t="inlineStr">
        <is>
          <t>engine_value</t>
        </is>
      </c>
    </row>
    <row r="274">
      <c r="A274" t="inlineStr">
        <is>
          <t>附表5!W6</t>
        </is>
      </c>
      <c r="B274" t="inlineStr">
        <is>
          <t>annual.income_statement+spec.revenue.products.period_19</t>
        </is>
      </c>
      <c r="C274" t="inlineStr">
        <is>
          <t>engine_value</t>
        </is>
      </c>
    </row>
    <row r="275">
      <c r="A275" t="inlineStr">
        <is>
          <t>附表5!X6</t>
        </is>
      </c>
      <c r="B275" t="inlineStr">
        <is>
          <t>annual.income_statement+spec.revenue.products.period_20</t>
        </is>
      </c>
      <c r="C275" t="inlineStr">
        <is>
          <t>engine_value</t>
        </is>
      </c>
    </row>
    <row r="276">
      <c r="A276" t="inlineStr">
        <is>
          <t>附表5!Y6</t>
        </is>
      </c>
      <c r="B276" t="inlineStr">
        <is>
          <t>annual.income_statement+spec.revenue.products.period_21</t>
        </is>
      </c>
      <c r="C276" t="inlineStr">
        <is>
          <t>engine_value</t>
        </is>
      </c>
    </row>
    <row r="277">
      <c r="A277" t="inlineStr">
        <is>
          <t>附表5!Z6</t>
        </is>
      </c>
      <c r="B277" t="inlineStr">
        <is>
          <t>annual.income_statement+spec.revenue.products.period_22</t>
        </is>
      </c>
      <c r="C277" t="inlineStr">
        <is>
          <t>engine_value</t>
        </is>
      </c>
    </row>
    <row r="278">
      <c r="A278" t="inlineStr">
        <is>
          <t>附表5!AA6</t>
        </is>
      </c>
      <c r="B278" t="inlineStr">
        <is>
          <t>annual.income_statement+spec.revenue.products.period_23</t>
        </is>
      </c>
      <c r="C278" t="inlineStr">
        <is>
          <t>engine_value</t>
        </is>
      </c>
    </row>
    <row r="279">
      <c r="A279" t="inlineStr">
        <is>
          <t>附表5!AB6</t>
        </is>
      </c>
      <c r="B279" t="inlineStr">
        <is>
          <t>annual.income_statement+spec.revenue.products.period_24</t>
        </is>
      </c>
      <c r="C279" t="inlineStr">
        <is>
          <t>engine_value</t>
        </is>
      </c>
    </row>
    <row r="280">
      <c r="A280" t="inlineStr">
        <is>
          <t>附表5!A7</t>
        </is>
      </c>
      <c r="B280" t="inlineStr">
        <is>
          <t>annual.income_statement+spec.revenue.products.no</t>
        </is>
      </c>
      <c r="C280" t="inlineStr">
        <is>
          <t>engine_value</t>
        </is>
      </c>
    </row>
    <row r="281">
      <c r="A281" t="inlineStr">
        <is>
          <t>附表5!B7</t>
        </is>
      </c>
      <c r="B281" t="inlineStr">
        <is>
          <t>annual.income_statement+spec.revenue.products.item</t>
        </is>
      </c>
      <c r="C281" t="inlineStr">
        <is>
          <t>engine_value</t>
        </is>
      </c>
    </row>
    <row r="282">
      <c r="A282" t="inlineStr">
        <is>
          <t>附表5!C7</t>
        </is>
      </c>
      <c r="B282" t="inlineStr">
        <is>
          <t>annual.income_statement+spec.revenue.products.unit</t>
        </is>
      </c>
      <c r="C282" t="inlineStr">
        <is>
          <t>engine_value</t>
        </is>
      </c>
    </row>
    <row r="283">
      <c r="A283" t="inlineStr">
        <is>
          <t>附表5!D7</t>
        </is>
      </c>
      <c r="B283" t="inlineStr">
        <is>
          <t>annual.income_statement+spec.revenue.products.total</t>
        </is>
      </c>
      <c r="C283" t="inlineStr">
        <is>
          <t>engine_value</t>
        </is>
      </c>
    </row>
    <row r="284">
      <c r="A284" t="inlineStr">
        <is>
          <t>附表5!E7</t>
        </is>
      </c>
      <c r="B284" t="inlineStr">
        <is>
          <t>annual.income_statement+spec.revenue.products.period_1</t>
        </is>
      </c>
      <c r="C284" t="inlineStr">
        <is>
          <t>engine_value</t>
        </is>
      </c>
    </row>
    <row r="285">
      <c r="A285" t="inlineStr">
        <is>
          <t>附表5!F7</t>
        </is>
      </c>
      <c r="B285" t="inlineStr">
        <is>
          <t>annual.income_statement+spec.revenue.products.period_2</t>
        </is>
      </c>
      <c r="C285" t="inlineStr">
        <is>
          <t>engine_value</t>
        </is>
      </c>
    </row>
    <row r="286">
      <c r="A286" t="inlineStr">
        <is>
          <t>附表5!G7</t>
        </is>
      </c>
      <c r="B286" t="inlineStr">
        <is>
          <t>annual.income_statement+spec.revenue.products.period_3</t>
        </is>
      </c>
      <c r="C286" t="inlineStr">
        <is>
          <t>engine_value</t>
        </is>
      </c>
    </row>
    <row r="287">
      <c r="A287" t="inlineStr">
        <is>
          <t>附表5!H7</t>
        </is>
      </c>
      <c r="B287" t="inlineStr">
        <is>
          <t>annual.income_statement+spec.revenue.products.period_4</t>
        </is>
      </c>
      <c r="C287" t="inlineStr">
        <is>
          <t>engine_value</t>
        </is>
      </c>
    </row>
    <row r="288">
      <c r="A288" t="inlineStr">
        <is>
          <t>附表5!I7</t>
        </is>
      </c>
      <c r="B288" t="inlineStr">
        <is>
          <t>annual.income_statement+spec.revenue.products.period_5</t>
        </is>
      </c>
      <c r="C288" t="inlineStr">
        <is>
          <t>engine_value</t>
        </is>
      </c>
    </row>
    <row r="289">
      <c r="A289" t="inlineStr">
        <is>
          <t>附表5!J7</t>
        </is>
      </c>
      <c r="B289" t="inlineStr">
        <is>
          <t>annual.income_statement+spec.revenue.products.period_6</t>
        </is>
      </c>
      <c r="C289" t="inlineStr">
        <is>
          <t>engine_value</t>
        </is>
      </c>
    </row>
    <row r="290">
      <c r="A290" t="inlineStr">
        <is>
          <t>附表5!K7</t>
        </is>
      </c>
      <c r="B290" t="inlineStr">
        <is>
          <t>annual.income_statement+spec.revenue.products.period_7</t>
        </is>
      </c>
      <c r="C290" t="inlineStr">
        <is>
          <t>engine_value</t>
        </is>
      </c>
    </row>
    <row r="291">
      <c r="A291" t="inlineStr">
        <is>
          <t>附表5!L7</t>
        </is>
      </c>
      <c r="B291" t="inlineStr">
        <is>
          <t>annual.income_statement+spec.revenue.products.period_8</t>
        </is>
      </c>
      <c r="C291" t="inlineStr">
        <is>
          <t>engine_value</t>
        </is>
      </c>
    </row>
    <row r="292">
      <c r="A292" t="inlineStr">
        <is>
          <t>附表5!M7</t>
        </is>
      </c>
      <c r="B292" t="inlineStr">
        <is>
          <t>annual.income_statement+spec.revenue.products.period_9</t>
        </is>
      </c>
      <c r="C292" t="inlineStr">
        <is>
          <t>engine_value</t>
        </is>
      </c>
    </row>
    <row r="293">
      <c r="A293" t="inlineStr">
        <is>
          <t>附表5!N7</t>
        </is>
      </c>
      <c r="B293" t="inlineStr">
        <is>
          <t>annual.income_statement+spec.revenue.products.period_10</t>
        </is>
      </c>
      <c r="C293" t="inlineStr">
        <is>
          <t>engine_value</t>
        </is>
      </c>
    </row>
    <row r="294">
      <c r="A294" t="inlineStr">
        <is>
          <t>附表5!O7</t>
        </is>
      </c>
      <c r="B294" t="inlineStr">
        <is>
          <t>annual.income_statement+spec.revenue.products.period_11</t>
        </is>
      </c>
      <c r="C294" t="inlineStr">
        <is>
          <t>engine_value</t>
        </is>
      </c>
    </row>
    <row r="295">
      <c r="A295" t="inlineStr">
        <is>
          <t>附表5!P7</t>
        </is>
      </c>
      <c r="B295" t="inlineStr">
        <is>
          <t>annual.income_statement+spec.revenue.products.period_12</t>
        </is>
      </c>
      <c r="C295" t="inlineStr">
        <is>
          <t>engine_value</t>
        </is>
      </c>
    </row>
    <row r="296">
      <c r="A296" t="inlineStr">
        <is>
          <t>附表5!Q7</t>
        </is>
      </c>
      <c r="B296" t="inlineStr">
        <is>
          <t>annual.income_statement+spec.revenue.products.period_13</t>
        </is>
      </c>
      <c r="C296" t="inlineStr">
        <is>
          <t>engine_value</t>
        </is>
      </c>
    </row>
    <row r="297">
      <c r="A297" t="inlineStr">
        <is>
          <t>附表5!R7</t>
        </is>
      </c>
      <c r="B297" t="inlineStr">
        <is>
          <t>annual.income_statement+spec.revenue.products.period_14</t>
        </is>
      </c>
      <c r="C297" t="inlineStr">
        <is>
          <t>engine_value</t>
        </is>
      </c>
    </row>
    <row r="298">
      <c r="A298" t="inlineStr">
        <is>
          <t>附表5!S7</t>
        </is>
      </c>
      <c r="B298" t="inlineStr">
        <is>
          <t>annual.income_statement+spec.revenue.products.period_15</t>
        </is>
      </c>
      <c r="C298" t="inlineStr">
        <is>
          <t>engine_value</t>
        </is>
      </c>
    </row>
    <row r="299">
      <c r="A299" t="inlineStr">
        <is>
          <t>附表5!T7</t>
        </is>
      </c>
      <c r="B299" t="inlineStr">
        <is>
          <t>annual.income_statement+spec.revenue.products.period_16</t>
        </is>
      </c>
      <c r="C299" t="inlineStr">
        <is>
          <t>engine_value</t>
        </is>
      </c>
    </row>
    <row r="300">
      <c r="A300" t="inlineStr">
        <is>
          <t>附表5!U7</t>
        </is>
      </c>
      <c r="B300" t="inlineStr">
        <is>
          <t>annual.income_statement+spec.revenue.products.period_17</t>
        </is>
      </c>
      <c r="C300" t="inlineStr">
        <is>
          <t>engine_value</t>
        </is>
      </c>
    </row>
    <row r="301">
      <c r="A301" t="inlineStr">
        <is>
          <t>附表5!V7</t>
        </is>
      </c>
      <c r="B301" t="inlineStr">
        <is>
          <t>annual.income_statement+spec.revenue.products.period_18</t>
        </is>
      </c>
      <c r="C301" t="inlineStr">
        <is>
          <t>engine_value</t>
        </is>
      </c>
    </row>
    <row r="302">
      <c r="A302" t="inlineStr">
        <is>
          <t>附表5!W7</t>
        </is>
      </c>
      <c r="B302" t="inlineStr">
        <is>
          <t>annual.income_statement+spec.revenue.products.period_19</t>
        </is>
      </c>
      <c r="C302" t="inlineStr">
        <is>
          <t>engine_value</t>
        </is>
      </c>
    </row>
    <row r="303">
      <c r="A303" t="inlineStr">
        <is>
          <t>附表5!X7</t>
        </is>
      </c>
      <c r="B303" t="inlineStr">
        <is>
          <t>annual.income_statement+spec.revenue.products.period_20</t>
        </is>
      </c>
      <c r="C303" t="inlineStr">
        <is>
          <t>engine_value</t>
        </is>
      </c>
    </row>
    <row r="304">
      <c r="A304" t="inlineStr">
        <is>
          <t>附表5!Y7</t>
        </is>
      </c>
      <c r="B304" t="inlineStr">
        <is>
          <t>annual.income_statement+spec.revenue.products.period_21</t>
        </is>
      </c>
      <c r="C304" t="inlineStr">
        <is>
          <t>engine_value</t>
        </is>
      </c>
    </row>
    <row r="305">
      <c r="A305" t="inlineStr">
        <is>
          <t>附表5!Z7</t>
        </is>
      </c>
      <c r="B305" t="inlineStr">
        <is>
          <t>annual.income_statement+spec.revenue.products.period_22</t>
        </is>
      </c>
      <c r="C305" t="inlineStr">
        <is>
          <t>engine_value</t>
        </is>
      </c>
    </row>
    <row r="306">
      <c r="A306" t="inlineStr">
        <is>
          <t>附表5!AA7</t>
        </is>
      </c>
      <c r="B306" t="inlineStr">
        <is>
          <t>annual.income_statement+spec.revenue.products.period_23</t>
        </is>
      </c>
      <c r="C306" t="inlineStr">
        <is>
          <t>engine_value</t>
        </is>
      </c>
    </row>
    <row r="307">
      <c r="A307" t="inlineStr">
        <is>
          <t>附表5!AB7</t>
        </is>
      </c>
      <c r="B307" t="inlineStr">
        <is>
          <t>annual.income_statement+spec.revenue.products.period_24</t>
        </is>
      </c>
      <c r="C307" t="inlineStr">
        <is>
          <t>engine_value</t>
        </is>
      </c>
    </row>
    <row r="308">
      <c r="A308" t="inlineStr">
        <is>
          <t>附表5!A8</t>
        </is>
      </c>
      <c r="B308" t="inlineStr">
        <is>
          <t>annual.income_statement+spec.revenue.products.no</t>
        </is>
      </c>
      <c r="C308" t="inlineStr">
        <is>
          <t>engine_value</t>
        </is>
      </c>
    </row>
    <row r="309">
      <c r="A309" t="inlineStr">
        <is>
          <t>附表5!B8</t>
        </is>
      </c>
      <c r="B309" t="inlineStr">
        <is>
          <t>annual.income_statement+spec.revenue.products.item</t>
        </is>
      </c>
      <c r="C309" t="inlineStr">
        <is>
          <t>engine_value</t>
        </is>
      </c>
    </row>
    <row r="310">
      <c r="A310" t="inlineStr">
        <is>
          <t>附表5!C8</t>
        </is>
      </c>
      <c r="B310" t="inlineStr">
        <is>
          <t>annual.income_statement+spec.revenue.products.unit</t>
        </is>
      </c>
      <c r="C310" t="inlineStr">
        <is>
          <t>engine_value</t>
        </is>
      </c>
    </row>
    <row r="311">
      <c r="A311" t="inlineStr">
        <is>
          <t>附表5!D8</t>
        </is>
      </c>
      <c r="B311" t="inlineStr">
        <is>
          <t>annual.income_statement+spec.revenue.products.total</t>
        </is>
      </c>
      <c r="C311" t="inlineStr">
        <is>
          <t>engine_value</t>
        </is>
      </c>
    </row>
    <row r="312">
      <c r="A312" t="inlineStr">
        <is>
          <t>附表5!E8</t>
        </is>
      </c>
      <c r="B312" t="inlineStr">
        <is>
          <t>annual.income_statement+spec.revenue.products.period_1</t>
        </is>
      </c>
      <c r="C312" t="inlineStr">
        <is>
          <t>engine_value</t>
        </is>
      </c>
    </row>
    <row r="313">
      <c r="A313" t="inlineStr">
        <is>
          <t>附表5!F8</t>
        </is>
      </c>
      <c r="B313" t="inlineStr">
        <is>
          <t>annual.income_statement+spec.revenue.products.period_2</t>
        </is>
      </c>
      <c r="C313" t="inlineStr">
        <is>
          <t>engine_value</t>
        </is>
      </c>
    </row>
    <row r="314">
      <c r="A314" t="inlineStr">
        <is>
          <t>附表5!G8</t>
        </is>
      </c>
      <c r="B314" t="inlineStr">
        <is>
          <t>annual.income_statement+spec.revenue.products.period_3</t>
        </is>
      </c>
      <c r="C314" t="inlineStr">
        <is>
          <t>engine_value</t>
        </is>
      </c>
    </row>
    <row r="315">
      <c r="A315" t="inlineStr">
        <is>
          <t>附表5!H8</t>
        </is>
      </c>
      <c r="B315" t="inlineStr">
        <is>
          <t>annual.income_statement+spec.revenue.products.period_4</t>
        </is>
      </c>
      <c r="C315" t="inlineStr">
        <is>
          <t>engine_value</t>
        </is>
      </c>
    </row>
    <row r="316">
      <c r="A316" t="inlineStr">
        <is>
          <t>附表5!I8</t>
        </is>
      </c>
      <c r="B316" t="inlineStr">
        <is>
          <t>annual.income_statement+spec.revenue.products.period_5</t>
        </is>
      </c>
      <c r="C316" t="inlineStr">
        <is>
          <t>engine_value</t>
        </is>
      </c>
    </row>
    <row r="317">
      <c r="A317" t="inlineStr">
        <is>
          <t>附表5!J8</t>
        </is>
      </c>
      <c r="B317" t="inlineStr">
        <is>
          <t>annual.income_statement+spec.revenue.products.period_6</t>
        </is>
      </c>
      <c r="C317" t="inlineStr">
        <is>
          <t>engine_value</t>
        </is>
      </c>
    </row>
    <row r="318">
      <c r="A318" t="inlineStr">
        <is>
          <t>附表5!K8</t>
        </is>
      </c>
      <c r="B318" t="inlineStr">
        <is>
          <t>annual.income_statement+spec.revenue.products.period_7</t>
        </is>
      </c>
      <c r="C318" t="inlineStr">
        <is>
          <t>engine_value</t>
        </is>
      </c>
    </row>
    <row r="319">
      <c r="A319" t="inlineStr">
        <is>
          <t>附表5!L8</t>
        </is>
      </c>
      <c r="B319" t="inlineStr">
        <is>
          <t>annual.income_statement+spec.revenue.products.period_8</t>
        </is>
      </c>
      <c r="C319" t="inlineStr">
        <is>
          <t>engine_value</t>
        </is>
      </c>
    </row>
    <row r="320">
      <c r="A320" t="inlineStr">
        <is>
          <t>附表5!M8</t>
        </is>
      </c>
      <c r="B320" t="inlineStr">
        <is>
          <t>annual.income_statement+spec.revenue.products.period_9</t>
        </is>
      </c>
      <c r="C320" t="inlineStr">
        <is>
          <t>engine_value</t>
        </is>
      </c>
    </row>
    <row r="321">
      <c r="A321" t="inlineStr">
        <is>
          <t>附表5!N8</t>
        </is>
      </c>
      <c r="B321" t="inlineStr">
        <is>
          <t>annual.income_statement+spec.revenue.products.period_10</t>
        </is>
      </c>
      <c r="C321" t="inlineStr">
        <is>
          <t>engine_value</t>
        </is>
      </c>
    </row>
    <row r="322">
      <c r="A322" t="inlineStr">
        <is>
          <t>附表5!O8</t>
        </is>
      </c>
      <c r="B322" t="inlineStr">
        <is>
          <t>annual.income_statement+spec.revenue.products.period_11</t>
        </is>
      </c>
      <c r="C322" t="inlineStr">
        <is>
          <t>engine_value</t>
        </is>
      </c>
    </row>
    <row r="323">
      <c r="A323" t="inlineStr">
        <is>
          <t>附表5!P8</t>
        </is>
      </c>
      <c r="B323" t="inlineStr">
        <is>
          <t>annual.income_statement+spec.revenue.products.period_12</t>
        </is>
      </c>
      <c r="C323" t="inlineStr">
        <is>
          <t>engine_value</t>
        </is>
      </c>
    </row>
    <row r="324">
      <c r="A324" t="inlineStr">
        <is>
          <t>附表5!Q8</t>
        </is>
      </c>
      <c r="B324" t="inlineStr">
        <is>
          <t>annual.income_statement+spec.revenue.products.period_13</t>
        </is>
      </c>
      <c r="C324" t="inlineStr">
        <is>
          <t>engine_value</t>
        </is>
      </c>
    </row>
    <row r="325">
      <c r="A325" t="inlineStr">
        <is>
          <t>附表5!R8</t>
        </is>
      </c>
      <c r="B325" t="inlineStr">
        <is>
          <t>annual.income_statement+spec.revenue.products.period_14</t>
        </is>
      </c>
      <c r="C325" t="inlineStr">
        <is>
          <t>engine_value</t>
        </is>
      </c>
    </row>
    <row r="326">
      <c r="A326" t="inlineStr">
        <is>
          <t>附表5!S8</t>
        </is>
      </c>
      <c r="B326" t="inlineStr">
        <is>
          <t>annual.income_statement+spec.revenue.products.period_15</t>
        </is>
      </c>
      <c r="C326" t="inlineStr">
        <is>
          <t>engine_value</t>
        </is>
      </c>
    </row>
    <row r="327">
      <c r="A327" t="inlineStr">
        <is>
          <t>附表5!T8</t>
        </is>
      </c>
      <c r="B327" t="inlineStr">
        <is>
          <t>annual.income_statement+spec.revenue.products.period_16</t>
        </is>
      </c>
      <c r="C327" t="inlineStr">
        <is>
          <t>engine_value</t>
        </is>
      </c>
    </row>
    <row r="328">
      <c r="A328" t="inlineStr">
        <is>
          <t>附表5!U8</t>
        </is>
      </c>
      <c r="B328" t="inlineStr">
        <is>
          <t>annual.income_statement+spec.revenue.products.period_17</t>
        </is>
      </c>
      <c r="C328" t="inlineStr">
        <is>
          <t>engine_value</t>
        </is>
      </c>
    </row>
    <row r="329">
      <c r="A329" t="inlineStr">
        <is>
          <t>附表5!V8</t>
        </is>
      </c>
      <c r="B329" t="inlineStr">
        <is>
          <t>annual.income_statement+spec.revenue.products.period_18</t>
        </is>
      </c>
      <c r="C329" t="inlineStr">
        <is>
          <t>engine_value</t>
        </is>
      </c>
    </row>
    <row r="330">
      <c r="A330" t="inlineStr">
        <is>
          <t>附表5!W8</t>
        </is>
      </c>
      <c r="B330" t="inlineStr">
        <is>
          <t>annual.income_statement+spec.revenue.products.period_19</t>
        </is>
      </c>
      <c r="C330" t="inlineStr">
        <is>
          <t>engine_value</t>
        </is>
      </c>
    </row>
    <row r="331">
      <c r="A331" t="inlineStr">
        <is>
          <t>附表5!X8</t>
        </is>
      </c>
      <c r="B331" t="inlineStr">
        <is>
          <t>annual.income_statement+spec.revenue.products.period_20</t>
        </is>
      </c>
      <c r="C331" t="inlineStr">
        <is>
          <t>engine_value</t>
        </is>
      </c>
    </row>
    <row r="332">
      <c r="A332" t="inlineStr">
        <is>
          <t>附表5!Y8</t>
        </is>
      </c>
      <c r="B332" t="inlineStr">
        <is>
          <t>annual.income_statement+spec.revenue.products.period_21</t>
        </is>
      </c>
      <c r="C332" t="inlineStr">
        <is>
          <t>engine_value</t>
        </is>
      </c>
    </row>
    <row r="333">
      <c r="A333" t="inlineStr">
        <is>
          <t>附表5!Z8</t>
        </is>
      </c>
      <c r="B333" t="inlineStr">
        <is>
          <t>annual.income_statement+spec.revenue.products.period_22</t>
        </is>
      </c>
      <c r="C333" t="inlineStr">
        <is>
          <t>engine_value</t>
        </is>
      </c>
    </row>
    <row r="334">
      <c r="A334" t="inlineStr">
        <is>
          <t>附表5!AA8</t>
        </is>
      </c>
      <c r="B334" t="inlineStr">
        <is>
          <t>annual.income_statement+spec.revenue.products.period_23</t>
        </is>
      </c>
      <c r="C334" t="inlineStr">
        <is>
          <t>engine_value</t>
        </is>
      </c>
    </row>
    <row r="335">
      <c r="A335" t="inlineStr">
        <is>
          <t>附表5!AB8</t>
        </is>
      </c>
      <c r="B335" t="inlineStr">
        <is>
          <t>annual.income_statement+spec.revenue.products.period_24</t>
        </is>
      </c>
      <c r="C335" t="inlineStr">
        <is>
          <t>engine_value</t>
        </is>
      </c>
    </row>
    <row r="336">
      <c r="A336" t="inlineStr">
        <is>
          <t>附表5!A9</t>
        </is>
      </c>
      <c r="B336" t="inlineStr">
        <is>
          <t>annual.income_statement+spec.revenue.products.no</t>
        </is>
      </c>
      <c r="C336" t="inlineStr">
        <is>
          <t>engine_value</t>
        </is>
      </c>
    </row>
    <row r="337">
      <c r="A337" t="inlineStr">
        <is>
          <t>附表5!B9</t>
        </is>
      </c>
      <c r="B337" t="inlineStr">
        <is>
          <t>annual.income_statement+spec.revenue.products.item</t>
        </is>
      </c>
      <c r="C337" t="inlineStr">
        <is>
          <t>engine_value</t>
        </is>
      </c>
    </row>
    <row r="338">
      <c r="A338" t="inlineStr">
        <is>
          <t>附表5!C9</t>
        </is>
      </c>
      <c r="B338" t="inlineStr">
        <is>
          <t>annual.income_statement+spec.revenue.products.unit</t>
        </is>
      </c>
      <c r="C338" t="inlineStr">
        <is>
          <t>engine_value</t>
        </is>
      </c>
    </row>
    <row r="339">
      <c r="A339" t="inlineStr">
        <is>
          <t>附表5!D9</t>
        </is>
      </c>
      <c r="B339" t="inlineStr">
        <is>
          <t>annual.income_statement+spec.revenue.products.total</t>
        </is>
      </c>
      <c r="C339" t="inlineStr">
        <is>
          <t>engine_value</t>
        </is>
      </c>
    </row>
    <row r="340">
      <c r="A340" t="inlineStr">
        <is>
          <t>附表5!E9</t>
        </is>
      </c>
      <c r="B340" t="inlineStr">
        <is>
          <t>annual.income_statement+spec.revenue.products.period_1</t>
        </is>
      </c>
      <c r="C340" t="inlineStr">
        <is>
          <t>engine_value</t>
        </is>
      </c>
    </row>
    <row r="341">
      <c r="A341" t="inlineStr">
        <is>
          <t>附表5!F9</t>
        </is>
      </c>
      <c r="B341" t="inlineStr">
        <is>
          <t>annual.income_statement+spec.revenue.products.period_2</t>
        </is>
      </c>
      <c r="C341" t="inlineStr">
        <is>
          <t>engine_value</t>
        </is>
      </c>
    </row>
    <row r="342">
      <c r="A342" t="inlineStr">
        <is>
          <t>附表5!G9</t>
        </is>
      </c>
      <c r="B342" t="inlineStr">
        <is>
          <t>annual.income_statement+spec.revenue.products.period_3</t>
        </is>
      </c>
      <c r="C342" t="inlineStr">
        <is>
          <t>engine_value</t>
        </is>
      </c>
    </row>
    <row r="343">
      <c r="A343" t="inlineStr">
        <is>
          <t>附表5!H9</t>
        </is>
      </c>
      <c r="B343" t="inlineStr">
        <is>
          <t>annual.income_statement+spec.revenue.products.period_4</t>
        </is>
      </c>
      <c r="C343" t="inlineStr">
        <is>
          <t>engine_value</t>
        </is>
      </c>
    </row>
    <row r="344">
      <c r="A344" t="inlineStr">
        <is>
          <t>附表5!I9</t>
        </is>
      </c>
      <c r="B344" t="inlineStr">
        <is>
          <t>annual.income_statement+spec.revenue.products.period_5</t>
        </is>
      </c>
      <c r="C344" t="inlineStr">
        <is>
          <t>engine_value</t>
        </is>
      </c>
    </row>
    <row r="345">
      <c r="A345" t="inlineStr">
        <is>
          <t>附表5!J9</t>
        </is>
      </c>
      <c r="B345" t="inlineStr">
        <is>
          <t>annual.income_statement+spec.revenue.products.period_6</t>
        </is>
      </c>
      <c r="C345" t="inlineStr">
        <is>
          <t>engine_value</t>
        </is>
      </c>
    </row>
    <row r="346">
      <c r="A346" t="inlineStr">
        <is>
          <t>附表5!K9</t>
        </is>
      </c>
      <c r="B346" t="inlineStr">
        <is>
          <t>annual.income_statement+spec.revenue.products.period_7</t>
        </is>
      </c>
      <c r="C346" t="inlineStr">
        <is>
          <t>engine_value</t>
        </is>
      </c>
    </row>
    <row r="347">
      <c r="A347" t="inlineStr">
        <is>
          <t>附表5!L9</t>
        </is>
      </c>
      <c r="B347" t="inlineStr">
        <is>
          <t>annual.income_statement+spec.revenue.products.period_8</t>
        </is>
      </c>
      <c r="C347" t="inlineStr">
        <is>
          <t>engine_value</t>
        </is>
      </c>
    </row>
    <row r="348">
      <c r="A348" t="inlineStr">
        <is>
          <t>附表5!M9</t>
        </is>
      </c>
      <c r="B348" t="inlineStr">
        <is>
          <t>annual.income_statement+spec.revenue.products.period_9</t>
        </is>
      </c>
      <c r="C348" t="inlineStr">
        <is>
          <t>engine_value</t>
        </is>
      </c>
    </row>
    <row r="349">
      <c r="A349" t="inlineStr">
        <is>
          <t>附表5!N9</t>
        </is>
      </c>
      <c r="B349" t="inlineStr">
        <is>
          <t>annual.income_statement+spec.revenue.products.period_10</t>
        </is>
      </c>
      <c r="C349" t="inlineStr">
        <is>
          <t>engine_value</t>
        </is>
      </c>
    </row>
    <row r="350">
      <c r="A350" t="inlineStr">
        <is>
          <t>附表5!O9</t>
        </is>
      </c>
      <c r="B350" t="inlineStr">
        <is>
          <t>annual.income_statement+spec.revenue.products.period_11</t>
        </is>
      </c>
      <c r="C350" t="inlineStr">
        <is>
          <t>engine_value</t>
        </is>
      </c>
    </row>
    <row r="351">
      <c r="A351" t="inlineStr">
        <is>
          <t>附表5!P9</t>
        </is>
      </c>
      <c r="B351" t="inlineStr">
        <is>
          <t>annual.income_statement+spec.revenue.products.period_12</t>
        </is>
      </c>
      <c r="C351" t="inlineStr">
        <is>
          <t>engine_value</t>
        </is>
      </c>
    </row>
    <row r="352">
      <c r="A352" t="inlineStr">
        <is>
          <t>附表5!Q9</t>
        </is>
      </c>
      <c r="B352" t="inlineStr">
        <is>
          <t>annual.income_statement+spec.revenue.products.period_13</t>
        </is>
      </c>
      <c r="C352" t="inlineStr">
        <is>
          <t>engine_value</t>
        </is>
      </c>
    </row>
    <row r="353">
      <c r="A353" t="inlineStr">
        <is>
          <t>附表5!R9</t>
        </is>
      </c>
      <c r="B353" t="inlineStr">
        <is>
          <t>annual.income_statement+spec.revenue.products.period_14</t>
        </is>
      </c>
      <c r="C353" t="inlineStr">
        <is>
          <t>engine_value</t>
        </is>
      </c>
    </row>
    <row r="354">
      <c r="A354" t="inlineStr">
        <is>
          <t>附表5!S9</t>
        </is>
      </c>
      <c r="B354" t="inlineStr">
        <is>
          <t>annual.income_statement+spec.revenue.products.period_15</t>
        </is>
      </c>
      <c r="C354" t="inlineStr">
        <is>
          <t>engine_value</t>
        </is>
      </c>
    </row>
    <row r="355">
      <c r="A355" t="inlineStr">
        <is>
          <t>附表5!T9</t>
        </is>
      </c>
      <c r="B355" t="inlineStr">
        <is>
          <t>annual.income_statement+spec.revenue.products.period_16</t>
        </is>
      </c>
      <c r="C355" t="inlineStr">
        <is>
          <t>engine_value</t>
        </is>
      </c>
    </row>
    <row r="356">
      <c r="A356" t="inlineStr">
        <is>
          <t>附表5!U9</t>
        </is>
      </c>
      <c r="B356" t="inlineStr">
        <is>
          <t>annual.income_statement+spec.revenue.products.period_17</t>
        </is>
      </c>
      <c r="C356" t="inlineStr">
        <is>
          <t>engine_value</t>
        </is>
      </c>
    </row>
    <row r="357">
      <c r="A357" t="inlineStr">
        <is>
          <t>附表5!V9</t>
        </is>
      </c>
      <c r="B357" t="inlineStr">
        <is>
          <t>annual.income_statement+spec.revenue.products.period_18</t>
        </is>
      </c>
      <c r="C357" t="inlineStr">
        <is>
          <t>engine_value</t>
        </is>
      </c>
    </row>
    <row r="358">
      <c r="A358" t="inlineStr">
        <is>
          <t>附表5!W9</t>
        </is>
      </c>
      <c r="B358" t="inlineStr">
        <is>
          <t>annual.income_statement+spec.revenue.products.period_19</t>
        </is>
      </c>
      <c r="C358" t="inlineStr">
        <is>
          <t>engine_value</t>
        </is>
      </c>
    </row>
    <row r="359">
      <c r="A359" t="inlineStr">
        <is>
          <t>附表5!X9</t>
        </is>
      </c>
      <c r="B359" t="inlineStr">
        <is>
          <t>annual.income_statement+spec.revenue.products.period_20</t>
        </is>
      </c>
      <c r="C359" t="inlineStr">
        <is>
          <t>engine_value</t>
        </is>
      </c>
    </row>
    <row r="360">
      <c r="A360" t="inlineStr">
        <is>
          <t>附表5!Y9</t>
        </is>
      </c>
      <c r="B360" t="inlineStr">
        <is>
          <t>annual.income_statement+spec.revenue.products.period_21</t>
        </is>
      </c>
      <c r="C360" t="inlineStr">
        <is>
          <t>engine_value</t>
        </is>
      </c>
    </row>
    <row r="361">
      <c r="A361" t="inlineStr">
        <is>
          <t>附表5!Z9</t>
        </is>
      </c>
      <c r="B361" t="inlineStr">
        <is>
          <t>annual.income_statement+spec.revenue.products.period_22</t>
        </is>
      </c>
      <c r="C361" t="inlineStr">
        <is>
          <t>engine_value</t>
        </is>
      </c>
    </row>
    <row r="362">
      <c r="A362" t="inlineStr">
        <is>
          <t>附表5!AA9</t>
        </is>
      </c>
      <c r="B362" t="inlineStr">
        <is>
          <t>annual.income_statement+spec.revenue.products.period_23</t>
        </is>
      </c>
      <c r="C362" t="inlineStr">
        <is>
          <t>engine_value</t>
        </is>
      </c>
    </row>
    <row r="363">
      <c r="A363" t="inlineStr">
        <is>
          <t>附表5!AB9</t>
        </is>
      </c>
      <c r="B363" t="inlineStr">
        <is>
          <t>annual.income_statement+spec.revenue.products.period_24</t>
        </is>
      </c>
      <c r="C363" t="inlineStr">
        <is>
          <t>engine_value</t>
        </is>
      </c>
    </row>
    <row r="364">
      <c r="A364" t="inlineStr">
        <is>
          <t>附表5!A10</t>
        </is>
      </c>
      <c r="B364" t="inlineStr">
        <is>
          <t>annual.income_statement+spec.revenue.products.no</t>
        </is>
      </c>
      <c r="C364" t="inlineStr">
        <is>
          <t>engine_value</t>
        </is>
      </c>
    </row>
    <row r="365">
      <c r="A365" t="inlineStr">
        <is>
          <t>附表5!B10</t>
        </is>
      </c>
      <c r="B365" t="inlineStr">
        <is>
          <t>annual.income_statement+spec.revenue.products.item</t>
        </is>
      </c>
      <c r="C365" t="inlineStr">
        <is>
          <t>engine_value</t>
        </is>
      </c>
    </row>
    <row r="366">
      <c r="A366" t="inlineStr">
        <is>
          <t>附表5!C10</t>
        </is>
      </c>
      <c r="B366" t="inlineStr">
        <is>
          <t>annual.income_statement+spec.revenue.products.unit</t>
        </is>
      </c>
      <c r="C366" t="inlineStr">
        <is>
          <t>engine_value</t>
        </is>
      </c>
    </row>
    <row r="367">
      <c r="A367" t="inlineStr">
        <is>
          <t>附表5!D10</t>
        </is>
      </c>
      <c r="B367" t="inlineStr">
        <is>
          <t>annual.income_statement+spec.revenue.products.total</t>
        </is>
      </c>
      <c r="C367" t="inlineStr">
        <is>
          <t>engine_value</t>
        </is>
      </c>
    </row>
    <row r="368">
      <c r="A368" t="inlineStr">
        <is>
          <t>附表5!E10</t>
        </is>
      </c>
      <c r="B368" t="inlineStr">
        <is>
          <t>annual.income_statement+spec.revenue.products.period_1</t>
        </is>
      </c>
      <c r="C368" t="inlineStr">
        <is>
          <t>engine_value</t>
        </is>
      </c>
    </row>
    <row r="369">
      <c r="A369" t="inlineStr">
        <is>
          <t>附表5!F10</t>
        </is>
      </c>
      <c r="B369" t="inlineStr">
        <is>
          <t>annual.income_statement+spec.revenue.products.period_2</t>
        </is>
      </c>
      <c r="C369" t="inlineStr">
        <is>
          <t>engine_value</t>
        </is>
      </c>
    </row>
    <row r="370">
      <c r="A370" t="inlineStr">
        <is>
          <t>附表5!G10</t>
        </is>
      </c>
      <c r="B370" t="inlineStr">
        <is>
          <t>annual.income_statement+spec.revenue.products.period_3</t>
        </is>
      </c>
      <c r="C370" t="inlineStr">
        <is>
          <t>engine_value</t>
        </is>
      </c>
    </row>
    <row r="371">
      <c r="A371" t="inlineStr">
        <is>
          <t>附表5!H10</t>
        </is>
      </c>
      <c r="B371" t="inlineStr">
        <is>
          <t>annual.income_statement+spec.revenue.products.period_4</t>
        </is>
      </c>
      <c r="C371" t="inlineStr">
        <is>
          <t>engine_value</t>
        </is>
      </c>
    </row>
    <row r="372">
      <c r="A372" t="inlineStr">
        <is>
          <t>附表5!I10</t>
        </is>
      </c>
      <c r="B372" t="inlineStr">
        <is>
          <t>annual.income_statement+spec.revenue.products.period_5</t>
        </is>
      </c>
      <c r="C372" t="inlineStr">
        <is>
          <t>engine_value</t>
        </is>
      </c>
    </row>
    <row r="373">
      <c r="A373" t="inlineStr">
        <is>
          <t>附表5!J10</t>
        </is>
      </c>
      <c r="B373" t="inlineStr">
        <is>
          <t>annual.income_statement+spec.revenue.products.period_6</t>
        </is>
      </c>
      <c r="C373" t="inlineStr">
        <is>
          <t>engine_value</t>
        </is>
      </c>
    </row>
    <row r="374">
      <c r="A374" t="inlineStr">
        <is>
          <t>附表5!K10</t>
        </is>
      </c>
      <c r="B374" t="inlineStr">
        <is>
          <t>annual.income_statement+spec.revenue.products.period_7</t>
        </is>
      </c>
      <c r="C374" t="inlineStr">
        <is>
          <t>engine_value</t>
        </is>
      </c>
    </row>
    <row r="375">
      <c r="A375" t="inlineStr">
        <is>
          <t>附表5!L10</t>
        </is>
      </c>
      <c r="B375" t="inlineStr">
        <is>
          <t>annual.income_statement+spec.revenue.products.period_8</t>
        </is>
      </c>
      <c r="C375" t="inlineStr">
        <is>
          <t>engine_value</t>
        </is>
      </c>
    </row>
    <row r="376">
      <c r="A376" t="inlineStr">
        <is>
          <t>附表5!M10</t>
        </is>
      </c>
      <c r="B376" t="inlineStr">
        <is>
          <t>annual.income_statement+spec.revenue.products.period_9</t>
        </is>
      </c>
      <c r="C376" t="inlineStr">
        <is>
          <t>engine_value</t>
        </is>
      </c>
    </row>
    <row r="377">
      <c r="A377" t="inlineStr">
        <is>
          <t>附表5!N10</t>
        </is>
      </c>
      <c r="B377" t="inlineStr">
        <is>
          <t>annual.income_statement+spec.revenue.products.period_10</t>
        </is>
      </c>
      <c r="C377" t="inlineStr">
        <is>
          <t>engine_value</t>
        </is>
      </c>
    </row>
    <row r="378">
      <c r="A378" t="inlineStr">
        <is>
          <t>附表5!O10</t>
        </is>
      </c>
      <c r="B378" t="inlineStr">
        <is>
          <t>annual.income_statement+spec.revenue.products.period_11</t>
        </is>
      </c>
      <c r="C378" t="inlineStr">
        <is>
          <t>engine_value</t>
        </is>
      </c>
    </row>
    <row r="379">
      <c r="A379" t="inlineStr">
        <is>
          <t>附表5!P10</t>
        </is>
      </c>
      <c r="B379" t="inlineStr">
        <is>
          <t>annual.income_statement+spec.revenue.products.period_12</t>
        </is>
      </c>
      <c r="C379" t="inlineStr">
        <is>
          <t>engine_value</t>
        </is>
      </c>
    </row>
    <row r="380">
      <c r="A380" t="inlineStr">
        <is>
          <t>附表5!Q10</t>
        </is>
      </c>
      <c r="B380" t="inlineStr">
        <is>
          <t>annual.income_statement+spec.revenue.products.period_13</t>
        </is>
      </c>
      <c r="C380" t="inlineStr">
        <is>
          <t>engine_value</t>
        </is>
      </c>
    </row>
    <row r="381">
      <c r="A381" t="inlineStr">
        <is>
          <t>附表5!R10</t>
        </is>
      </c>
      <c r="B381" t="inlineStr">
        <is>
          <t>annual.income_statement+spec.revenue.products.period_14</t>
        </is>
      </c>
      <c r="C381" t="inlineStr">
        <is>
          <t>engine_value</t>
        </is>
      </c>
    </row>
    <row r="382">
      <c r="A382" t="inlineStr">
        <is>
          <t>附表5!S10</t>
        </is>
      </c>
      <c r="B382" t="inlineStr">
        <is>
          <t>annual.income_statement+spec.revenue.products.period_15</t>
        </is>
      </c>
      <c r="C382" t="inlineStr">
        <is>
          <t>engine_value</t>
        </is>
      </c>
    </row>
    <row r="383">
      <c r="A383" t="inlineStr">
        <is>
          <t>附表5!T10</t>
        </is>
      </c>
      <c r="B383" t="inlineStr">
        <is>
          <t>annual.income_statement+spec.revenue.products.period_16</t>
        </is>
      </c>
      <c r="C383" t="inlineStr">
        <is>
          <t>engine_value</t>
        </is>
      </c>
    </row>
    <row r="384">
      <c r="A384" t="inlineStr">
        <is>
          <t>附表5!U10</t>
        </is>
      </c>
      <c r="B384" t="inlineStr">
        <is>
          <t>annual.income_statement+spec.revenue.products.period_17</t>
        </is>
      </c>
      <c r="C384" t="inlineStr">
        <is>
          <t>engine_value</t>
        </is>
      </c>
    </row>
    <row r="385">
      <c r="A385" t="inlineStr">
        <is>
          <t>附表5!V10</t>
        </is>
      </c>
      <c r="B385" t="inlineStr">
        <is>
          <t>annual.income_statement+spec.revenue.products.period_18</t>
        </is>
      </c>
      <c r="C385" t="inlineStr">
        <is>
          <t>engine_value</t>
        </is>
      </c>
    </row>
    <row r="386">
      <c r="A386" t="inlineStr">
        <is>
          <t>附表5!W10</t>
        </is>
      </c>
      <c r="B386" t="inlineStr">
        <is>
          <t>annual.income_statement+spec.revenue.products.period_19</t>
        </is>
      </c>
      <c r="C386" t="inlineStr">
        <is>
          <t>engine_value</t>
        </is>
      </c>
    </row>
    <row r="387">
      <c r="A387" t="inlineStr">
        <is>
          <t>附表5!X10</t>
        </is>
      </c>
      <c r="B387" t="inlineStr">
        <is>
          <t>annual.income_statement+spec.revenue.products.period_20</t>
        </is>
      </c>
      <c r="C387" t="inlineStr">
        <is>
          <t>engine_value</t>
        </is>
      </c>
    </row>
    <row r="388">
      <c r="A388" t="inlineStr">
        <is>
          <t>附表5!Y10</t>
        </is>
      </c>
      <c r="B388" t="inlineStr">
        <is>
          <t>annual.income_statement+spec.revenue.products.period_21</t>
        </is>
      </c>
      <c r="C388" t="inlineStr">
        <is>
          <t>engine_value</t>
        </is>
      </c>
    </row>
    <row r="389">
      <c r="A389" t="inlineStr">
        <is>
          <t>附表5!Z10</t>
        </is>
      </c>
      <c r="B389" t="inlineStr">
        <is>
          <t>annual.income_statement+spec.revenue.products.period_22</t>
        </is>
      </c>
      <c r="C389" t="inlineStr">
        <is>
          <t>engine_value</t>
        </is>
      </c>
    </row>
    <row r="390">
      <c r="A390" t="inlineStr">
        <is>
          <t>附表5!AA10</t>
        </is>
      </c>
      <c r="B390" t="inlineStr">
        <is>
          <t>annual.income_statement+spec.revenue.products.period_23</t>
        </is>
      </c>
      <c r="C390" t="inlineStr">
        <is>
          <t>engine_value</t>
        </is>
      </c>
    </row>
    <row r="391">
      <c r="A391" t="inlineStr">
        <is>
          <t>附表5!AB10</t>
        </is>
      </c>
      <c r="B391" t="inlineStr">
        <is>
          <t>annual.income_statement+spec.revenue.products.period_24</t>
        </is>
      </c>
      <c r="C391" t="inlineStr">
        <is>
          <t>engine_value</t>
        </is>
      </c>
    </row>
    <row r="392">
      <c r="A392" t="inlineStr">
        <is>
          <t>附表5!A11</t>
        </is>
      </c>
      <c r="B392" t="inlineStr">
        <is>
          <t>annual.income_statement+spec.revenue.products.no</t>
        </is>
      </c>
      <c r="C392" t="inlineStr">
        <is>
          <t>engine_value</t>
        </is>
      </c>
    </row>
    <row r="393">
      <c r="A393" t="inlineStr">
        <is>
          <t>附表5!B11</t>
        </is>
      </c>
      <c r="B393" t="inlineStr">
        <is>
          <t>annual.income_statement+spec.revenue.products.item</t>
        </is>
      </c>
      <c r="C393" t="inlineStr">
        <is>
          <t>engine_value</t>
        </is>
      </c>
    </row>
    <row r="394">
      <c r="A394" t="inlineStr">
        <is>
          <t>附表5!C11</t>
        </is>
      </c>
      <c r="B394" t="inlineStr">
        <is>
          <t>annual.income_statement+spec.revenue.products.unit</t>
        </is>
      </c>
      <c r="C394" t="inlineStr">
        <is>
          <t>engine_value</t>
        </is>
      </c>
    </row>
    <row r="395">
      <c r="A395" t="inlineStr">
        <is>
          <t>附表5!D11</t>
        </is>
      </c>
      <c r="B395" t="inlineStr">
        <is>
          <t>annual.income_statement+spec.revenue.products.total</t>
        </is>
      </c>
      <c r="C395" t="inlineStr">
        <is>
          <t>engine_value</t>
        </is>
      </c>
    </row>
    <row r="396">
      <c r="A396" t="inlineStr">
        <is>
          <t>附表5!E11</t>
        </is>
      </c>
      <c r="B396" t="inlineStr">
        <is>
          <t>annual.income_statement+spec.revenue.products.period_1</t>
        </is>
      </c>
      <c r="C396" t="inlineStr">
        <is>
          <t>engine_value</t>
        </is>
      </c>
    </row>
    <row r="397">
      <c r="A397" t="inlineStr">
        <is>
          <t>附表5!F11</t>
        </is>
      </c>
      <c r="B397" t="inlineStr">
        <is>
          <t>annual.income_statement+spec.revenue.products.period_2</t>
        </is>
      </c>
      <c r="C397" t="inlineStr">
        <is>
          <t>engine_value</t>
        </is>
      </c>
    </row>
    <row r="398">
      <c r="A398" t="inlineStr">
        <is>
          <t>附表5!G11</t>
        </is>
      </c>
      <c r="B398" t="inlineStr">
        <is>
          <t>annual.income_statement+spec.revenue.products.period_3</t>
        </is>
      </c>
      <c r="C398" t="inlineStr">
        <is>
          <t>engine_value</t>
        </is>
      </c>
    </row>
    <row r="399">
      <c r="A399" t="inlineStr">
        <is>
          <t>附表5!H11</t>
        </is>
      </c>
      <c r="B399" t="inlineStr">
        <is>
          <t>annual.income_statement+spec.revenue.products.period_4</t>
        </is>
      </c>
      <c r="C399" t="inlineStr">
        <is>
          <t>engine_value</t>
        </is>
      </c>
    </row>
    <row r="400">
      <c r="A400" t="inlineStr">
        <is>
          <t>附表5!I11</t>
        </is>
      </c>
      <c r="B400" t="inlineStr">
        <is>
          <t>annual.income_statement+spec.revenue.products.period_5</t>
        </is>
      </c>
      <c r="C400" t="inlineStr">
        <is>
          <t>engine_value</t>
        </is>
      </c>
    </row>
    <row r="401">
      <c r="A401" t="inlineStr">
        <is>
          <t>附表5!J11</t>
        </is>
      </c>
      <c r="B401" t="inlineStr">
        <is>
          <t>annual.income_statement+spec.revenue.products.period_6</t>
        </is>
      </c>
      <c r="C401" t="inlineStr">
        <is>
          <t>engine_value</t>
        </is>
      </c>
    </row>
    <row r="402">
      <c r="A402" t="inlineStr">
        <is>
          <t>附表5!K11</t>
        </is>
      </c>
      <c r="B402" t="inlineStr">
        <is>
          <t>annual.income_statement+spec.revenue.products.period_7</t>
        </is>
      </c>
      <c r="C402" t="inlineStr">
        <is>
          <t>engine_value</t>
        </is>
      </c>
    </row>
    <row r="403">
      <c r="A403" t="inlineStr">
        <is>
          <t>附表5!L11</t>
        </is>
      </c>
      <c r="B403" t="inlineStr">
        <is>
          <t>annual.income_statement+spec.revenue.products.period_8</t>
        </is>
      </c>
      <c r="C403" t="inlineStr">
        <is>
          <t>engine_value</t>
        </is>
      </c>
    </row>
    <row r="404">
      <c r="A404" t="inlineStr">
        <is>
          <t>附表5!M11</t>
        </is>
      </c>
      <c r="B404" t="inlineStr">
        <is>
          <t>annual.income_statement+spec.revenue.products.period_9</t>
        </is>
      </c>
      <c r="C404" t="inlineStr">
        <is>
          <t>engine_value</t>
        </is>
      </c>
    </row>
    <row r="405">
      <c r="A405" t="inlineStr">
        <is>
          <t>附表5!N11</t>
        </is>
      </c>
      <c r="B405" t="inlineStr">
        <is>
          <t>annual.income_statement+spec.revenue.products.period_10</t>
        </is>
      </c>
      <c r="C405" t="inlineStr">
        <is>
          <t>engine_value</t>
        </is>
      </c>
    </row>
    <row r="406">
      <c r="A406" t="inlineStr">
        <is>
          <t>附表5!O11</t>
        </is>
      </c>
      <c r="B406" t="inlineStr">
        <is>
          <t>annual.income_statement+spec.revenue.products.period_11</t>
        </is>
      </c>
      <c r="C406" t="inlineStr">
        <is>
          <t>engine_value</t>
        </is>
      </c>
    </row>
    <row r="407">
      <c r="A407" t="inlineStr">
        <is>
          <t>附表5!P11</t>
        </is>
      </c>
      <c r="B407" t="inlineStr">
        <is>
          <t>annual.income_statement+spec.revenue.products.period_12</t>
        </is>
      </c>
      <c r="C407" t="inlineStr">
        <is>
          <t>engine_value</t>
        </is>
      </c>
    </row>
    <row r="408">
      <c r="A408" t="inlineStr">
        <is>
          <t>附表5!Q11</t>
        </is>
      </c>
      <c r="B408" t="inlineStr">
        <is>
          <t>annual.income_statement+spec.revenue.products.period_13</t>
        </is>
      </c>
      <c r="C408" t="inlineStr">
        <is>
          <t>engine_value</t>
        </is>
      </c>
    </row>
    <row r="409">
      <c r="A409" t="inlineStr">
        <is>
          <t>附表5!R11</t>
        </is>
      </c>
      <c r="B409" t="inlineStr">
        <is>
          <t>annual.income_statement+spec.revenue.products.period_14</t>
        </is>
      </c>
      <c r="C409" t="inlineStr">
        <is>
          <t>engine_value</t>
        </is>
      </c>
    </row>
    <row r="410">
      <c r="A410" t="inlineStr">
        <is>
          <t>附表5!S11</t>
        </is>
      </c>
      <c r="B410" t="inlineStr">
        <is>
          <t>annual.income_statement+spec.revenue.products.period_15</t>
        </is>
      </c>
      <c r="C410" t="inlineStr">
        <is>
          <t>engine_value</t>
        </is>
      </c>
    </row>
    <row r="411">
      <c r="A411" t="inlineStr">
        <is>
          <t>附表5!T11</t>
        </is>
      </c>
      <c r="B411" t="inlineStr">
        <is>
          <t>annual.income_statement+spec.revenue.products.period_16</t>
        </is>
      </c>
      <c r="C411" t="inlineStr">
        <is>
          <t>engine_value</t>
        </is>
      </c>
    </row>
    <row r="412">
      <c r="A412" t="inlineStr">
        <is>
          <t>附表5!U11</t>
        </is>
      </c>
      <c r="B412" t="inlineStr">
        <is>
          <t>annual.income_statement+spec.revenue.products.period_17</t>
        </is>
      </c>
      <c r="C412" t="inlineStr">
        <is>
          <t>engine_value</t>
        </is>
      </c>
    </row>
    <row r="413">
      <c r="A413" t="inlineStr">
        <is>
          <t>附表5!V11</t>
        </is>
      </c>
      <c r="B413" t="inlineStr">
        <is>
          <t>annual.income_statement+spec.revenue.products.period_18</t>
        </is>
      </c>
      <c r="C413" t="inlineStr">
        <is>
          <t>engine_value</t>
        </is>
      </c>
    </row>
    <row r="414">
      <c r="A414" t="inlineStr">
        <is>
          <t>附表5!W11</t>
        </is>
      </c>
      <c r="B414" t="inlineStr">
        <is>
          <t>annual.income_statement+spec.revenue.products.period_19</t>
        </is>
      </c>
      <c r="C414" t="inlineStr">
        <is>
          <t>engine_value</t>
        </is>
      </c>
    </row>
    <row r="415">
      <c r="A415" t="inlineStr">
        <is>
          <t>附表5!X11</t>
        </is>
      </c>
      <c r="B415" t="inlineStr">
        <is>
          <t>annual.income_statement+spec.revenue.products.period_20</t>
        </is>
      </c>
      <c r="C415" t="inlineStr">
        <is>
          <t>engine_value</t>
        </is>
      </c>
    </row>
    <row r="416">
      <c r="A416" t="inlineStr">
        <is>
          <t>附表5!Y11</t>
        </is>
      </c>
      <c r="B416" t="inlineStr">
        <is>
          <t>annual.income_statement+spec.revenue.products.period_21</t>
        </is>
      </c>
      <c r="C416" t="inlineStr">
        <is>
          <t>engine_value</t>
        </is>
      </c>
    </row>
    <row r="417">
      <c r="A417" t="inlineStr">
        <is>
          <t>附表5!Z11</t>
        </is>
      </c>
      <c r="B417" t="inlineStr">
        <is>
          <t>annual.income_statement+spec.revenue.products.period_22</t>
        </is>
      </c>
      <c r="C417" t="inlineStr">
        <is>
          <t>engine_value</t>
        </is>
      </c>
    </row>
    <row r="418">
      <c r="A418" t="inlineStr">
        <is>
          <t>附表5!AA11</t>
        </is>
      </c>
      <c r="B418" t="inlineStr">
        <is>
          <t>annual.income_statement+spec.revenue.products.period_23</t>
        </is>
      </c>
      <c r="C418" t="inlineStr">
        <is>
          <t>engine_value</t>
        </is>
      </c>
    </row>
    <row r="419">
      <c r="A419" t="inlineStr">
        <is>
          <t>附表5!AB11</t>
        </is>
      </c>
      <c r="B419" t="inlineStr">
        <is>
          <t>annual.income_statement+spec.revenue.products.period_24</t>
        </is>
      </c>
      <c r="C419" t="inlineStr">
        <is>
          <t>engine_value</t>
        </is>
      </c>
    </row>
    <row r="420">
      <c r="A420" t="inlineStr">
        <is>
          <t>附表5!A12</t>
        </is>
      </c>
      <c r="B420" t="inlineStr">
        <is>
          <t>annual.income_statement+spec.revenue.products.no</t>
        </is>
      </c>
      <c r="C420" t="inlineStr">
        <is>
          <t>engine_value</t>
        </is>
      </c>
    </row>
    <row r="421">
      <c r="A421" t="inlineStr">
        <is>
          <t>附表5!B12</t>
        </is>
      </c>
      <c r="B421" t="inlineStr">
        <is>
          <t>annual.income_statement+spec.revenue.products.item</t>
        </is>
      </c>
      <c r="C421" t="inlineStr">
        <is>
          <t>engine_value</t>
        </is>
      </c>
    </row>
    <row r="422">
      <c r="A422" t="inlineStr">
        <is>
          <t>附表5!C12</t>
        </is>
      </c>
      <c r="B422" t="inlineStr">
        <is>
          <t>annual.income_statement+spec.revenue.products.unit</t>
        </is>
      </c>
      <c r="C422" t="inlineStr">
        <is>
          <t>engine_value</t>
        </is>
      </c>
    </row>
    <row r="423">
      <c r="A423" t="inlineStr">
        <is>
          <t>附表5!D12</t>
        </is>
      </c>
      <c r="B423" t="inlineStr">
        <is>
          <t>annual.income_statement+spec.revenue.products.total</t>
        </is>
      </c>
      <c r="C423" t="inlineStr">
        <is>
          <t>engine_value</t>
        </is>
      </c>
    </row>
    <row r="424">
      <c r="A424" t="inlineStr">
        <is>
          <t>附表5!E12</t>
        </is>
      </c>
      <c r="B424" t="inlineStr">
        <is>
          <t>annual.income_statement+spec.revenue.products.period_1</t>
        </is>
      </c>
      <c r="C424" t="inlineStr">
        <is>
          <t>engine_value</t>
        </is>
      </c>
    </row>
    <row r="425">
      <c r="A425" t="inlineStr">
        <is>
          <t>附表5!F12</t>
        </is>
      </c>
      <c r="B425" t="inlineStr">
        <is>
          <t>annual.income_statement+spec.revenue.products.period_2</t>
        </is>
      </c>
      <c r="C425" t="inlineStr">
        <is>
          <t>engine_value</t>
        </is>
      </c>
    </row>
    <row r="426">
      <c r="A426" t="inlineStr">
        <is>
          <t>附表5!G12</t>
        </is>
      </c>
      <c r="B426" t="inlineStr">
        <is>
          <t>annual.income_statement+spec.revenue.products.period_3</t>
        </is>
      </c>
      <c r="C426" t="inlineStr">
        <is>
          <t>engine_value</t>
        </is>
      </c>
    </row>
    <row r="427">
      <c r="A427" t="inlineStr">
        <is>
          <t>附表5!H12</t>
        </is>
      </c>
      <c r="B427" t="inlineStr">
        <is>
          <t>annual.income_statement+spec.revenue.products.period_4</t>
        </is>
      </c>
      <c r="C427" t="inlineStr">
        <is>
          <t>engine_value</t>
        </is>
      </c>
    </row>
    <row r="428">
      <c r="A428" t="inlineStr">
        <is>
          <t>附表5!I12</t>
        </is>
      </c>
      <c r="B428" t="inlineStr">
        <is>
          <t>annual.income_statement+spec.revenue.products.period_5</t>
        </is>
      </c>
      <c r="C428" t="inlineStr">
        <is>
          <t>engine_value</t>
        </is>
      </c>
    </row>
    <row r="429">
      <c r="A429" t="inlineStr">
        <is>
          <t>附表5!J12</t>
        </is>
      </c>
      <c r="B429" t="inlineStr">
        <is>
          <t>annual.income_statement+spec.revenue.products.period_6</t>
        </is>
      </c>
      <c r="C429" t="inlineStr">
        <is>
          <t>engine_value</t>
        </is>
      </c>
    </row>
    <row r="430">
      <c r="A430" t="inlineStr">
        <is>
          <t>附表5!K12</t>
        </is>
      </c>
      <c r="B430" t="inlineStr">
        <is>
          <t>annual.income_statement+spec.revenue.products.period_7</t>
        </is>
      </c>
      <c r="C430" t="inlineStr">
        <is>
          <t>engine_value</t>
        </is>
      </c>
    </row>
    <row r="431">
      <c r="A431" t="inlineStr">
        <is>
          <t>附表5!L12</t>
        </is>
      </c>
      <c r="B431" t="inlineStr">
        <is>
          <t>annual.income_statement+spec.revenue.products.period_8</t>
        </is>
      </c>
      <c r="C431" t="inlineStr">
        <is>
          <t>engine_value</t>
        </is>
      </c>
    </row>
    <row r="432">
      <c r="A432" t="inlineStr">
        <is>
          <t>附表5!M12</t>
        </is>
      </c>
      <c r="B432" t="inlineStr">
        <is>
          <t>annual.income_statement+spec.revenue.products.period_9</t>
        </is>
      </c>
      <c r="C432" t="inlineStr">
        <is>
          <t>engine_value</t>
        </is>
      </c>
    </row>
    <row r="433">
      <c r="A433" t="inlineStr">
        <is>
          <t>附表5!N12</t>
        </is>
      </c>
      <c r="B433" t="inlineStr">
        <is>
          <t>annual.income_statement+spec.revenue.products.period_10</t>
        </is>
      </c>
      <c r="C433" t="inlineStr">
        <is>
          <t>engine_value</t>
        </is>
      </c>
    </row>
    <row r="434">
      <c r="A434" t="inlineStr">
        <is>
          <t>附表5!O12</t>
        </is>
      </c>
      <c r="B434" t="inlineStr">
        <is>
          <t>annual.income_statement+spec.revenue.products.period_11</t>
        </is>
      </c>
      <c r="C434" t="inlineStr">
        <is>
          <t>engine_value</t>
        </is>
      </c>
    </row>
    <row r="435">
      <c r="A435" t="inlineStr">
        <is>
          <t>附表5!P12</t>
        </is>
      </c>
      <c r="B435" t="inlineStr">
        <is>
          <t>annual.income_statement+spec.revenue.products.period_12</t>
        </is>
      </c>
      <c r="C435" t="inlineStr">
        <is>
          <t>engine_value</t>
        </is>
      </c>
    </row>
    <row r="436">
      <c r="A436" t="inlineStr">
        <is>
          <t>附表5!Q12</t>
        </is>
      </c>
      <c r="B436" t="inlineStr">
        <is>
          <t>annual.income_statement+spec.revenue.products.period_13</t>
        </is>
      </c>
      <c r="C436" t="inlineStr">
        <is>
          <t>engine_value</t>
        </is>
      </c>
    </row>
    <row r="437">
      <c r="A437" t="inlineStr">
        <is>
          <t>附表5!R12</t>
        </is>
      </c>
      <c r="B437" t="inlineStr">
        <is>
          <t>annual.income_statement+spec.revenue.products.period_14</t>
        </is>
      </c>
      <c r="C437" t="inlineStr">
        <is>
          <t>engine_value</t>
        </is>
      </c>
    </row>
    <row r="438">
      <c r="A438" t="inlineStr">
        <is>
          <t>附表5!S12</t>
        </is>
      </c>
      <c r="B438" t="inlineStr">
        <is>
          <t>annual.income_statement+spec.revenue.products.period_15</t>
        </is>
      </c>
      <c r="C438" t="inlineStr">
        <is>
          <t>engine_value</t>
        </is>
      </c>
    </row>
    <row r="439">
      <c r="A439" t="inlineStr">
        <is>
          <t>附表5!T12</t>
        </is>
      </c>
      <c r="B439" t="inlineStr">
        <is>
          <t>annual.income_statement+spec.revenue.products.period_16</t>
        </is>
      </c>
      <c r="C439" t="inlineStr">
        <is>
          <t>engine_value</t>
        </is>
      </c>
    </row>
    <row r="440">
      <c r="A440" t="inlineStr">
        <is>
          <t>附表5!U12</t>
        </is>
      </c>
      <c r="B440" t="inlineStr">
        <is>
          <t>annual.income_statement+spec.revenue.products.period_17</t>
        </is>
      </c>
      <c r="C440" t="inlineStr">
        <is>
          <t>engine_value</t>
        </is>
      </c>
    </row>
    <row r="441">
      <c r="A441" t="inlineStr">
        <is>
          <t>附表5!V12</t>
        </is>
      </c>
      <c r="B441" t="inlineStr">
        <is>
          <t>annual.income_statement+spec.revenue.products.period_18</t>
        </is>
      </c>
      <c r="C441" t="inlineStr">
        <is>
          <t>engine_value</t>
        </is>
      </c>
    </row>
    <row r="442">
      <c r="A442" t="inlineStr">
        <is>
          <t>附表5!W12</t>
        </is>
      </c>
      <c r="B442" t="inlineStr">
        <is>
          <t>annual.income_statement+spec.revenue.products.period_19</t>
        </is>
      </c>
      <c r="C442" t="inlineStr">
        <is>
          <t>engine_value</t>
        </is>
      </c>
    </row>
    <row r="443">
      <c r="A443" t="inlineStr">
        <is>
          <t>附表5!X12</t>
        </is>
      </c>
      <c r="B443" t="inlineStr">
        <is>
          <t>annual.income_statement+spec.revenue.products.period_20</t>
        </is>
      </c>
      <c r="C443" t="inlineStr">
        <is>
          <t>engine_value</t>
        </is>
      </c>
    </row>
    <row r="444">
      <c r="A444" t="inlineStr">
        <is>
          <t>附表5!Y12</t>
        </is>
      </c>
      <c r="B444" t="inlineStr">
        <is>
          <t>annual.income_statement+spec.revenue.products.period_21</t>
        </is>
      </c>
      <c r="C444" t="inlineStr">
        <is>
          <t>engine_value</t>
        </is>
      </c>
    </row>
    <row r="445">
      <c r="A445" t="inlineStr">
        <is>
          <t>附表5!Z12</t>
        </is>
      </c>
      <c r="B445" t="inlineStr">
        <is>
          <t>annual.income_statement+spec.revenue.products.period_22</t>
        </is>
      </c>
      <c r="C445" t="inlineStr">
        <is>
          <t>engine_value</t>
        </is>
      </c>
    </row>
    <row r="446">
      <c r="A446" t="inlineStr">
        <is>
          <t>附表5!AA12</t>
        </is>
      </c>
      <c r="B446" t="inlineStr">
        <is>
          <t>annual.income_statement+spec.revenue.products.period_23</t>
        </is>
      </c>
      <c r="C446" t="inlineStr">
        <is>
          <t>engine_value</t>
        </is>
      </c>
    </row>
    <row r="447">
      <c r="A447" t="inlineStr">
        <is>
          <t>附表5!AB12</t>
        </is>
      </c>
      <c r="B447" t="inlineStr">
        <is>
          <t>annual.income_statement+spec.revenue.products.period_24</t>
        </is>
      </c>
      <c r="C447" t="inlineStr">
        <is>
          <t>engine_value</t>
        </is>
      </c>
    </row>
    <row r="448">
      <c r="A448" t="inlineStr">
        <is>
          <t>附表6!A4</t>
        </is>
      </c>
      <c r="B448" t="inlineStr">
        <is>
          <t>annual.total_cost+finance_inputs.cost_items.no</t>
        </is>
      </c>
      <c r="C448" t="inlineStr">
        <is>
          <t>engine_value</t>
        </is>
      </c>
    </row>
    <row r="449">
      <c r="A449" t="inlineStr">
        <is>
          <t>附表6!B4</t>
        </is>
      </c>
      <c r="B449" t="inlineStr">
        <is>
          <t>annual.total_cost+finance_inputs.cost_items.item</t>
        </is>
      </c>
      <c r="C449" t="inlineStr">
        <is>
          <t>engine_value</t>
        </is>
      </c>
    </row>
    <row r="450">
      <c r="A450" t="inlineStr">
        <is>
          <t>附表6!C4</t>
        </is>
      </c>
      <c r="B450" t="inlineStr">
        <is>
          <t>annual.total_cost+finance_inputs.cost_items.total</t>
        </is>
      </c>
      <c r="C450" t="inlineStr">
        <is>
          <t>engine_value</t>
        </is>
      </c>
    </row>
    <row r="451">
      <c r="A451" t="inlineStr">
        <is>
          <t>附表6!D4</t>
        </is>
      </c>
      <c r="B451" t="inlineStr">
        <is>
          <t>annual.total_cost+finance_inputs.cost_items.period_1</t>
        </is>
      </c>
      <c r="C451" t="inlineStr">
        <is>
          <t>engine_value</t>
        </is>
      </c>
    </row>
    <row r="452">
      <c r="A452" t="inlineStr">
        <is>
          <t>附表6!E4</t>
        </is>
      </c>
      <c r="B452" t="inlineStr">
        <is>
          <t>annual.total_cost+finance_inputs.cost_items.period_2</t>
        </is>
      </c>
      <c r="C452" t="inlineStr">
        <is>
          <t>engine_value</t>
        </is>
      </c>
    </row>
    <row r="453">
      <c r="A453" t="inlineStr">
        <is>
          <t>附表6!F4</t>
        </is>
      </c>
      <c r="B453" t="inlineStr">
        <is>
          <t>annual.total_cost+finance_inputs.cost_items.period_3</t>
        </is>
      </c>
      <c r="C453" t="inlineStr">
        <is>
          <t>engine_value</t>
        </is>
      </c>
    </row>
    <row r="454">
      <c r="A454" t="inlineStr">
        <is>
          <t>附表6!G4</t>
        </is>
      </c>
      <c r="B454" t="inlineStr">
        <is>
          <t>annual.total_cost+finance_inputs.cost_items.period_4</t>
        </is>
      </c>
      <c r="C454" t="inlineStr">
        <is>
          <t>engine_value</t>
        </is>
      </c>
    </row>
    <row r="455">
      <c r="A455" t="inlineStr">
        <is>
          <t>附表6!H4</t>
        </is>
      </c>
      <c r="B455" t="inlineStr">
        <is>
          <t>annual.total_cost+finance_inputs.cost_items.period_5</t>
        </is>
      </c>
      <c r="C455" t="inlineStr">
        <is>
          <t>engine_value</t>
        </is>
      </c>
    </row>
    <row r="456">
      <c r="A456" t="inlineStr">
        <is>
          <t>附表6!I4</t>
        </is>
      </c>
      <c r="B456" t="inlineStr">
        <is>
          <t>annual.total_cost+finance_inputs.cost_items.period_6</t>
        </is>
      </c>
      <c r="C456" t="inlineStr">
        <is>
          <t>engine_value</t>
        </is>
      </c>
    </row>
    <row r="457">
      <c r="A457" t="inlineStr">
        <is>
          <t>附表6!J4</t>
        </is>
      </c>
      <c r="B457" t="inlineStr">
        <is>
          <t>annual.total_cost+finance_inputs.cost_items.period_7</t>
        </is>
      </c>
      <c r="C457" t="inlineStr">
        <is>
          <t>engine_value</t>
        </is>
      </c>
    </row>
    <row r="458">
      <c r="A458" t="inlineStr">
        <is>
          <t>附表6!K4</t>
        </is>
      </c>
      <c r="B458" t="inlineStr">
        <is>
          <t>annual.total_cost+finance_inputs.cost_items.period_8</t>
        </is>
      </c>
      <c r="C458" t="inlineStr">
        <is>
          <t>engine_value</t>
        </is>
      </c>
    </row>
    <row r="459">
      <c r="A459" t="inlineStr">
        <is>
          <t>附表6!L4</t>
        </is>
      </c>
      <c r="B459" t="inlineStr">
        <is>
          <t>annual.total_cost+finance_inputs.cost_items.period_9</t>
        </is>
      </c>
      <c r="C459" t="inlineStr">
        <is>
          <t>engine_value</t>
        </is>
      </c>
    </row>
    <row r="460">
      <c r="A460" t="inlineStr">
        <is>
          <t>附表6!M4</t>
        </is>
      </c>
      <c r="B460" t="inlineStr">
        <is>
          <t>annual.total_cost+finance_inputs.cost_items.period_10</t>
        </is>
      </c>
      <c r="C460" t="inlineStr">
        <is>
          <t>engine_value</t>
        </is>
      </c>
    </row>
    <row r="461">
      <c r="A461" t="inlineStr">
        <is>
          <t>附表6!N4</t>
        </is>
      </c>
      <c r="B461" t="inlineStr">
        <is>
          <t>annual.total_cost+finance_inputs.cost_items.period_11</t>
        </is>
      </c>
      <c r="C461" t="inlineStr">
        <is>
          <t>engine_value</t>
        </is>
      </c>
    </row>
    <row r="462">
      <c r="A462" t="inlineStr">
        <is>
          <t>附表6!O4</t>
        </is>
      </c>
      <c r="B462" t="inlineStr">
        <is>
          <t>annual.total_cost+finance_inputs.cost_items.period_12</t>
        </is>
      </c>
      <c r="C462" t="inlineStr">
        <is>
          <t>engine_value</t>
        </is>
      </c>
    </row>
    <row r="463">
      <c r="A463" t="inlineStr">
        <is>
          <t>附表6!P4</t>
        </is>
      </c>
      <c r="B463" t="inlineStr">
        <is>
          <t>annual.total_cost+finance_inputs.cost_items.period_13</t>
        </is>
      </c>
      <c r="C463" t="inlineStr">
        <is>
          <t>engine_value</t>
        </is>
      </c>
    </row>
    <row r="464">
      <c r="A464" t="inlineStr">
        <is>
          <t>附表6!Q4</t>
        </is>
      </c>
      <c r="B464" t="inlineStr">
        <is>
          <t>annual.total_cost+finance_inputs.cost_items.period_14</t>
        </is>
      </c>
      <c r="C464" t="inlineStr">
        <is>
          <t>engine_value</t>
        </is>
      </c>
    </row>
    <row r="465">
      <c r="A465" t="inlineStr">
        <is>
          <t>附表6!R4</t>
        </is>
      </c>
      <c r="B465" t="inlineStr">
        <is>
          <t>annual.total_cost+finance_inputs.cost_items.period_15</t>
        </is>
      </c>
      <c r="C465" t="inlineStr">
        <is>
          <t>engine_value</t>
        </is>
      </c>
    </row>
    <row r="466">
      <c r="A466" t="inlineStr">
        <is>
          <t>附表6!S4</t>
        </is>
      </c>
      <c r="B466" t="inlineStr">
        <is>
          <t>annual.total_cost+finance_inputs.cost_items.period_16</t>
        </is>
      </c>
      <c r="C466" t="inlineStr">
        <is>
          <t>engine_value</t>
        </is>
      </c>
    </row>
    <row r="467">
      <c r="A467" t="inlineStr">
        <is>
          <t>附表6!T4</t>
        </is>
      </c>
      <c r="B467" t="inlineStr">
        <is>
          <t>annual.total_cost+finance_inputs.cost_items.period_17</t>
        </is>
      </c>
      <c r="C467" t="inlineStr">
        <is>
          <t>engine_value</t>
        </is>
      </c>
    </row>
    <row r="468">
      <c r="A468" t="inlineStr">
        <is>
          <t>附表6!U4</t>
        </is>
      </c>
      <c r="B468" t="inlineStr">
        <is>
          <t>annual.total_cost+finance_inputs.cost_items.period_18</t>
        </is>
      </c>
      <c r="C468" t="inlineStr">
        <is>
          <t>engine_value</t>
        </is>
      </c>
    </row>
    <row r="469">
      <c r="A469" t="inlineStr">
        <is>
          <t>附表6!V4</t>
        </is>
      </c>
      <c r="B469" t="inlineStr">
        <is>
          <t>annual.total_cost+finance_inputs.cost_items.period_19</t>
        </is>
      </c>
      <c r="C469" t="inlineStr">
        <is>
          <t>engine_value</t>
        </is>
      </c>
    </row>
    <row r="470">
      <c r="A470" t="inlineStr">
        <is>
          <t>附表6!W4</t>
        </is>
      </c>
      <c r="B470" t="inlineStr">
        <is>
          <t>annual.total_cost+finance_inputs.cost_items.period_20</t>
        </is>
      </c>
      <c r="C470" t="inlineStr">
        <is>
          <t>engine_value</t>
        </is>
      </c>
    </row>
    <row r="471">
      <c r="A471" t="inlineStr">
        <is>
          <t>附表6!X4</t>
        </is>
      </c>
      <c r="B471" t="inlineStr">
        <is>
          <t>annual.total_cost+finance_inputs.cost_items.period_21</t>
        </is>
      </c>
      <c r="C471" t="inlineStr">
        <is>
          <t>engine_value</t>
        </is>
      </c>
    </row>
    <row r="472">
      <c r="A472" t="inlineStr">
        <is>
          <t>附表6!Y4</t>
        </is>
      </c>
      <c r="B472" t="inlineStr">
        <is>
          <t>annual.total_cost+finance_inputs.cost_items.period_22</t>
        </is>
      </c>
      <c r="C472" t="inlineStr">
        <is>
          <t>engine_value</t>
        </is>
      </c>
    </row>
    <row r="473">
      <c r="A473" t="inlineStr">
        <is>
          <t>附表6!Z4</t>
        </is>
      </c>
      <c r="B473" t="inlineStr">
        <is>
          <t>annual.total_cost+finance_inputs.cost_items.period_23</t>
        </is>
      </c>
      <c r="C473" t="inlineStr">
        <is>
          <t>engine_value</t>
        </is>
      </c>
    </row>
    <row r="474">
      <c r="A474" t="inlineStr">
        <is>
          <t>附表6!AA4</t>
        </is>
      </c>
      <c r="B474" t="inlineStr">
        <is>
          <t>annual.total_cost+finance_inputs.cost_items.period_24</t>
        </is>
      </c>
      <c r="C474" t="inlineStr">
        <is>
          <t>engine_value</t>
        </is>
      </c>
    </row>
    <row r="475">
      <c r="A475" t="inlineStr">
        <is>
          <t>附表6!A5</t>
        </is>
      </c>
      <c r="B475" t="inlineStr">
        <is>
          <t>annual.total_cost+finance_inputs.cost_items.no</t>
        </is>
      </c>
      <c r="C475" t="inlineStr">
        <is>
          <t>engine_value</t>
        </is>
      </c>
    </row>
    <row r="476">
      <c r="A476" t="inlineStr">
        <is>
          <t>附表6!B5</t>
        </is>
      </c>
      <c r="B476" t="inlineStr">
        <is>
          <t>annual.total_cost+finance_inputs.cost_items.item</t>
        </is>
      </c>
      <c r="C476" t="inlineStr">
        <is>
          <t>engine_value</t>
        </is>
      </c>
    </row>
    <row r="477">
      <c r="A477" t="inlineStr">
        <is>
          <t>附表6!C5</t>
        </is>
      </c>
      <c r="B477" t="inlineStr">
        <is>
          <t>annual.total_cost+finance_inputs.cost_items.total</t>
        </is>
      </c>
      <c r="C477" t="inlineStr">
        <is>
          <t>engine_value</t>
        </is>
      </c>
    </row>
    <row r="478">
      <c r="A478" t="inlineStr">
        <is>
          <t>附表6!D5</t>
        </is>
      </c>
      <c r="B478" t="inlineStr">
        <is>
          <t>annual.total_cost+finance_inputs.cost_items.period_1</t>
        </is>
      </c>
      <c r="C478" t="inlineStr">
        <is>
          <t>engine_value</t>
        </is>
      </c>
    </row>
    <row r="479">
      <c r="A479" t="inlineStr">
        <is>
          <t>附表6!E5</t>
        </is>
      </c>
      <c r="B479" t="inlineStr">
        <is>
          <t>annual.total_cost+finance_inputs.cost_items.period_2</t>
        </is>
      </c>
      <c r="C479" t="inlineStr">
        <is>
          <t>engine_value</t>
        </is>
      </c>
    </row>
    <row r="480">
      <c r="A480" t="inlineStr">
        <is>
          <t>附表6!F5</t>
        </is>
      </c>
      <c r="B480" t="inlineStr">
        <is>
          <t>annual.total_cost+finance_inputs.cost_items.period_3</t>
        </is>
      </c>
      <c r="C480" t="inlineStr">
        <is>
          <t>engine_value</t>
        </is>
      </c>
    </row>
    <row r="481">
      <c r="A481" t="inlineStr">
        <is>
          <t>附表6!G5</t>
        </is>
      </c>
      <c r="B481" t="inlineStr">
        <is>
          <t>annual.total_cost+finance_inputs.cost_items.period_4</t>
        </is>
      </c>
      <c r="C481" t="inlineStr">
        <is>
          <t>engine_value</t>
        </is>
      </c>
    </row>
    <row r="482">
      <c r="A482" t="inlineStr">
        <is>
          <t>附表6!H5</t>
        </is>
      </c>
      <c r="B482" t="inlineStr">
        <is>
          <t>annual.total_cost+finance_inputs.cost_items.period_5</t>
        </is>
      </c>
      <c r="C482" t="inlineStr">
        <is>
          <t>engine_value</t>
        </is>
      </c>
    </row>
    <row r="483">
      <c r="A483" t="inlineStr">
        <is>
          <t>附表6!I5</t>
        </is>
      </c>
      <c r="B483" t="inlineStr">
        <is>
          <t>annual.total_cost+finance_inputs.cost_items.period_6</t>
        </is>
      </c>
      <c r="C483" t="inlineStr">
        <is>
          <t>engine_value</t>
        </is>
      </c>
    </row>
    <row r="484">
      <c r="A484" t="inlineStr">
        <is>
          <t>附表6!J5</t>
        </is>
      </c>
      <c r="B484" t="inlineStr">
        <is>
          <t>annual.total_cost+finance_inputs.cost_items.period_7</t>
        </is>
      </c>
      <c r="C484" t="inlineStr">
        <is>
          <t>engine_value</t>
        </is>
      </c>
    </row>
    <row r="485">
      <c r="A485" t="inlineStr">
        <is>
          <t>附表6!K5</t>
        </is>
      </c>
      <c r="B485" t="inlineStr">
        <is>
          <t>annual.total_cost+finance_inputs.cost_items.period_8</t>
        </is>
      </c>
      <c r="C485" t="inlineStr">
        <is>
          <t>engine_value</t>
        </is>
      </c>
    </row>
    <row r="486">
      <c r="A486" t="inlineStr">
        <is>
          <t>附表6!L5</t>
        </is>
      </c>
      <c r="B486" t="inlineStr">
        <is>
          <t>annual.total_cost+finance_inputs.cost_items.period_9</t>
        </is>
      </c>
      <c r="C486" t="inlineStr">
        <is>
          <t>engine_value</t>
        </is>
      </c>
    </row>
    <row r="487">
      <c r="A487" t="inlineStr">
        <is>
          <t>附表6!M5</t>
        </is>
      </c>
      <c r="B487" t="inlineStr">
        <is>
          <t>annual.total_cost+finance_inputs.cost_items.period_10</t>
        </is>
      </c>
      <c r="C487" t="inlineStr">
        <is>
          <t>engine_value</t>
        </is>
      </c>
    </row>
    <row r="488">
      <c r="A488" t="inlineStr">
        <is>
          <t>附表6!N5</t>
        </is>
      </c>
      <c r="B488" t="inlineStr">
        <is>
          <t>annual.total_cost+finance_inputs.cost_items.period_11</t>
        </is>
      </c>
      <c r="C488" t="inlineStr">
        <is>
          <t>engine_value</t>
        </is>
      </c>
    </row>
    <row r="489">
      <c r="A489" t="inlineStr">
        <is>
          <t>附表6!O5</t>
        </is>
      </c>
      <c r="B489" t="inlineStr">
        <is>
          <t>annual.total_cost+finance_inputs.cost_items.period_12</t>
        </is>
      </c>
      <c r="C489" t="inlineStr">
        <is>
          <t>engine_value</t>
        </is>
      </c>
    </row>
    <row r="490">
      <c r="A490" t="inlineStr">
        <is>
          <t>附表6!P5</t>
        </is>
      </c>
      <c r="B490" t="inlineStr">
        <is>
          <t>annual.total_cost+finance_inputs.cost_items.period_13</t>
        </is>
      </c>
      <c r="C490" t="inlineStr">
        <is>
          <t>engine_value</t>
        </is>
      </c>
    </row>
    <row r="491">
      <c r="A491" t="inlineStr">
        <is>
          <t>附表6!Q5</t>
        </is>
      </c>
      <c r="B491" t="inlineStr">
        <is>
          <t>annual.total_cost+finance_inputs.cost_items.period_14</t>
        </is>
      </c>
      <c r="C491" t="inlineStr">
        <is>
          <t>engine_value</t>
        </is>
      </c>
    </row>
    <row r="492">
      <c r="A492" t="inlineStr">
        <is>
          <t>附表6!R5</t>
        </is>
      </c>
      <c r="B492" t="inlineStr">
        <is>
          <t>annual.total_cost+finance_inputs.cost_items.period_15</t>
        </is>
      </c>
      <c r="C492" t="inlineStr">
        <is>
          <t>engine_value</t>
        </is>
      </c>
    </row>
    <row r="493">
      <c r="A493" t="inlineStr">
        <is>
          <t>附表6!S5</t>
        </is>
      </c>
      <c r="B493" t="inlineStr">
        <is>
          <t>annual.total_cost+finance_inputs.cost_items.period_16</t>
        </is>
      </c>
      <c r="C493" t="inlineStr">
        <is>
          <t>engine_value</t>
        </is>
      </c>
    </row>
    <row r="494">
      <c r="A494" t="inlineStr">
        <is>
          <t>附表6!T5</t>
        </is>
      </c>
      <c r="B494" t="inlineStr">
        <is>
          <t>annual.total_cost+finance_inputs.cost_items.period_17</t>
        </is>
      </c>
      <c r="C494" t="inlineStr">
        <is>
          <t>engine_value</t>
        </is>
      </c>
    </row>
    <row r="495">
      <c r="A495" t="inlineStr">
        <is>
          <t>附表6!U5</t>
        </is>
      </c>
      <c r="B495" t="inlineStr">
        <is>
          <t>annual.total_cost+finance_inputs.cost_items.period_18</t>
        </is>
      </c>
      <c r="C495" t="inlineStr">
        <is>
          <t>engine_value</t>
        </is>
      </c>
    </row>
    <row r="496">
      <c r="A496" t="inlineStr">
        <is>
          <t>附表6!V5</t>
        </is>
      </c>
      <c r="B496" t="inlineStr">
        <is>
          <t>annual.total_cost+finance_inputs.cost_items.period_19</t>
        </is>
      </c>
      <c r="C496" t="inlineStr">
        <is>
          <t>engine_value</t>
        </is>
      </c>
    </row>
    <row r="497">
      <c r="A497" t="inlineStr">
        <is>
          <t>附表6!W5</t>
        </is>
      </c>
      <c r="B497" t="inlineStr">
        <is>
          <t>annual.total_cost+finance_inputs.cost_items.period_20</t>
        </is>
      </c>
      <c r="C497" t="inlineStr">
        <is>
          <t>engine_value</t>
        </is>
      </c>
    </row>
    <row r="498">
      <c r="A498" t="inlineStr">
        <is>
          <t>附表6!X5</t>
        </is>
      </c>
      <c r="B498" t="inlineStr">
        <is>
          <t>annual.total_cost+finance_inputs.cost_items.period_21</t>
        </is>
      </c>
      <c r="C498" t="inlineStr">
        <is>
          <t>engine_value</t>
        </is>
      </c>
    </row>
    <row r="499">
      <c r="A499" t="inlineStr">
        <is>
          <t>附表6!Y5</t>
        </is>
      </c>
      <c r="B499" t="inlineStr">
        <is>
          <t>annual.total_cost+finance_inputs.cost_items.period_22</t>
        </is>
      </c>
      <c r="C499" t="inlineStr">
        <is>
          <t>engine_value</t>
        </is>
      </c>
    </row>
    <row r="500">
      <c r="A500" t="inlineStr">
        <is>
          <t>附表6!Z5</t>
        </is>
      </c>
      <c r="B500" t="inlineStr">
        <is>
          <t>annual.total_cost+finance_inputs.cost_items.period_23</t>
        </is>
      </c>
      <c r="C500" t="inlineStr">
        <is>
          <t>engine_value</t>
        </is>
      </c>
    </row>
    <row r="501">
      <c r="A501" t="inlineStr">
        <is>
          <t>附表6!AA5</t>
        </is>
      </c>
      <c r="B501" t="inlineStr">
        <is>
          <t>annual.total_cost+finance_inputs.cost_items.period_24</t>
        </is>
      </c>
      <c r="C501" t="inlineStr">
        <is>
          <t>engine_value</t>
        </is>
      </c>
    </row>
    <row r="502">
      <c r="A502" t="inlineStr">
        <is>
          <t>附表6!A6</t>
        </is>
      </c>
      <c r="B502" t="inlineStr">
        <is>
          <t>annual.total_cost+finance_inputs.cost_items.no</t>
        </is>
      </c>
      <c r="C502" t="inlineStr">
        <is>
          <t>engine_value</t>
        </is>
      </c>
    </row>
    <row r="503">
      <c r="A503" t="inlineStr">
        <is>
          <t>附表6!B6</t>
        </is>
      </c>
      <c r="B503" t="inlineStr">
        <is>
          <t>annual.total_cost+finance_inputs.cost_items.item</t>
        </is>
      </c>
      <c r="C503" t="inlineStr">
        <is>
          <t>engine_value</t>
        </is>
      </c>
    </row>
    <row r="504">
      <c r="A504" t="inlineStr">
        <is>
          <t>附表6!C6</t>
        </is>
      </c>
      <c r="B504" t="inlineStr">
        <is>
          <t>annual.total_cost+finance_inputs.cost_items.total</t>
        </is>
      </c>
      <c r="C504" t="inlineStr">
        <is>
          <t>engine_value</t>
        </is>
      </c>
    </row>
    <row r="505">
      <c r="A505" t="inlineStr">
        <is>
          <t>附表6!D6</t>
        </is>
      </c>
      <c r="B505" t="inlineStr">
        <is>
          <t>annual.total_cost+finance_inputs.cost_items.period_1</t>
        </is>
      </c>
      <c r="C505" t="inlineStr">
        <is>
          <t>engine_value</t>
        </is>
      </c>
    </row>
    <row r="506">
      <c r="A506" t="inlineStr">
        <is>
          <t>附表6!E6</t>
        </is>
      </c>
      <c r="B506" t="inlineStr">
        <is>
          <t>annual.total_cost+finance_inputs.cost_items.period_2</t>
        </is>
      </c>
      <c r="C506" t="inlineStr">
        <is>
          <t>engine_value</t>
        </is>
      </c>
    </row>
    <row r="507">
      <c r="A507" t="inlineStr">
        <is>
          <t>附表6!F6</t>
        </is>
      </c>
      <c r="B507" t="inlineStr">
        <is>
          <t>annual.total_cost+finance_inputs.cost_items.period_3</t>
        </is>
      </c>
      <c r="C507" t="inlineStr">
        <is>
          <t>engine_value</t>
        </is>
      </c>
    </row>
    <row r="508">
      <c r="A508" t="inlineStr">
        <is>
          <t>附表6!G6</t>
        </is>
      </c>
      <c r="B508" t="inlineStr">
        <is>
          <t>annual.total_cost+finance_inputs.cost_items.period_4</t>
        </is>
      </c>
      <c r="C508" t="inlineStr">
        <is>
          <t>engine_value</t>
        </is>
      </c>
    </row>
    <row r="509">
      <c r="A509" t="inlineStr">
        <is>
          <t>附表6!H6</t>
        </is>
      </c>
      <c r="B509" t="inlineStr">
        <is>
          <t>annual.total_cost+finance_inputs.cost_items.period_5</t>
        </is>
      </c>
      <c r="C509" t="inlineStr">
        <is>
          <t>engine_value</t>
        </is>
      </c>
    </row>
    <row r="510">
      <c r="A510" t="inlineStr">
        <is>
          <t>附表6!I6</t>
        </is>
      </c>
      <c r="B510" t="inlineStr">
        <is>
          <t>annual.total_cost+finance_inputs.cost_items.period_6</t>
        </is>
      </c>
      <c r="C510" t="inlineStr">
        <is>
          <t>engine_value</t>
        </is>
      </c>
    </row>
    <row r="511">
      <c r="A511" t="inlineStr">
        <is>
          <t>附表6!J6</t>
        </is>
      </c>
      <c r="B511" t="inlineStr">
        <is>
          <t>annual.total_cost+finance_inputs.cost_items.period_7</t>
        </is>
      </c>
      <c r="C511" t="inlineStr">
        <is>
          <t>engine_value</t>
        </is>
      </c>
    </row>
    <row r="512">
      <c r="A512" t="inlineStr">
        <is>
          <t>附表6!K6</t>
        </is>
      </c>
      <c r="B512" t="inlineStr">
        <is>
          <t>annual.total_cost+finance_inputs.cost_items.period_8</t>
        </is>
      </c>
      <c r="C512" t="inlineStr">
        <is>
          <t>engine_value</t>
        </is>
      </c>
    </row>
    <row r="513">
      <c r="A513" t="inlineStr">
        <is>
          <t>附表6!L6</t>
        </is>
      </c>
      <c r="B513" t="inlineStr">
        <is>
          <t>annual.total_cost+finance_inputs.cost_items.period_9</t>
        </is>
      </c>
      <c r="C513" t="inlineStr">
        <is>
          <t>engine_value</t>
        </is>
      </c>
    </row>
    <row r="514">
      <c r="A514" t="inlineStr">
        <is>
          <t>附表6!M6</t>
        </is>
      </c>
      <c r="B514" t="inlineStr">
        <is>
          <t>annual.total_cost+finance_inputs.cost_items.period_10</t>
        </is>
      </c>
      <c r="C514" t="inlineStr">
        <is>
          <t>engine_value</t>
        </is>
      </c>
    </row>
    <row r="515">
      <c r="A515" t="inlineStr">
        <is>
          <t>附表6!N6</t>
        </is>
      </c>
      <c r="B515" t="inlineStr">
        <is>
          <t>annual.total_cost+finance_inputs.cost_items.period_11</t>
        </is>
      </c>
      <c r="C515" t="inlineStr">
        <is>
          <t>engine_value</t>
        </is>
      </c>
    </row>
    <row r="516">
      <c r="A516" t="inlineStr">
        <is>
          <t>附表6!O6</t>
        </is>
      </c>
      <c r="B516" t="inlineStr">
        <is>
          <t>annual.total_cost+finance_inputs.cost_items.period_12</t>
        </is>
      </c>
      <c r="C516" t="inlineStr">
        <is>
          <t>engine_value</t>
        </is>
      </c>
    </row>
    <row r="517">
      <c r="A517" t="inlineStr">
        <is>
          <t>附表6!P6</t>
        </is>
      </c>
      <c r="B517" t="inlineStr">
        <is>
          <t>annual.total_cost+finance_inputs.cost_items.period_13</t>
        </is>
      </c>
      <c r="C517" t="inlineStr">
        <is>
          <t>engine_value</t>
        </is>
      </c>
    </row>
    <row r="518">
      <c r="A518" t="inlineStr">
        <is>
          <t>附表6!Q6</t>
        </is>
      </c>
      <c r="B518" t="inlineStr">
        <is>
          <t>annual.total_cost+finance_inputs.cost_items.period_14</t>
        </is>
      </c>
      <c r="C518" t="inlineStr">
        <is>
          <t>engine_value</t>
        </is>
      </c>
    </row>
    <row r="519">
      <c r="A519" t="inlineStr">
        <is>
          <t>附表6!R6</t>
        </is>
      </c>
      <c r="B519" t="inlineStr">
        <is>
          <t>annual.total_cost+finance_inputs.cost_items.period_15</t>
        </is>
      </c>
      <c r="C519" t="inlineStr">
        <is>
          <t>engine_value</t>
        </is>
      </c>
    </row>
    <row r="520">
      <c r="A520" t="inlineStr">
        <is>
          <t>附表6!S6</t>
        </is>
      </c>
      <c r="B520" t="inlineStr">
        <is>
          <t>annual.total_cost+finance_inputs.cost_items.period_16</t>
        </is>
      </c>
      <c r="C520" t="inlineStr">
        <is>
          <t>engine_value</t>
        </is>
      </c>
    </row>
    <row r="521">
      <c r="A521" t="inlineStr">
        <is>
          <t>附表6!T6</t>
        </is>
      </c>
      <c r="B521" t="inlineStr">
        <is>
          <t>annual.total_cost+finance_inputs.cost_items.period_17</t>
        </is>
      </c>
      <c r="C521" t="inlineStr">
        <is>
          <t>engine_value</t>
        </is>
      </c>
    </row>
    <row r="522">
      <c r="A522" t="inlineStr">
        <is>
          <t>附表6!U6</t>
        </is>
      </c>
      <c r="B522" t="inlineStr">
        <is>
          <t>annual.total_cost+finance_inputs.cost_items.period_18</t>
        </is>
      </c>
      <c r="C522" t="inlineStr">
        <is>
          <t>engine_value</t>
        </is>
      </c>
    </row>
    <row r="523">
      <c r="A523" t="inlineStr">
        <is>
          <t>附表6!V6</t>
        </is>
      </c>
      <c r="B523" t="inlineStr">
        <is>
          <t>annual.total_cost+finance_inputs.cost_items.period_19</t>
        </is>
      </c>
      <c r="C523" t="inlineStr">
        <is>
          <t>engine_value</t>
        </is>
      </c>
    </row>
    <row r="524">
      <c r="A524" t="inlineStr">
        <is>
          <t>附表6!W6</t>
        </is>
      </c>
      <c r="B524" t="inlineStr">
        <is>
          <t>annual.total_cost+finance_inputs.cost_items.period_20</t>
        </is>
      </c>
      <c r="C524" t="inlineStr">
        <is>
          <t>engine_value</t>
        </is>
      </c>
    </row>
    <row r="525">
      <c r="A525" t="inlineStr">
        <is>
          <t>附表6!X6</t>
        </is>
      </c>
      <c r="B525" t="inlineStr">
        <is>
          <t>annual.total_cost+finance_inputs.cost_items.period_21</t>
        </is>
      </c>
      <c r="C525" t="inlineStr">
        <is>
          <t>engine_value</t>
        </is>
      </c>
    </row>
    <row r="526">
      <c r="A526" t="inlineStr">
        <is>
          <t>附表6!Y6</t>
        </is>
      </c>
      <c r="B526" t="inlineStr">
        <is>
          <t>annual.total_cost+finance_inputs.cost_items.period_22</t>
        </is>
      </c>
      <c r="C526" t="inlineStr">
        <is>
          <t>engine_value</t>
        </is>
      </c>
    </row>
    <row r="527">
      <c r="A527" t="inlineStr">
        <is>
          <t>附表6!Z6</t>
        </is>
      </c>
      <c r="B527" t="inlineStr">
        <is>
          <t>annual.total_cost+finance_inputs.cost_items.period_23</t>
        </is>
      </c>
      <c r="C527" t="inlineStr">
        <is>
          <t>engine_value</t>
        </is>
      </c>
    </row>
    <row r="528">
      <c r="A528" t="inlineStr">
        <is>
          <t>附表6!AA6</t>
        </is>
      </c>
      <c r="B528" t="inlineStr">
        <is>
          <t>annual.total_cost+finance_inputs.cost_items.period_24</t>
        </is>
      </c>
      <c r="C528" t="inlineStr">
        <is>
          <t>engine_value</t>
        </is>
      </c>
    </row>
    <row r="529">
      <c r="A529" t="inlineStr">
        <is>
          <t>附表6!A7</t>
        </is>
      </c>
      <c r="B529" t="inlineStr">
        <is>
          <t>annual.total_cost+finance_inputs.cost_items.no</t>
        </is>
      </c>
      <c r="C529" t="inlineStr">
        <is>
          <t>engine_value</t>
        </is>
      </c>
    </row>
    <row r="530">
      <c r="A530" t="inlineStr">
        <is>
          <t>附表6!B7</t>
        </is>
      </c>
      <c r="B530" t="inlineStr">
        <is>
          <t>annual.total_cost+finance_inputs.cost_items.item</t>
        </is>
      </c>
      <c r="C530" t="inlineStr">
        <is>
          <t>engine_value</t>
        </is>
      </c>
    </row>
    <row r="531">
      <c r="A531" t="inlineStr">
        <is>
          <t>附表6!C7</t>
        </is>
      </c>
      <c r="B531" t="inlineStr">
        <is>
          <t>annual.total_cost+finance_inputs.cost_items.total</t>
        </is>
      </c>
      <c r="C531" t="inlineStr">
        <is>
          <t>engine_value</t>
        </is>
      </c>
    </row>
    <row r="532">
      <c r="A532" t="inlineStr">
        <is>
          <t>附表6!D7</t>
        </is>
      </c>
      <c r="B532" t="inlineStr">
        <is>
          <t>annual.total_cost+finance_inputs.cost_items.period_1</t>
        </is>
      </c>
      <c r="C532" t="inlineStr">
        <is>
          <t>engine_value</t>
        </is>
      </c>
    </row>
    <row r="533">
      <c r="A533" t="inlineStr">
        <is>
          <t>附表6!E7</t>
        </is>
      </c>
      <c r="B533" t="inlineStr">
        <is>
          <t>annual.total_cost+finance_inputs.cost_items.period_2</t>
        </is>
      </c>
      <c r="C533" t="inlineStr">
        <is>
          <t>engine_value</t>
        </is>
      </c>
    </row>
    <row r="534">
      <c r="A534" t="inlineStr">
        <is>
          <t>附表6!F7</t>
        </is>
      </c>
      <c r="B534" t="inlineStr">
        <is>
          <t>annual.total_cost+finance_inputs.cost_items.period_3</t>
        </is>
      </c>
      <c r="C534" t="inlineStr">
        <is>
          <t>engine_value</t>
        </is>
      </c>
    </row>
    <row r="535">
      <c r="A535" t="inlineStr">
        <is>
          <t>附表6!G7</t>
        </is>
      </c>
      <c r="B535" t="inlineStr">
        <is>
          <t>annual.total_cost+finance_inputs.cost_items.period_4</t>
        </is>
      </c>
      <c r="C535" t="inlineStr">
        <is>
          <t>engine_value</t>
        </is>
      </c>
    </row>
    <row r="536">
      <c r="A536" t="inlineStr">
        <is>
          <t>附表6!H7</t>
        </is>
      </c>
      <c r="B536" t="inlineStr">
        <is>
          <t>annual.total_cost+finance_inputs.cost_items.period_5</t>
        </is>
      </c>
      <c r="C536" t="inlineStr">
        <is>
          <t>engine_value</t>
        </is>
      </c>
    </row>
    <row r="537">
      <c r="A537" t="inlineStr">
        <is>
          <t>附表6!I7</t>
        </is>
      </c>
      <c r="B537" t="inlineStr">
        <is>
          <t>annual.total_cost+finance_inputs.cost_items.period_6</t>
        </is>
      </c>
      <c r="C537" t="inlineStr">
        <is>
          <t>engine_value</t>
        </is>
      </c>
    </row>
    <row r="538">
      <c r="A538" t="inlineStr">
        <is>
          <t>附表6!J7</t>
        </is>
      </c>
      <c r="B538" t="inlineStr">
        <is>
          <t>annual.total_cost+finance_inputs.cost_items.period_7</t>
        </is>
      </c>
      <c r="C538" t="inlineStr">
        <is>
          <t>engine_value</t>
        </is>
      </c>
    </row>
    <row r="539">
      <c r="A539" t="inlineStr">
        <is>
          <t>附表6!K7</t>
        </is>
      </c>
      <c r="B539" t="inlineStr">
        <is>
          <t>annual.total_cost+finance_inputs.cost_items.period_8</t>
        </is>
      </c>
      <c r="C539" t="inlineStr">
        <is>
          <t>engine_value</t>
        </is>
      </c>
    </row>
    <row r="540">
      <c r="A540" t="inlineStr">
        <is>
          <t>附表6!L7</t>
        </is>
      </c>
      <c r="B540" t="inlineStr">
        <is>
          <t>annual.total_cost+finance_inputs.cost_items.period_9</t>
        </is>
      </c>
      <c r="C540" t="inlineStr">
        <is>
          <t>engine_value</t>
        </is>
      </c>
    </row>
    <row r="541">
      <c r="A541" t="inlineStr">
        <is>
          <t>附表6!M7</t>
        </is>
      </c>
      <c r="B541" t="inlineStr">
        <is>
          <t>annual.total_cost+finance_inputs.cost_items.period_10</t>
        </is>
      </c>
      <c r="C541" t="inlineStr">
        <is>
          <t>engine_value</t>
        </is>
      </c>
    </row>
    <row r="542">
      <c r="A542" t="inlineStr">
        <is>
          <t>附表6!N7</t>
        </is>
      </c>
      <c r="B542" t="inlineStr">
        <is>
          <t>annual.total_cost+finance_inputs.cost_items.period_11</t>
        </is>
      </c>
      <c r="C542" t="inlineStr">
        <is>
          <t>engine_value</t>
        </is>
      </c>
    </row>
    <row r="543">
      <c r="A543" t="inlineStr">
        <is>
          <t>附表6!O7</t>
        </is>
      </c>
      <c r="B543" t="inlineStr">
        <is>
          <t>annual.total_cost+finance_inputs.cost_items.period_12</t>
        </is>
      </c>
      <c r="C543" t="inlineStr">
        <is>
          <t>engine_value</t>
        </is>
      </c>
    </row>
    <row r="544">
      <c r="A544" t="inlineStr">
        <is>
          <t>附表6!P7</t>
        </is>
      </c>
      <c r="B544" t="inlineStr">
        <is>
          <t>annual.total_cost+finance_inputs.cost_items.period_13</t>
        </is>
      </c>
      <c r="C544" t="inlineStr">
        <is>
          <t>engine_value</t>
        </is>
      </c>
    </row>
    <row r="545">
      <c r="A545" t="inlineStr">
        <is>
          <t>附表6!Q7</t>
        </is>
      </c>
      <c r="B545" t="inlineStr">
        <is>
          <t>annual.total_cost+finance_inputs.cost_items.period_14</t>
        </is>
      </c>
      <c r="C545" t="inlineStr">
        <is>
          <t>engine_value</t>
        </is>
      </c>
    </row>
    <row r="546">
      <c r="A546" t="inlineStr">
        <is>
          <t>附表6!R7</t>
        </is>
      </c>
      <c r="B546" t="inlineStr">
        <is>
          <t>annual.total_cost+finance_inputs.cost_items.period_15</t>
        </is>
      </c>
      <c r="C546" t="inlineStr">
        <is>
          <t>engine_value</t>
        </is>
      </c>
    </row>
    <row r="547">
      <c r="A547" t="inlineStr">
        <is>
          <t>附表6!S7</t>
        </is>
      </c>
      <c r="B547" t="inlineStr">
        <is>
          <t>annual.total_cost+finance_inputs.cost_items.period_16</t>
        </is>
      </c>
      <c r="C547" t="inlineStr">
        <is>
          <t>engine_value</t>
        </is>
      </c>
    </row>
    <row r="548">
      <c r="A548" t="inlineStr">
        <is>
          <t>附表6!T7</t>
        </is>
      </c>
      <c r="B548" t="inlineStr">
        <is>
          <t>annual.total_cost+finance_inputs.cost_items.period_17</t>
        </is>
      </c>
      <c r="C548" t="inlineStr">
        <is>
          <t>engine_value</t>
        </is>
      </c>
    </row>
    <row r="549">
      <c r="A549" t="inlineStr">
        <is>
          <t>附表6!U7</t>
        </is>
      </c>
      <c r="B549" t="inlineStr">
        <is>
          <t>annual.total_cost+finance_inputs.cost_items.period_18</t>
        </is>
      </c>
      <c r="C549" t="inlineStr">
        <is>
          <t>engine_value</t>
        </is>
      </c>
    </row>
    <row r="550">
      <c r="A550" t="inlineStr">
        <is>
          <t>附表6!V7</t>
        </is>
      </c>
      <c r="B550" t="inlineStr">
        <is>
          <t>annual.total_cost+finance_inputs.cost_items.period_19</t>
        </is>
      </c>
      <c r="C550" t="inlineStr">
        <is>
          <t>engine_value</t>
        </is>
      </c>
    </row>
    <row r="551">
      <c r="A551" t="inlineStr">
        <is>
          <t>附表6!W7</t>
        </is>
      </c>
      <c r="B551" t="inlineStr">
        <is>
          <t>annual.total_cost+finance_inputs.cost_items.period_20</t>
        </is>
      </c>
      <c r="C551" t="inlineStr">
        <is>
          <t>engine_value</t>
        </is>
      </c>
    </row>
    <row r="552">
      <c r="A552" t="inlineStr">
        <is>
          <t>附表6!X7</t>
        </is>
      </c>
      <c r="B552" t="inlineStr">
        <is>
          <t>annual.total_cost+finance_inputs.cost_items.period_21</t>
        </is>
      </c>
      <c r="C552" t="inlineStr">
        <is>
          <t>engine_value</t>
        </is>
      </c>
    </row>
    <row r="553">
      <c r="A553" t="inlineStr">
        <is>
          <t>附表6!Y7</t>
        </is>
      </c>
      <c r="B553" t="inlineStr">
        <is>
          <t>annual.total_cost+finance_inputs.cost_items.period_22</t>
        </is>
      </c>
      <c r="C553" t="inlineStr">
        <is>
          <t>engine_value</t>
        </is>
      </c>
    </row>
    <row r="554">
      <c r="A554" t="inlineStr">
        <is>
          <t>附表6!Z7</t>
        </is>
      </c>
      <c r="B554" t="inlineStr">
        <is>
          <t>annual.total_cost+finance_inputs.cost_items.period_23</t>
        </is>
      </c>
      <c r="C554" t="inlineStr">
        <is>
          <t>engine_value</t>
        </is>
      </c>
    </row>
    <row r="555">
      <c r="A555" t="inlineStr">
        <is>
          <t>附表6!AA7</t>
        </is>
      </c>
      <c r="B555" t="inlineStr">
        <is>
          <t>annual.total_cost+finance_inputs.cost_items.period_24</t>
        </is>
      </c>
      <c r="C555" t="inlineStr">
        <is>
          <t>engine_value</t>
        </is>
      </c>
    </row>
    <row r="556">
      <c r="A556" t="inlineStr">
        <is>
          <t>附表6!A8</t>
        </is>
      </c>
      <c r="B556" t="inlineStr">
        <is>
          <t>annual.total_cost+finance_inputs.cost_items.no</t>
        </is>
      </c>
      <c r="C556" t="inlineStr">
        <is>
          <t>engine_value</t>
        </is>
      </c>
    </row>
    <row r="557">
      <c r="A557" t="inlineStr">
        <is>
          <t>附表6!B8</t>
        </is>
      </c>
      <c r="B557" t="inlineStr">
        <is>
          <t>annual.total_cost+finance_inputs.cost_items.item</t>
        </is>
      </c>
      <c r="C557" t="inlineStr">
        <is>
          <t>engine_value</t>
        </is>
      </c>
    </row>
    <row r="558">
      <c r="A558" t="inlineStr">
        <is>
          <t>附表6!C8</t>
        </is>
      </c>
      <c r="B558" t="inlineStr">
        <is>
          <t>annual.total_cost+finance_inputs.cost_items.total</t>
        </is>
      </c>
      <c r="C558" t="inlineStr">
        <is>
          <t>engine_value</t>
        </is>
      </c>
    </row>
    <row r="559">
      <c r="A559" t="inlineStr">
        <is>
          <t>附表6!D8</t>
        </is>
      </c>
      <c r="B559" t="inlineStr">
        <is>
          <t>annual.total_cost+finance_inputs.cost_items.period_1</t>
        </is>
      </c>
      <c r="C559" t="inlineStr">
        <is>
          <t>engine_value</t>
        </is>
      </c>
    </row>
    <row r="560">
      <c r="A560" t="inlineStr">
        <is>
          <t>附表6!E8</t>
        </is>
      </c>
      <c r="B560" t="inlineStr">
        <is>
          <t>annual.total_cost+finance_inputs.cost_items.period_2</t>
        </is>
      </c>
      <c r="C560" t="inlineStr">
        <is>
          <t>engine_value</t>
        </is>
      </c>
    </row>
    <row r="561">
      <c r="A561" t="inlineStr">
        <is>
          <t>附表6!F8</t>
        </is>
      </c>
      <c r="B561" t="inlineStr">
        <is>
          <t>annual.total_cost+finance_inputs.cost_items.period_3</t>
        </is>
      </c>
      <c r="C561" t="inlineStr">
        <is>
          <t>engine_value</t>
        </is>
      </c>
    </row>
    <row r="562">
      <c r="A562" t="inlineStr">
        <is>
          <t>附表6!G8</t>
        </is>
      </c>
      <c r="B562" t="inlineStr">
        <is>
          <t>annual.total_cost+finance_inputs.cost_items.period_4</t>
        </is>
      </c>
      <c r="C562" t="inlineStr">
        <is>
          <t>engine_value</t>
        </is>
      </c>
    </row>
    <row r="563">
      <c r="A563" t="inlineStr">
        <is>
          <t>附表6!H8</t>
        </is>
      </c>
      <c r="B563" t="inlineStr">
        <is>
          <t>annual.total_cost+finance_inputs.cost_items.period_5</t>
        </is>
      </c>
      <c r="C563" t="inlineStr">
        <is>
          <t>engine_value</t>
        </is>
      </c>
    </row>
    <row r="564">
      <c r="A564" t="inlineStr">
        <is>
          <t>附表6!I8</t>
        </is>
      </c>
      <c r="B564" t="inlineStr">
        <is>
          <t>annual.total_cost+finance_inputs.cost_items.period_6</t>
        </is>
      </c>
      <c r="C564" t="inlineStr">
        <is>
          <t>engine_value</t>
        </is>
      </c>
    </row>
    <row r="565">
      <c r="A565" t="inlineStr">
        <is>
          <t>附表6!J8</t>
        </is>
      </c>
      <c r="B565" t="inlineStr">
        <is>
          <t>annual.total_cost+finance_inputs.cost_items.period_7</t>
        </is>
      </c>
      <c r="C565" t="inlineStr">
        <is>
          <t>engine_value</t>
        </is>
      </c>
    </row>
    <row r="566">
      <c r="A566" t="inlineStr">
        <is>
          <t>附表6!K8</t>
        </is>
      </c>
      <c r="B566" t="inlineStr">
        <is>
          <t>annual.total_cost+finance_inputs.cost_items.period_8</t>
        </is>
      </c>
      <c r="C566" t="inlineStr">
        <is>
          <t>engine_value</t>
        </is>
      </c>
    </row>
    <row r="567">
      <c r="A567" t="inlineStr">
        <is>
          <t>附表6!L8</t>
        </is>
      </c>
      <c r="B567" t="inlineStr">
        <is>
          <t>annual.total_cost+finance_inputs.cost_items.period_9</t>
        </is>
      </c>
      <c r="C567" t="inlineStr">
        <is>
          <t>engine_value</t>
        </is>
      </c>
    </row>
    <row r="568">
      <c r="A568" t="inlineStr">
        <is>
          <t>附表6!M8</t>
        </is>
      </c>
      <c r="B568" t="inlineStr">
        <is>
          <t>annual.total_cost+finance_inputs.cost_items.period_10</t>
        </is>
      </c>
      <c r="C568" t="inlineStr">
        <is>
          <t>engine_value</t>
        </is>
      </c>
    </row>
    <row r="569">
      <c r="A569" t="inlineStr">
        <is>
          <t>附表6!N8</t>
        </is>
      </c>
      <c r="B569" t="inlineStr">
        <is>
          <t>annual.total_cost+finance_inputs.cost_items.period_11</t>
        </is>
      </c>
      <c r="C569" t="inlineStr">
        <is>
          <t>engine_value</t>
        </is>
      </c>
    </row>
    <row r="570">
      <c r="A570" t="inlineStr">
        <is>
          <t>附表6!O8</t>
        </is>
      </c>
      <c r="B570" t="inlineStr">
        <is>
          <t>annual.total_cost+finance_inputs.cost_items.period_12</t>
        </is>
      </c>
      <c r="C570" t="inlineStr">
        <is>
          <t>engine_value</t>
        </is>
      </c>
    </row>
    <row r="571">
      <c r="A571" t="inlineStr">
        <is>
          <t>附表6!P8</t>
        </is>
      </c>
      <c r="B571" t="inlineStr">
        <is>
          <t>annual.total_cost+finance_inputs.cost_items.period_13</t>
        </is>
      </c>
      <c r="C571" t="inlineStr">
        <is>
          <t>engine_value</t>
        </is>
      </c>
    </row>
    <row r="572">
      <c r="A572" t="inlineStr">
        <is>
          <t>附表6!Q8</t>
        </is>
      </c>
      <c r="B572" t="inlineStr">
        <is>
          <t>annual.total_cost+finance_inputs.cost_items.period_14</t>
        </is>
      </c>
      <c r="C572" t="inlineStr">
        <is>
          <t>engine_value</t>
        </is>
      </c>
    </row>
    <row r="573">
      <c r="A573" t="inlineStr">
        <is>
          <t>附表6!R8</t>
        </is>
      </c>
      <c r="B573" t="inlineStr">
        <is>
          <t>annual.total_cost+finance_inputs.cost_items.period_15</t>
        </is>
      </c>
      <c r="C573" t="inlineStr">
        <is>
          <t>engine_value</t>
        </is>
      </c>
    </row>
    <row r="574">
      <c r="A574" t="inlineStr">
        <is>
          <t>附表6!S8</t>
        </is>
      </c>
      <c r="B574" t="inlineStr">
        <is>
          <t>annual.total_cost+finance_inputs.cost_items.period_16</t>
        </is>
      </c>
      <c r="C574" t="inlineStr">
        <is>
          <t>engine_value</t>
        </is>
      </c>
    </row>
    <row r="575">
      <c r="A575" t="inlineStr">
        <is>
          <t>附表6!T8</t>
        </is>
      </c>
      <c r="B575" t="inlineStr">
        <is>
          <t>annual.total_cost+finance_inputs.cost_items.period_17</t>
        </is>
      </c>
      <c r="C575" t="inlineStr">
        <is>
          <t>engine_value</t>
        </is>
      </c>
    </row>
    <row r="576">
      <c r="A576" t="inlineStr">
        <is>
          <t>附表6!U8</t>
        </is>
      </c>
      <c r="B576" t="inlineStr">
        <is>
          <t>annual.total_cost+finance_inputs.cost_items.period_18</t>
        </is>
      </c>
      <c r="C576" t="inlineStr">
        <is>
          <t>engine_value</t>
        </is>
      </c>
    </row>
    <row r="577">
      <c r="A577" t="inlineStr">
        <is>
          <t>附表6!V8</t>
        </is>
      </c>
      <c r="B577" t="inlineStr">
        <is>
          <t>annual.total_cost+finance_inputs.cost_items.period_19</t>
        </is>
      </c>
      <c r="C577" t="inlineStr">
        <is>
          <t>engine_value</t>
        </is>
      </c>
    </row>
    <row r="578">
      <c r="A578" t="inlineStr">
        <is>
          <t>附表6!W8</t>
        </is>
      </c>
      <c r="B578" t="inlineStr">
        <is>
          <t>annual.total_cost+finance_inputs.cost_items.period_20</t>
        </is>
      </c>
      <c r="C578" t="inlineStr">
        <is>
          <t>engine_value</t>
        </is>
      </c>
    </row>
    <row r="579">
      <c r="A579" t="inlineStr">
        <is>
          <t>附表6!X8</t>
        </is>
      </c>
      <c r="B579" t="inlineStr">
        <is>
          <t>annual.total_cost+finance_inputs.cost_items.period_21</t>
        </is>
      </c>
      <c r="C579" t="inlineStr">
        <is>
          <t>engine_value</t>
        </is>
      </c>
    </row>
    <row r="580">
      <c r="A580" t="inlineStr">
        <is>
          <t>附表6!Y8</t>
        </is>
      </c>
      <c r="B580" t="inlineStr">
        <is>
          <t>annual.total_cost+finance_inputs.cost_items.period_22</t>
        </is>
      </c>
      <c r="C580" t="inlineStr">
        <is>
          <t>engine_value</t>
        </is>
      </c>
    </row>
    <row r="581">
      <c r="A581" t="inlineStr">
        <is>
          <t>附表6!Z8</t>
        </is>
      </c>
      <c r="B581" t="inlineStr">
        <is>
          <t>annual.total_cost+finance_inputs.cost_items.period_23</t>
        </is>
      </c>
      <c r="C581" t="inlineStr">
        <is>
          <t>engine_value</t>
        </is>
      </c>
    </row>
    <row r="582">
      <c r="A582" t="inlineStr">
        <is>
          <t>附表6!AA8</t>
        </is>
      </c>
      <c r="B582" t="inlineStr">
        <is>
          <t>annual.total_cost+finance_inputs.cost_items.period_24</t>
        </is>
      </c>
      <c r="C582" t="inlineStr">
        <is>
          <t>engine_value</t>
        </is>
      </c>
    </row>
    <row r="583">
      <c r="A583" t="inlineStr">
        <is>
          <t>附表6!A9</t>
        </is>
      </c>
      <c r="B583" t="inlineStr">
        <is>
          <t>annual.total_cost+finance_inputs.cost_items.no</t>
        </is>
      </c>
      <c r="C583" t="inlineStr">
        <is>
          <t>engine_value</t>
        </is>
      </c>
    </row>
    <row r="584">
      <c r="A584" t="inlineStr">
        <is>
          <t>附表6!B9</t>
        </is>
      </c>
      <c r="B584" t="inlineStr">
        <is>
          <t>annual.total_cost+finance_inputs.cost_items.item</t>
        </is>
      </c>
      <c r="C584" t="inlineStr">
        <is>
          <t>engine_value</t>
        </is>
      </c>
    </row>
    <row r="585">
      <c r="A585" t="inlineStr">
        <is>
          <t>附表6!C9</t>
        </is>
      </c>
      <c r="B585" t="inlineStr">
        <is>
          <t>annual.total_cost+finance_inputs.cost_items.total</t>
        </is>
      </c>
      <c r="C585" t="inlineStr">
        <is>
          <t>engine_value</t>
        </is>
      </c>
    </row>
    <row r="586">
      <c r="A586" t="inlineStr">
        <is>
          <t>附表6!D9</t>
        </is>
      </c>
      <c r="B586" t="inlineStr">
        <is>
          <t>annual.total_cost+finance_inputs.cost_items.period_1</t>
        </is>
      </c>
      <c r="C586" t="inlineStr">
        <is>
          <t>engine_value</t>
        </is>
      </c>
    </row>
    <row r="587">
      <c r="A587" t="inlineStr">
        <is>
          <t>附表6!E9</t>
        </is>
      </c>
      <c r="B587" t="inlineStr">
        <is>
          <t>annual.total_cost+finance_inputs.cost_items.period_2</t>
        </is>
      </c>
      <c r="C587" t="inlineStr">
        <is>
          <t>engine_value</t>
        </is>
      </c>
    </row>
    <row r="588">
      <c r="A588" t="inlineStr">
        <is>
          <t>附表6!F9</t>
        </is>
      </c>
      <c r="B588" t="inlineStr">
        <is>
          <t>annual.total_cost+finance_inputs.cost_items.period_3</t>
        </is>
      </c>
      <c r="C588" t="inlineStr">
        <is>
          <t>engine_value</t>
        </is>
      </c>
    </row>
    <row r="589">
      <c r="A589" t="inlineStr">
        <is>
          <t>附表6!G9</t>
        </is>
      </c>
      <c r="B589" t="inlineStr">
        <is>
          <t>annual.total_cost+finance_inputs.cost_items.period_4</t>
        </is>
      </c>
      <c r="C589" t="inlineStr">
        <is>
          <t>engine_value</t>
        </is>
      </c>
    </row>
    <row r="590">
      <c r="A590" t="inlineStr">
        <is>
          <t>附表6!H9</t>
        </is>
      </c>
      <c r="B590" t="inlineStr">
        <is>
          <t>annual.total_cost+finance_inputs.cost_items.period_5</t>
        </is>
      </c>
      <c r="C590" t="inlineStr">
        <is>
          <t>engine_value</t>
        </is>
      </c>
    </row>
    <row r="591">
      <c r="A591" t="inlineStr">
        <is>
          <t>附表6!I9</t>
        </is>
      </c>
      <c r="B591" t="inlineStr">
        <is>
          <t>annual.total_cost+finance_inputs.cost_items.period_6</t>
        </is>
      </c>
      <c r="C591" t="inlineStr">
        <is>
          <t>engine_value</t>
        </is>
      </c>
    </row>
    <row r="592">
      <c r="A592" t="inlineStr">
        <is>
          <t>附表6!J9</t>
        </is>
      </c>
      <c r="B592" t="inlineStr">
        <is>
          <t>annual.total_cost+finance_inputs.cost_items.period_7</t>
        </is>
      </c>
      <c r="C592" t="inlineStr">
        <is>
          <t>engine_value</t>
        </is>
      </c>
    </row>
    <row r="593">
      <c r="A593" t="inlineStr">
        <is>
          <t>附表6!K9</t>
        </is>
      </c>
      <c r="B593" t="inlineStr">
        <is>
          <t>annual.total_cost+finance_inputs.cost_items.period_8</t>
        </is>
      </c>
      <c r="C593" t="inlineStr">
        <is>
          <t>engine_value</t>
        </is>
      </c>
    </row>
    <row r="594">
      <c r="A594" t="inlineStr">
        <is>
          <t>附表6!L9</t>
        </is>
      </c>
      <c r="B594" t="inlineStr">
        <is>
          <t>annual.total_cost+finance_inputs.cost_items.period_9</t>
        </is>
      </c>
      <c r="C594" t="inlineStr">
        <is>
          <t>engine_value</t>
        </is>
      </c>
    </row>
    <row r="595">
      <c r="A595" t="inlineStr">
        <is>
          <t>附表6!M9</t>
        </is>
      </c>
      <c r="B595" t="inlineStr">
        <is>
          <t>annual.total_cost+finance_inputs.cost_items.period_10</t>
        </is>
      </c>
      <c r="C595" t="inlineStr">
        <is>
          <t>engine_value</t>
        </is>
      </c>
    </row>
    <row r="596">
      <c r="A596" t="inlineStr">
        <is>
          <t>附表6!N9</t>
        </is>
      </c>
      <c r="B596" t="inlineStr">
        <is>
          <t>annual.total_cost+finance_inputs.cost_items.period_11</t>
        </is>
      </c>
      <c r="C596" t="inlineStr">
        <is>
          <t>engine_value</t>
        </is>
      </c>
    </row>
    <row r="597">
      <c r="A597" t="inlineStr">
        <is>
          <t>附表6!O9</t>
        </is>
      </c>
      <c r="B597" t="inlineStr">
        <is>
          <t>annual.total_cost+finance_inputs.cost_items.period_12</t>
        </is>
      </c>
      <c r="C597" t="inlineStr">
        <is>
          <t>engine_value</t>
        </is>
      </c>
    </row>
    <row r="598">
      <c r="A598" t="inlineStr">
        <is>
          <t>附表6!P9</t>
        </is>
      </c>
      <c r="B598" t="inlineStr">
        <is>
          <t>annual.total_cost+finance_inputs.cost_items.period_13</t>
        </is>
      </c>
      <c r="C598" t="inlineStr">
        <is>
          <t>engine_value</t>
        </is>
      </c>
    </row>
    <row r="599">
      <c r="A599" t="inlineStr">
        <is>
          <t>附表6!Q9</t>
        </is>
      </c>
      <c r="B599" t="inlineStr">
        <is>
          <t>annual.total_cost+finance_inputs.cost_items.period_14</t>
        </is>
      </c>
      <c r="C599" t="inlineStr">
        <is>
          <t>engine_value</t>
        </is>
      </c>
    </row>
    <row r="600">
      <c r="A600" t="inlineStr">
        <is>
          <t>附表6!R9</t>
        </is>
      </c>
      <c r="B600" t="inlineStr">
        <is>
          <t>annual.total_cost+finance_inputs.cost_items.period_15</t>
        </is>
      </c>
      <c r="C600" t="inlineStr">
        <is>
          <t>engine_value</t>
        </is>
      </c>
    </row>
    <row r="601">
      <c r="A601" t="inlineStr">
        <is>
          <t>附表6!S9</t>
        </is>
      </c>
      <c r="B601" t="inlineStr">
        <is>
          <t>annual.total_cost+finance_inputs.cost_items.period_16</t>
        </is>
      </c>
      <c r="C601" t="inlineStr">
        <is>
          <t>engine_value</t>
        </is>
      </c>
    </row>
    <row r="602">
      <c r="A602" t="inlineStr">
        <is>
          <t>附表6!T9</t>
        </is>
      </c>
      <c r="B602" t="inlineStr">
        <is>
          <t>annual.total_cost+finance_inputs.cost_items.period_17</t>
        </is>
      </c>
      <c r="C602" t="inlineStr">
        <is>
          <t>engine_value</t>
        </is>
      </c>
    </row>
    <row r="603">
      <c r="A603" t="inlineStr">
        <is>
          <t>附表6!U9</t>
        </is>
      </c>
      <c r="B603" t="inlineStr">
        <is>
          <t>annual.total_cost+finance_inputs.cost_items.period_18</t>
        </is>
      </c>
      <c r="C603" t="inlineStr">
        <is>
          <t>engine_value</t>
        </is>
      </c>
    </row>
    <row r="604">
      <c r="A604" t="inlineStr">
        <is>
          <t>附表6!V9</t>
        </is>
      </c>
      <c r="B604" t="inlineStr">
        <is>
          <t>annual.total_cost+finance_inputs.cost_items.period_19</t>
        </is>
      </c>
      <c r="C604" t="inlineStr">
        <is>
          <t>engine_value</t>
        </is>
      </c>
    </row>
    <row r="605">
      <c r="A605" t="inlineStr">
        <is>
          <t>附表6!W9</t>
        </is>
      </c>
      <c r="B605" t="inlineStr">
        <is>
          <t>annual.total_cost+finance_inputs.cost_items.period_20</t>
        </is>
      </c>
      <c r="C605" t="inlineStr">
        <is>
          <t>engine_value</t>
        </is>
      </c>
    </row>
    <row r="606">
      <c r="A606" t="inlineStr">
        <is>
          <t>附表6!X9</t>
        </is>
      </c>
      <c r="B606" t="inlineStr">
        <is>
          <t>annual.total_cost+finance_inputs.cost_items.period_21</t>
        </is>
      </c>
      <c r="C606" t="inlineStr">
        <is>
          <t>engine_value</t>
        </is>
      </c>
    </row>
    <row r="607">
      <c r="A607" t="inlineStr">
        <is>
          <t>附表6!Y9</t>
        </is>
      </c>
      <c r="B607" t="inlineStr">
        <is>
          <t>annual.total_cost+finance_inputs.cost_items.period_22</t>
        </is>
      </c>
      <c r="C607" t="inlineStr">
        <is>
          <t>engine_value</t>
        </is>
      </c>
    </row>
    <row r="608">
      <c r="A608" t="inlineStr">
        <is>
          <t>附表6!Z9</t>
        </is>
      </c>
      <c r="B608" t="inlineStr">
        <is>
          <t>annual.total_cost+finance_inputs.cost_items.period_23</t>
        </is>
      </c>
      <c r="C608" t="inlineStr">
        <is>
          <t>engine_value</t>
        </is>
      </c>
    </row>
    <row r="609">
      <c r="A609" t="inlineStr">
        <is>
          <t>附表6!AA9</t>
        </is>
      </c>
      <c r="B609" t="inlineStr">
        <is>
          <t>annual.total_cost+finance_inputs.cost_items.period_24</t>
        </is>
      </c>
      <c r="C609" t="inlineStr">
        <is>
          <t>engine_value</t>
        </is>
      </c>
    </row>
    <row r="610">
      <c r="A610" t="inlineStr">
        <is>
          <t>附表6!A10</t>
        </is>
      </c>
      <c r="B610" t="inlineStr">
        <is>
          <t>annual.total_cost+finance_inputs.cost_items.no</t>
        </is>
      </c>
      <c r="C610" t="inlineStr">
        <is>
          <t>engine_value</t>
        </is>
      </c>
    </row>
    <row r="611">
      <c r="A611" t="inlineStr">
        <is>
          <t>附表6!B10</t>
        </is>
      </c>
      <c r="B611" t="inlineStr">
        <is>
          <t>annual.total_cost+finance_inputs.cost_items.item</t>
        </is>
      </c>
      <c r="C611" t="inlineStr">
        <is>
          <t>engine_value</t>
        </is>
      </c>
    </row>
    <row r="612">
      <c r="A612" t="inlineStr">
        <is>
          <t>附表6!C10</t>
        </is>
      </c>
      <c r="B612" t="inlineStr">
        <is>
          <t>annual.total_cost+finance_inputs.cost_items.total</t>
        </is>
      </c>
      <c r="C612" t="inlineStr">
        <is>
          <t>engine_value</t>
        </is>
      </c>
    </row>
    <row r="613">
      <c r="A613" t="inlineStr">
        <is>
          <t>附表6!D10</t>
        </is>
      </c>
      <c r="B613" t="inlineStr">
        <is>
          <t>annual.total_cost+finance_inputs.cost_items.period_1</t>
        </is>
      </c>
      <c r="C613" t="inlineStr">
        <is>
          <t>engine_value</t>
        </is>
      </c>
    </row>
    <row r="614">
      <c r="A614" t="inlineStr">
        <is>
          <t>附表6!E10</t>
        </is>
      </c>
      <c r="B614" t="inlineStr">
        <is>
          <t>annual.total_cost+finance_inputs.cost_items.period_2</t>
        </is>
      </c>
      <c r="C614" t="inlineStr">
        <is>
          <t>engine_value</t>
        </is>
      </c>
    </row>
    <row r="615">
      <c r="A615" t="inlineStr">
        <is>
          <t>附表6!F10</t>
        </is>
      </c>
      <c r="B615" t="inlineStr">
        <is>
          <t>annual.total_cost+finance_inputs.cost_items.period_3</t>
        </is>
      </c>
      <c r="C615" t="inlineStr">
        <is>
          <t>engine_value</t>
        </is>
      </c>
    </row>
    <row r="616">
      <c r="A616" t="inlineStr">
        <is>
          <t>附表6!G10</t>
        </is>
      </c>
      <c r="B616" t="inlineStr">
        <is>
          <t>annual.total_cost+finance_inputs.cost_items.period_4</t>
        </is>
      </c>
      <c r="C616" t="inlineStr">
        <is>
          <t>engine_value</t>
        </is>
      </c>
    </row>
    <row r="617">
      <c r="A617" t="inlineStr">
        <is>
          <t>附表6!H10</t>
        </is>
      </c>
      <c r="B617" t="inlineStr">
        <is>
          <t>annual.total_cost+finance_inputs.cost_items.period_5</t>
        </is>
      </c>
      <c r="C617" t="inlineStr">
        <is>
          <t>engine_value</t>
        </is>
      </c>
    </row>
    <row r="618">
      <c r="A618" t="inlineStr">
        <is>
          <t>附表6!I10</t>
        </is>
      </c>
      <c r="B618" t="inlineStr">
        <is>
          <t>annual.total_cost+finance_inputs.cost_items.period_6</t>
        </is>
      </c>
      <c r="C618" t="inlineStr">
        <is>
          <t>engine_value</t>
        </is>
      </c>
    </row>
    <row r="619">
      <c r="A619" t="inlineStr">
        <is>
          <t>附表6!J10</t>
        </is>
      </c>
      <c r="B619" t="inlineStr">
        <is>
          <t>annual.total_cost+finance_inputs.cost_items.period_7</t>
        </is>
      </c>
      <c r="C619" t="inlineStr">
        <is>
          <t>engine_value</t>
        </is>
      </c>
    </row>
    <row r="620">
      <c r="A620" t="inlineStr">
        <is>
          <t>附表6!K10</t>
        </is>
      </c>
      <c r="B620" t="inlineStr">
        <is>
          <t>annual.total_cost+finance_inputs.cost_items.period_8</t>
        </is>
      </c>
      <c r="C620" t="inlineStr">
        <is>
          <t>engine_value</t>
        </is>
      </c>
    </row>
    <row r="621">
      <c r="A621" t="inlineStr">
        <is>
          <t>附表6!L10</t>
        </is>
      </c>
      <c r="B621" t="inlineStr">
        <is>
          <t>annual.total_cost+finance_inputs.cost_items.period_9</t>
        </is>
      </c>
      <c r="C621" t="inlineStr">
        <is>
          <t>engine_value</t>
        </is>
      </c>
    </row>
    <row r="622">
      <c r="A622" t="inlineStr">
        <is>
          <t>附表6!M10</t>
        </is>
      </c>
      <c r="B622" t="inlineStr">
        <is>
          <t>annual.total_cost+finance_inputs.cost_items.period_10</t>
        </is>
      </c>
      <c r="C622" t="inlineStr">
        <is>
          <t>engine_value</t>
        </is>
      </c>
    </row>
    <row r="623">
      <c r="A623" t="inlineStr">
        <is>
          <t>附表6!N10</t>
        </is>
      </c>
      <c r="B623" t="inlineStr">
        <is>
          <t>annual.total_cost+finance_inputs.cost_items.period_11</t>
        </is>
      </c>
      <c r="C623" t="inlineStr">
        <is>
          <t>engine_value</t>
        </is>
      </c>
    </row>
    <row r="624">
      <c r="A624" t="inlineStr">
        <is>
          <t>附表6!O10</t>
        </is>
      </c>
      <c r="B624" t="inlineStr">
        <is>
          <t>annual.total_cost+finance_inputs.cost_items.period_12</t>
        </is>
      </c>
      <c r="C624" t="inlineStr">
        <is>
          <t>engine_value</t>
        </is>
      </c>
    </row>
    <row r="625">
      <c r="A625" t="inlineStr">
        <is>
          <t>附表6!P10</t>
        </is>
      </c>
      <c r="B625" t="inlineStr">
        <is>
          <t>annual.total_cost+finance_inputs.cost_items.period_13</t>
        </is>
      </c>
      <c r="C625" t="inlineStr">
        <is>
          <t>engine_value</t>
        </is>
      </c>
    </row>
    <row r="626">
      <c r="A626" t="inlineStr">
        <is>
          <t>附表6!Q10</t>
        </is>
      </c>
      <c r="B626" t="inlineStr">
        <is>
          <t>annual.total_cost+finance_inputs.cost_items.period_14</t>
        </is>
      </c>
      <c r="C626" t="inlineStr">
        <is>
          <t>engine_value</t>
        </is>
      </c>
    </row>
    <row r="627">
      <c r="A627" t="inlineStr">
        <is>
          <t>附表6!R10</t>
        </is>
      </c>
      <c r="B627" t="inlineStr">
        <is>
          <t>annual.total_cost+finance_inputs.cost_items.period_15</t>
        </is>
      </c>
      <c r="C627" t="inlineStr">
        <is>
          <t>engine_value</t>
        </is>
      </c>
    </row>
    <row r="628">
      <c r="A628" t="inlineStr">
        <is>
          <t>附表6!S10</t>
        </is>
      </c>
      <c r="B628" t="inlineStr">
        <is>
          <t>annual.total_cost+finance_inputs.cost_items.period_16</t>
        </is>
      </c>
      <c r="C628" t="inlineStr">
        <is>
          <t>engine_value</t>
        </is>
      </c>
    </row>
    <row r="629">
      <c r="A629" t="inlineStr">
        <is>
          <t>附表6!T10</t>
        </is>
      </c>
      <c r="B629" t="inlineStr">
        <is>
          <t>annual.total_cost+finance_inputs.cost_items.period_17</t>
        </is>
      </c>
      <c r="C629" t="inlineStr">
        <is>
          <t>engine_value</t>
        </is>
      </c>
    </row>
    <row r="630">
      <c r="A630" t="inlineStr">
        <is>
          <t>附表6!U10</t>
        </is>
      </c>
      <c r="B630" t="inlineStr">
        <is>
          <t>annual.total_cost+finance_inputs.cost_items.period_18</t>
        </is>
      </c>
      <c r="C630" t="inlineStr">
        <is>
          <t>engine_value</t>
        </is>
      </c>
    </row>
    <row r="631">
      <c r="A631" t="inlineStr">
        <is>
          <t>附表6!V10</t>
        </is>
      </c>
      <c r="B631" t="inlineStr">
        <is>
          <t>annual.total_cost+finance_inputs.cost_items.period_19</t>
        </is>
      </c>
      <c r="C631" t="inlineStr">
        <is>
          <t>engine_value</t>
        </is>
      </c>
    </row>
    <row r="632">
      <c r="A632" t="inlineStr">
        <is>
          <t>附表6!W10</t>
        </is>
      </c>
      <c r="B632" t="inlineStr">
        <is>
          <t>annual.total_cost+finance_inputs.cost_items.period_20</t>
        </is>
      </c>
      <c r="C632" t="inlineStr">
        <is>
          <t>engine_value</t>
        </is>
      </c>
    </row>
    <row r="633">
      <c r="A633" t="inlineStr">
        <is>
          <t>附表6!X10</t>
        </is>
      </c>
      <c r="B633" t="inlineStr">
        <is>
          <t>annual.total_cost+finance_inputs.cost_items.period_21</t>
        </is>
      </c>
      <c r="C633" t="inlineStr">
        <is>
          <t>engine_value</t>
        </is>
      </c>
    </row>
    <row r="634">
      <c r="A634" t="inlineStr">
        <is>
          <t>附表6!Y10</t>
        </is>
      </c>
      <c r="B634" t="inlineStr">
        <is>
          <t>annual.total_cost+finance_inputs.cost_items.period_22</t>
        </is>
      </c>
      <c r="C634" t="inlineStr">
        <is>
          <t>engine_value</t>
        </is>
      </c>
    </row>
    <row r="635">
      <c r="A635" t="inlineStr">
        <is>
          <t>附表6!Z10</t>
        </is>
      </c>
      <c r="B635" t="inlineStr">
        <is>
          <t>annual.total_cost+finance_inputs.cost_items.period_23</t>
        </is>
      </c>
      <c r="C635" t="inlineStr">
        <is>
          <t>engine_value</t>
        </is>
      </c>
    </row>
    <row r="636">
      <c r="A636" t="inlineStr">
        <is>
          <t>附表6!AA10</t>
        </is>
      </c>
      <c r="B636" t="inlineStr">
        <is>
          <t>annual.total_cost+finance_inputs.cost_items.period_24</t>
        </is>
      </c>
      <c r="C636" t="inlineStr">
        <is>
          <t>engine_value</t>
        </is>
      </c>
    </row>
    <row r="637">
      <c r="A637" t="inlineStr">
        <is>
          <t>附表6!A11</t>
        </is>
      </c>
      <c r="B637" t="inlineStr">
        <is>
          <t>annual.total_cost+finance_inputs.cost_items.no</t>
        </is>
      </c>
      <c r="C637" t="inlineStr">
        <is>
          <t>engine_value</t>
        </is>
      </c>
    </row>
    <row r="638">
      <c r="A638" t="inlineStr">
        <is>
          <t>附表6!B11</t>
        </is>
      </c>
      <c r="B638" t="inlineStr">
        <is>
          <t>annual.total_cost+finance_inputs.cost_items.item</t>
        </is>
      </c>
      <c r="C638" t="inlineStr">
        <is>
          <t>engine_value</t>
        </is>
      </c>
    </row>
    <row r="639">
      <c r="A639" t="inlineStr">
        <is>
          <t>附表6!C11</t>
        </is>
      </c>
      <c r="B639" t="inlineStr">
        <is>
          <t>annual.total_cost+finance_inputs.cost_items.total</t>
        </is>
      </c>
      <c r="C639" t="inlineStr">
        <is>
          <t>engine_value</t>
        </is>
      </c>
    </row>
    <row r="640">
      <c r="A640" t="inlineStr">
        <is>
          <t>附表6!D11</t>
        </is>
      </c>
      <c r="B640" t="inlineStr">
        <is>
          <t>annual.total_cost+finance_inputs.cost_items.period_1</t>
        </is>
      </c>
      <c r="C640" t="inlineStr">
        <is>
          <t>engine_value</t>
        </is>
      </c>
    </row>
    <row r="641">
      <c r="A641" t="inlineStr">
        <is>
          <t>附表6!E11</t>
        </is>
      </c>
      <c r="B641" t="inlineStr">
        <is>
          <t>annual.total_cost+finance_inputs.cost_items.period_2</t>
        </is>
      </c>
      <c r="C641" t="inlineStr">
        <is>
          <t>engine_value</t>
        </is>
      </c>
    </row>
    <row r="642">
      <c r="A642" t="inlineStr">
        <is>
          <t>附表6!F11</t>
        </is>
      </c>
      <c r="B642" t="inlineStr">
        <is>
          <t>annual.total_cost+finance_inputs.cost_items.period_3</t>
        </is>
      </c>
      <c r="C642" t="inlineStr">
        <is>
          <t>engine_value</t>
        </is>
      </c>
    </row>
    <row r="643">
      <c r="A643" t="inlineStr">
        <is>
          <t>附表6!G11</t>
        </is>
      </c>
      <c r="B643" t="inlineStr">
        <is>
          <t>annual.total_cost+finance_inputs.cost_items.period_4</t>
        </is>
      </c>
      <c r="C643" t="inlineStr">
        <is>
          <t>engine_value</t>
        </is>
      </c>
    </row>
    <row r="644">
      <c r="A644" t="inlineStr">
        <is>
          <t>附表6!H11</t>
        </is>
      </c>
      <c r="B644" t="inlineStr">
        <is>
          <t>annual.total_cost+finance_inputs.cost_items.period_5</t>
        </is>
      </c>
      <c r="C644" t="inlineStr">
        <is>
          <t>engine_value</t>
        </is>
      </c>
    </row>
    <row r="645">
      <c r="A645" t="inlineStr">
        <is>
          <t>附表6!I11</t>
        </is>
      </c>
      <c r="B645" t="inlineStr">
        <is>
          <t>annual.total_cost+finance_inputs.cost_items.period_6</t>
        </is>
      </c>
      <c r="C645" t="inlineStr">
        <is>
          <t>engine_value</t>
        </is>
      </c>
    </row>
    <row r="646">
      <c r="A646" t="inlineStr">
        <is>
          <t>附表6!J11</t>
        </is>
      </c>
      <c r="B646" t="inlineStr">
        <is>
          <t>annual.total_cost+finance_inputs.cost_items.period_7</t>
        </is>
      </c>
      <c r="C646" t="inlineStr">
        <is>
          <t>engine_value</t>
        </is>
      </c>
    </row>
    <row r="647">
      <c r="A647" t="inlineStr">
        <is>
          <t>附表6!K11</t>
        </is>
      </c>
      <c r="B647" t="inlineStr">
        <is>
          <t>annual.total_cost+finance_inputs.cost_items.period_8</t>
        </is>
      </c>
      <c r="C647" t="inlineStr">
        <is>
          <t>engine_value</t>
        </is>
      </c>
    </row>
    <row r="648">
      <c r="A648" t="inlineStr">
        <is>
          <t>附表6!L11</t>
        </is>
      </c>
      <c r="B648" t="inlineStr">
        <is>
          <t>annual.total_cost+finance_inputs.cost_items.period_9</t>
        </is>
      </c>
      <c r="C648" t="inlineStr">
        <is>
          <t>engine_value</t>
        </is>
      </c>
    </row>
    <row r="649">
      <c r="A649" t="inlineStr">
        <is>
          <t>附表6!M11</t>
        </is>
      </c>
      <c r="B649" t="inlineStr">
        <is>
          <t>annual.total_cost+finance_inputs.cost_items.period_10</t>
        </is>
      </c>
      <c r="C649" t="inlineStr">
        <is>
          <t>engine_value</t>
        </is>
      </c>
    </row>
    <row r="650">
      <c r="A650" t="inlineStr">
        <is>
          <t>附表6!N11</t>
        </is>
      </c>
      <c r="B650" t="inlineStr">
        <is>
          <t>annual.total_cost+finance_inputs.cost_items.period_11</t>
        </is>
      </c>
      <c r="C650" t="inlineStr">
        <is>
          <t>engine_value</t>
        </is>
      </c>
    </row>
    <row r="651">
      <c r="A651" t="inlineStr">
        <is>
          <t>附表6!O11</t>
        </is>
      </c>
      <c r="B651" t="inlineStr">
        <is>
          <t>annual.total_cost+finance_inputs.cost_items.period_12</t>
        </is>
      </c>
      <c r="C651" t="inlineStr">
        <is>
          <t>engine_value</t>
        </is>
      </c>
    </row>
    <row r="652">
      <c r="A652" t="inlineStr">
        <is>
          <t>附表6!P11</t>
        </is>
      </c>
      <c r="B652" t="inlineStr">
        <is>
          <t>annual.total_cost+finance_inputs.cost_items.period_13</t>
        </is>
      </c>
      <c r="C652" t="inlineStr">
        <is>
          <t>engine_value</t>
        </is>
      </c>
    </row>
    <row r="653">
      <c r="A653" t="inlineStr">
        <is>
          <t>附表6!Q11</t>
        </is>
      </c>
      <c r="B653" t="inlineStr">
        <is>
          <t>annual.total_cost+finance_inputs.cost_items.period_14</t>
        </is>
      </c>
      <c r="C653" t="inlineStr">
        <is>
          <t>engine_value</t>
        </is>
      </c>
    </row>
    <row r="654">
      <c r="A654" t="inlineStr">
        <is>
          <t>附表6!R11</t>
        </is>
      </c>
      <c r="B654" t="inlineStr">
        <is>
          <t>annual.total_cost+finance_inputs.cost_items.period_15</t>
        </is>
      </c>
      <c r="C654" t="inlineStr">
        <is>
          <t>engine_value</t>
        </is>
      </c>
    </row>
    <row r="655">
      <c r="A655" t="inlineStr">
        <is>
          <t>附表6!S11</t>
        </is>
      </c>
      <c r="B655" t="inlineStr">
        <is>
          <t>annual.total_cost+finance_inputs.cost_items.period_16</t>
        </is>
      </c>
      <c r="C655" t="inlineStr">
        <is>
          <t>engine_value</t>
        </is>
      </c>
    </row>
    <row r="656">
      <c r="A656" t="inlineStr">
        <is>
          <t>附表6!T11</t>
        </is>
      </c>
      <c r="B656" t="inlineStr">
        <is>
          <t>annual.total_cost+finance_inputs.cost_items.period_17</t>
        </is>
      </c>
      <c r="C656" t="inlineStr">
        <is>
          <t>engine_value</t>
        </is>
      </c>
    </row>
    <row r="657">
      <c r="A657" t="inlineStr">
        <is>
          <t>附表6!U11</t>
        </is>
      </c>
      <c r="B657" t="inlineStr">
        <is>
          <t>annual.total_cost+finance_inputs.cost_items.period_18</t>
        </is>
      </c>
      <c r="C657" t="inlineStr">
        <is>
          <t>engine_value</t>
        </is>
      </c>
    </row>
    <row r="658">
      <c r="A658" t="inlineStr">
        <is>
          <t>附表6!V11</t>
        </is>
      </c>
      <c r="B658" t="inlineStr">
        <is>
          <t>annual.total_cost+finance_inputs.cost_items.period_19</t>
        </is>
      </c>
      <c r="C658" t="inlineStr">
        <is>
          <t>engine_value</t>
        </is>
      </c>
    </row>
    <row r="659">
      <c r="A659" t="inlineStr">
        <is>
          <t>附表6!W11</t>
        </is>
      </c>
      <c r="B659" t="inlineStr">
        <is>
          <t>annual.total_cost+finance_inputs.cost_items.period_20</t>
        </is>
      </c>
      <c r="C659" t="inlineStr">
        <is>
          <t>engine_value</t>
        </is>
      </c>
    </row>
    <row r="660">
      <c r="A660" t="inlineStr">
        <is>
          <t>附表6!X11</t>
        </is>
      </c>
      <c r="B660" t="inlineStr">
        <is>
          <t>annual.total_cost+finance_inputs.cost_items.period_21</t>
        </is>
      </c>
      <c r="C660" t="inlineStr">
        <is>
          <t>engine_value</t>
        </is>
      </c>
    </row>
    <row r="661">
      <c r="A661" t="inlineStr">
        <is>
          <t>附表6!Y11</t>
        </is>
      </c>
      <c r="B661" t="inlineStr">
        <is>
          <t>annual.total_cost+finance_inputs.cost_items.period_22</t>
        </is>
      </c>
      <c r="C661" t="inlineStr">
        <is>
          <t>engine_value</t>
        </is>
      </c>
    </row>
    <row r="662">
      <c r="A662" t="inlineStr">
        <is>
          <t>附表6!Z11</t>
        </is>
      </c>
      <c r="B662" t="inlineStr">
        <is>
          <t>annual.total_cost+finance_inputs.cost_items.period_23</t>
        </is>
      </c>
      <c r="C662" t="inlineStr">
        <is>
          <t>engine_value</t>
        </is>
      </c>
    </row>
    <row r="663">
      <c r="A663" t="inlineStr">
        <is>
          <t>附表6!AA11</t>
        </is>
      </c>
      <c r="B663" t="inlineStr">
        <is>
          <t>annual.total_cost+finance_inputs.cost_items.period_24</t>
        </is>
      </c>
      <c r="C663" t="inlineStr">
        <is>
          <t>engine_value</t>
        </is>
      </c>
    </row>
    <row r="664">
      <c r="A664" t="inlineStr">
        <is>
          <t>附表6!A12</t>
        </is>
      </c>
      <c r="B664" t="inlineStr">
        <is>
          <t>annual.total_cost+finance_inputs.cost_items.no</t>
        </is>
      </c>
      <c r="C664" t="inlineStr">
        <is>
          <t>engine_value</t>
        </is>
      </c>
    </row>
    <row r="665">
      <c r="A665" t="inlineStr">
        <is>
          <t>附表6!B12</t>
        </is>
      </c>
      <c r="B665" t="inlineStr">
        <is>
          <t>annual.total_cost+finance_inputs.cost_items.item</t>
        </is>
      </c>
      <c r="C665" t="inlineStr">
        <is>
          <t>engine_value</t>
        </is>
      </c>
    </row>
    <row r="666">
      <c r="A666" t="inlineStr">
        <is>
          <t>附表6!C12</t>
        </is>
      </c>
      <c r="B666" t="inlineStr">
        <is>
          <t>annual.total_cost+finance_inputs.cost_items.total</t>
        </is>
      </c>
      <c r="C666" t="inlineStr">
        <is>
          <t>engine_value</t>
        </is>
      </c>
    </row>
    <row r="667">
      <c r="A667" t="inlineStr">
        <is>
          <t>附表6!D12</t>
        </is>
      </c>
      <c r="B667" t="inlineStr">
        <is>
          <t>annual.total_cost+finance_inputs.cost_items.period_1</t>
        </is>
      </c>
      <c r="C667" t="inlineStr">
        <is>
          <t>engine_value</t>
        </is>
      </c>
    </row>
    <row r="668">
      <c r="A668" t="inlineStr">
        <is>
          <t>附表6!E12</t>
        </is>
      </c>
      <c r="B668" t="inlineStr">
        <is>
          <t>annual.total_cost+finance_inputs.cost_items.period_2</t>
        </is>
      </c>
      <c r="C668" t="inlineStr">
        <is>
          <t>engine_value</t>
        </is>
      </c>
    </row>
    <row r="669">
      <c r="A669" t="inlineStr">
        <is>
          <t>附表6!F12</t>
        </is>
      </c>
      <c r="B669" t="inlineStr">
        <is>
          <t>annual.total_cost+finance_inputs.cost_items.period_3</t>
        </is>
      </c>
      <c r="C669" t="inlineStr">
        <is>
          <t>engine_value</t>
        </is>
      </c>
    </row>
    <row r="670">
      <c r="A670" t="inlineStr">
        <is>
          <t>附表6!G12</t>
        </is>
      </c>
      <c r="B670" t="inlineStr">
        <is>
          <t>annual.total_cost+finance_inputs.cost_items.period_4</t>
        </is>
      </c>
      <c r="C670" t="inlineStr">
        <is>
          <t>engine_value</t>
        </is>
      </c>
    </row>
    <row r="671">
      <c r="A671" t="inlineStr">
        <is>
          <t>附表6!H12</t>
        </is>
      </c>
      <c r="B671" t="inlineStr">
        <is>
          <t>annual.total_cost+finance_inputs.cost_items.period_5</t>
        </is>
      </c>
      <c r="C671" t="inlineStr">
        <is>
          <t>engine_value</t>
        </is>
      </c>
    </row>
    <row r="672">
      <c r="A672" t="inlineStr">
        <is>
          <t>附表6!I12</t>
        </is>
      </c>
      <c r="B672" t="inlineStr">
        <is>
          <t>annual.total_cost+finance_inputs.cost_items.period_6</t>
        </is>
      </c>
      <c r="C672" t="inlineStr">
        <is>
          <t>engine_value</t>
        </is>
      </c>
    </row>
    <row r="673">
      <c r="A673" t="inlineStr">
        <is>
          <t>附表6!J12</t>
        </is>
      </c>
      <c r="B673" t="inlineStr">
        <is>
          <t>annual.total_cost+finance_inputs.cost_items.period_7</t>
        </is>
      </c>
      <c r="C673" t="inlineStr">
        <is>
          <t>engine_value</t>
        </is>
      </c>
    </row>
    <row r="674">
      <c r="A674" t="inlineStr">
        <is>
          <t>附表6!K12</t>
        </is>
      </c>
      <c r="B674" t="inlineStr">
        <is>
          <t>annual.total_cost+finance_inputs.cost_items.period_8</t>
        </is>
      </c>
      <c r="C674" t="inlineStr">
        <is>
          <t>engine_value</t>
        </is>
      </c>
    </row>
    <row r="675">
      <c r="A675" t="inlineStr">
        <is>
          <t>附表6!L12</t>
        </is>
      </c>
      <c r="B675" t="inlineStr">
        <is>
          <t>annual.total_cost+finance_inputs.cost_items.period_9</t>
        </is>
      </c>
      <c r="C675" t="inlineStr">
        <is>
          <t>engine_value</t>
        </is>
      </c>
    </row>
    <row r="676">
      <c r="A676" t="inlineStr">
        <is>
          <t>附表6!M12</t>
        </is>
      </c>
      <c r="B676" t="inlineStr">
        <is>
          <t>annual.total_cost+finance_inputs.cost_items.period_10</t>
        </is>
      </c>
      <c r="C676" t="inlineStr">
        <is>
          <t>engine_value</t>
        </is>
      </c>
    </row>
    <row r="677">
      <c r="A677" t="inlineStr">
        <is>
          <t>附表6!N12</t>
        </is>
      </c>
      <c r="B677" t="inlineStr">
        <is>
          <t>annual.total_cost+finance_inputs.cost_items.period_11</t>
        </is>
      </c>
      <c r="C677" t="inlineStr">
        <is>
          <t>engine_value</t>
        </is>
      </c>
    </row>
    <row r="678">
      <c r="A678" t="inlineStr">
        <is>
          <t>附表6!O12</t>
        </is>
      </c>
      <c r="B678" t="inlineStr">
        <is>
          <t>annual.total_cost+finance_inputs.cost_items.period_12</t>
        </is>
      </c>
      <c r="C678" t="inlineStr">
        <is>
          <t>engine_value</t>
        </is>
      </c>
    </row>
    <row r="679">
      <c r="A679" t="inlineStr">
        <is>
          <t>附表6!P12</t>
        </is>
      </c>
      <c r="B679" t="inlineStr">
        <is>
          <t>annual.total_cost+finance_inputs.cost_items.period_13</t>
        </is>
      </c>
      <c r="C679" t="inlineStr">
        <is>
          <t>engine_value</t>
        </is>
      </c>
    </row>
    <row r="680">
      <c r="A680" t="inlineStr">
        <is>
          <t>附表6!Q12</t>
        </is>
      </c>
      <c r="B680" t="inlineStr">
        <is>
          <t>annual.total_cost+finance_inputs.cost_items.period_14</t>
        </is>
      </c>
      <c r="C680" t="inlineStr">
        <is>
          <t>engine_value</t>
        </is>
      </c>
    </row>
    <row r="681">
      <c r="A681" t="inlineStr">
        <is>
          <t>附表6!R12</t>
        </is>
      </c>
      <c r="B681" t="inlineStr">
        <is>
          <t>annual.total_cost+finance_inputs.cost_items.period_15</t>
        </is>
      </c>
      <c r="C681" t="inlineStr">
        <is>
          <t>engine_value</t>
        </is>
      </c>
    </row>
    <row r="682">
      <c r="A682" t="inlineStr">
        <is>
          <t>附表6!S12</t>
        </is>
      </c>
      <c r="B682" t="inlineStr">
        <is>
          <t>annual.total_cost+finance_inputs.cost_items.period_16</t>
        </is>
      </c>
      <c r="C682" t="inlineStr">
        <is>
          <t>engine_value</t>
        </is>
      </c>
    </row>
    <row r="683">
      <c r="A683" t="inlineStr">
        <is>
          <t>附表6!T12</t>
        </is>
      </c>
      <c r="B683" t="inlineStr">
        <is>
          <t>annual.total_cost+finance_inputs.cost_items.period_17</t>
        </is>
      </c>
      <c r="C683" t="inlineStr">
        <is>
          <t>engine_value</t>
        </is>
      </c>
    </row>
    <row r="684">
      <c r="A684" t="inlineStr">
        <is>
          <t>附表6!U12</t>
        </is>
      </c>
      <c r="B684" t="inlineStr">
        <is>
          <t>annual.total_cost+finance_inputs.cost_items.period_18</t>
        </is>
      </c>
      <c r="C684" t="inlineStr">
        <is>
          <t>engine_value</t>
        </is>
      </c>
    </row>
    <row r="685">
      <c r="A685" t="inlineStr">
        <is>
          <t>附表6!V12</t>
        </is>
      </c>
      <c r="B685" t="inlineStr">
        <is>
          <t>annual.total_cost+finance_inputs.cost_items.period_19</t>
        </is>
      </c>
      <c r="C685" t="inlineStr">
        <is>
          <t>engine_value</t>
        </is>
      </c>
    </row>
    <row r="686">
      <c r="A686" t="inlineStr">
        <is>
          <t>附表6!W12</t>
        </is>
      </c>
      <c r="B686" t="inlineStr">
        <is>
          <t>annual.total_cost+finance_inputs.cost_items.period_20</t>
        </is>
      </c>
      <c r="C686" t="inlineStr">
        <is>
          <t>engine_value</t>
        </is>
      </c>
    </row>
    <row r="687">
      <c r="A687" t="inlineStr">
        <is>
          <t>附表6!X12</t>
        </is>
      </c>
      <c r="B687" t="inlineStr">
        <is>
          <t>annual.total_cost+finance_inputs.cost_items.period_21</t>
        </is>
      </c>
      <c r="C687" t="inlineStr">
        <is>
          <t>engine_value</t>
        </is>
      </c>
    </row>
    <row r="688">
      <c r="A688" t="inlineStr">
        <is>
          <t>附表6!Y12</t>
        </is>
      </c>
      <c r="B688" t="inlineStr">
        <is>
          <t>annual.total_cost+finance_inputs.cost_items.period_22</t>
        </is>
      </c>
      <c r="C688" t="inlineStr">
        <is>
          <t>engine_value</t>
        </is>
      </c>
    </row>
    <row r="689">
      <c r="A689" t="inlineStr">
        <is>
          <t>附表6!Z12</t>
        </is>
      </c>
      <c r="B689" t="inlineStr">
        <is>
          <t>annual.total_cost+finance_inputs.cost_items.period_23</t>
        </is>
      </c>
      <c r="C689" t="inlineStr">
        <is>
          <t>engine_value</t>
        </is>
      </c>
    </row>
    <row r="690">
      <c r="A690" t="inlineStr">
        <is>
          <t>附表6!AA12</t>
        </is>
      </c>
      <c r="B690" t="inlineStr">
        <is>
          <t>annual.total_cost+finance_inputs.cost_items.period_24</t>
        </is>
      </c>
      <c r="C690" t="inlineStr">
        <is>
          <t>engine_value</t>
        </is>
      </c>
    </row>
    <row r="691">
      <c r="A691" t="inlineStr">
        <is>
          <t>附表6-1!A4</t>
        </is>
      </c>
      <c r="B691" t="inlineStr">
        <is>
          <t>annual.wage+finance_fact_pack.staff_detail.no</t>
        </is>
      </c>
      <c r="C691" t="inlineStr">
        <is>
          <t>engine_value</t>
        </is>
      </c>
    </row>
    <row r="692">
      <c r="A692" t="inlineStr">
        <is>
          <t>附表6-1!B4</t>
        </is>
      </c>
      <c r="B692" t="inlineStr">
        <is>
          <t>annual.wage+finance_fact_pack.staff_detail.item</t>
        </is>
      </c>
      <c r="C692" t="inlineStr">
        <is>
          <t>engine_value</t>
        </is>
      </c>
    </row>
    <row r="693">
      <c r="A693" t="inlineStr">
        <is>
          <t>附表6-1!C4</t>
        </is>
      </c>
      <c r="B693" t="inlineStr">
        <is>
          <t>annual.wage+finance_fact_pack.staff_detail.unit</t>
        </is>
      </c>
      <c r="C693" t="inlineStr">
        <is>
          <t>engine_value</t>
        </is>
      </c>
    </row>
    <row r="694">
      <c r="A694" t="inlineStr">
        <is>
          <t>附表6-1!D4</t>
        </is>
      </c>
      <c r="B694" t="inlineStr">
        <is>
          <t>annual.wage+finance_fact_pack.staff_detail.headcount</t>
        </is>
      </c>
      <c r="C694" t="inlineStr">
        <is>
          <t>engine_value</t>
        </is>
      </c>
    </row>
    <row r="695">
      <c r="A695" t="inlineStr">
        <is>
          <t>附表6-1!E4</t>
        </is>
      </c>
      <c r="B695" t="inlineStr">
        <is>
          <t>annual.wage+finance_fact_pack.staff_detail.average_wage</t>
        </is>
      </c>
      <c r="C695" t="inlineStr">
        <is>
          <t>engine_value</t>
        </is>
      </c>
    </row>
    <row r="696">
      <c r="A696" t="inlineStr">
        <is>
          <t>附表6-1!F4</t>
        </is>
      </c>
      <c r="B696" t="inlineStr">
        <is>
          <t>annual.wage+finance_fact_pack.staff_detail.total</t>
        </is>
      </c>
      <c r="C696" t="inlineStr">
        <is>
          <t>engine_value</t>
        </is>
      </c>
    </row>
    <row r="697">
      <c r="A697" t="inlineStr">
        <is>
          <t>附表6-1!G4</t>
        </is>
      </c>
      <c r="B697" t="inlineStr">
        <is>
          <t>annual.wage+finance_fact_pack.staff_detail.period_1</t>
        </is>
      </c>
      <c r="C697" t="inlineStr">
        <is>
          <t>engine_value</t>
        </is>
      </c>
    </row>
    <row r="698">
      <c r="A698" t="inlineStr">
        <is>
          <t>附表6-1!H4</t>
        </is>
      </c>
      <c r="B698" t="inlineStr">
        <is>
          <t>annual.wage+finance_fact_pack.staff_detail.period_2</t>
        </is>
      </c>
      <c r="C698" t="inlineStr">
        <is>
          <t>engine_value</t>
        </is>
      </c>
    </row>
    <row r="699">
      <c r="A699" t="inlineStr">
        <is>
          <t>附表6-1!I4</t>
        </is>
      </c>
      <c r="B699" t="inlineStr">
        <is>
          <t>annual.wage+finance_fact_pack.staff_detail.period_3</t>
        </is>
      </c>
      <c r="C699" t="inlineStr">
        <is>
          <t>engine_value</t>
        </is>
      </c>
    </row>
    <row r="700">
      <c r="A700" t="inlineStr">
        <is>
          <t>附表6-1!J4</t>
        </is>
      </c>
      <c r="B700" t="inlineStr">
        <is>
          <t>annual.wage+finance_fact_pack.staff_detail.period_4</t>
        </is>
      </c>
      <c r="C700" t="inlineStr">
        <is>
          <t>engine_value</t>
        </is>
      </c>
    </row>
    <row r="701">
      <c r="A701" t="inlineStr">
        <is>
          <t>附表6-1!K4</t>
        </is>
      </c>
      <c r="B701" t="inlineStr">
        <is>
          <t>annual.wage+finance_fact_pack.staff_detail.period_5</t>
        </is>
      </c>
      <c r="C701" t="inlineStr">
        <is>
          <t>engine_value</t>
        </is>
      </c>
    </row>
    <row r="702">
      <c r="A702" t="inlineStr">
        <is>
          <t>附表6-1!L4</t>
        </is>
      </c>
      <c r="B702" t="inlineStr">
        <is>
          <t>annual.wage+finance_fact_pack.staff_detail.period_6</t>
        </is>
      </c>
      <c r="C702" t="inlineStr">
        <is>
          <t>engine_value</t>
        </is>
      </c>
    </row>
    <row r="703">
      <c r="A703" t="inlineStr">
        <is>
          <t>附表6-1!M4</t>
        </is>
      </c>
      <c r="B703" t="inlineStr">
        <is>
          <t>annual.wage+finance_fact_pack.staff_detail.period_7</t>
        </is>
      </c>
      <c r="C703" t="inlineStr">
        <is>
          <t>engine_value</t>
        </is>
      </c>
    </row>
    <row r="704">
      <c r="A704" t="inlineStr">
        <is>
          <t>附表6-1!N4</t>
        </is>
      </c>
      <c r="B704" t="inlineStr">
        <is>
          <t>annual.wage+finance_fact_pack.staff_detail.period_8</t>
        </is>
      </c>
      <c r="C704" t="inlineStr">
        <is>
          <t>engine_value</t>
        </is>
      </c>
    </row>
    <row r="705">
      <c r="A705" t="inlineStr">
        <is>
          <t>附表6-1!O4</t>
        </is>
      </c>
      <c r="B705" t="inlineStr">
        <is>
          <t>annual.wage+finance_fact_pack.staff_detail.period_9</t>
        </is>
      </c>
      <c r="C705" t="inlineStr">
        <is>
          <t>engine_value</t>
        </is>
      </c>
    </row>
    <row r="706">
      <c r="A706" t="inlineStr">
        <is>
          <t>附表6-1!P4</t>
        </is>
      </c>
      <c r="B706" t="inlineStr">
        <is>
          <t>annual.wage+finance_fact_pack.staff_detail.period_10</t>
        </is>
      </c>
      <c r="C706" t="inlineStr">
        <is>
          <t>engine_value</t>
        </is>
      </c>
    </row>
    <row r="707">
      <c r="A707" t="inlineStr">
        <is>
          <t>附表6-1!Q4</t>
        </is>
      </c>
      <c r="B707" t="inlineStr">
        <is>
          <t>annual.wage+finance_fact_pack.staff_detail.period_11</t>
        </is>
      </c>
      <c r="C707" t="inlineStr">
        <is>
          <t>engine_value</t>
        </is>
      </c>
    </row>
    <row r="708">
      <c r="A708" t="inlineStr">
        <is>
          <t>附表6-1!R4</t>
        </is>
      </c>
      <c r="B708" t="inlineStr">
        <is>
          <t>annual.wage+finance_fact_pack.staff_detail.period_12</t>
        </is>
      </c>
      <c r="C708" t="inlineStr">
        <is>
          <t>engine_value</t>
        </is>
      </c>
    </row>
    <row r="709">
      <c r="A709" t="inlineStr">
        <is>
          <t>附表6-1!S4</t>
        </is>
      </c>
      <c r="B709" t="inlineStr">
        <is>
          <t>annual.wage+finance_fact_pack.staff_detail.period_13</t>
        </is>
      </c>
      <c r="C709" t="inlineStr">
        <is>
          <t>engine_value</t>
        </is>
      </c>
    </row>
    <row r="710">
      <c r="A710" t="inlineStr">
        <is>
          <t>附表6-1!T4</t>
        </is>
      </c>
      <c r="B710" t="inlineStr">
        <is>
          <t>annual.wage+finance_fact_pack.staff_detail.period_14</t>
        </is>
      </c>
      <c r="C710" t="inlineStr">
        <is>
          <t>engine_value</t>
        </is>
      </c>
    </row>
    <row r="711">
      <c r="A711" t="inlineStr">
        <is>
          <t>附表6-1!U4</t>
        </is>
      </c>
      <c r="B711" t="inlineStr">
        <is>
          <t>annual.wage+finance_fact_pack.staff_detail.period_15</t>
        </is>
      </c>
      <c r="C711" t="inlineStr">
        <is>
          <t>engine_value</t>
        </is>
      </c>
    </row>
    <row r="712">
      <c r="A712" t="inlineStr">
        <is>
          <t>附表6-1!V4</t>
        </is>
      </c>
      <c r="B712" t="inlineStr">
        <is>
          <t>annual.wage+finance_fact_pack.staff_detail.period_16</t>
        </is>
      </c>
      <c r="C712" t="inlineStr">
        <is>
          <t>engine_value</t>
        </is>
      </c>
    </row>
    <row r="713">
      <c r="A713" t="inlineStr">
        <is>
          <t>附表6-1!W4</t>
        </is>
      </c>
      <c r="B713" t="inlineStr">
        <is>
          <t>annual.wage+finance_fact_pack.staff_detail.period_17</t>
        </is>
      </c>
      <c r="C713" t="inlineStr">
        <is>
          <t>engine_value</t>
        </is>
      </c>
    </row>
    <row r="714">
      <c r="A714" t="inlineStr">
        <is>
          <t>附表6-1!X4</t>
        </is>
      </c>
      <c r="B714" t="inlineStr">
        <is>
          <t>annual.wage+finance_fact_pack.staff_detail.period_18</t>
        </is>
      </c>
      <c r="C714" t="inlineStr">
        <is>
          <t>engine_value</t>
        </is>
      </c>
    </row>
    <row r="715">
      <c r="A715" t="inlineStr">
        <is>
          <t>附表6-1!Y4</t>
        </is>
      </c>
      <c r="B715" t="inlineStr">
        <is>
          <t>annual.wage+finance_fact_pack.staff_detail.period_19</t>
        </is>
      </c>
      <c r="C715" t="inlineStr">
        <is>
          <t>engine_value</t>
        </is>
      </c>
    </row>
    <row r="716">
      <c r="A716" t="inlineStr">
        <is>
          <t>附表6-1!Z4</t>
        </is>
      </c>
      <c r="B716" t="inlineStr">
        <is>
          <t>annual.wage+finance_fact_pack.staff_detail.period_20</t>
        </is>
      </c>
      <c r="C716" t="inlineStr">
        <is>
          <t>engine_value</t>
        </is>
      </c>
    </row>
    <row r="717">
      <c r="A717" t="inlineStr">
        <is>
          <t>附表6-1!AA4</t>
        </is>
      </c>
      <c r="B717" t="inlineStr">
        <is>
          <t>annual.wage+finance_fact_pack.staff_detail.period_21</t>
        </is>
      </c>
      <c r="C717" t="inlineStr">
        <is>
          <t>engine_value</t>
        </is>
      </c>
    </row>
    <row r="718">
      <c r="A718" t="inlineStr">
        <is>
          <t>附表6-1!AB4</t>
        </is>
      </c>
      <c r="B718" t="inlineStr">
        <is>
          <t>annual.wage+finance_fact_pack.staff_detail.period_22</t>
        </is>
      </c>
      <c r="C718" t="inlineStr">
        <is>
          <t>engine_value</t>
        </is>
      </c>
    </row>
    <row r="719">
      <c r="A719" t="inlineStr">
        <is>
          <t>附表6-1!AC4</t>
        </is>
      </c>
      <c r="B719" t="inlineStr">
        <is>
          <t>annual.wage+finance_fact_pack.staff_detail.period_23</t>
        </is>
      </c>
      <c r="C719" t="inlineStr">
        <is>
          <t>engine_value</t>
        </is>
      </c>
    </row>
    <row r="720">
      <c r="A720" t="inlineStr">
        <is>
          <t>附表6-1!AD4</t>
        </is>
      </c>
      <c r="B720" t="inlineStr">
        <is>
          <t>annual.wage+finance_fact_pack.staff_detail.period_24</t>
        </is>
      </c>
      <c r="C720" t="inlineStr">
        <is>
          <t>engine_value</t>
        </is>
      </c>
    </row>
    <row r="721">
      <c r="A721" t="inlineStr">
        <is>
          <t>附表6-1!A5</t>
        </is>
      </c>
      <c r="B721" t="inlineStr">
        <is>
          <t>annual.wage+finance_fact_pack.staff_detail.no</t>
        </is>
      </c>
      <c r="C721" t="inlineStr">
        <is>
          <t>engine_value</t>
        </is>
      </c>
    </row>
    <row r="722">
      <c r="A722" t="inlineStr">
        <is>
          <t>附表6-1!B5</t>
        </is>
      </c>
      <c r="B722" t="inlineStr">
        <is>
          <t>annual.wage+finance_fact_pack.staff_detail.item</t>
        </is>
      </c>
      <c r="C722" t="inlineStr">
        <is>
          <t>engine_value</t>
        </is>
      </c>
    </row>
    <row r="723">
      <c r="A723" t="inlineStr">
        <is>
          <t>附表6-1!C5</t>
        </is>
      </c>
      <c r="B723" t="inlineStr">
        <is>
          <t>annual.wage+finance_fact_pack.staff_detail.unit</t>
        </is>
      </c>
      <c r="C723" t="inlineStr">
        <is>
          <t>engine_value</t>
        </is>
      </c>
    </row>
    <row r="724">
      <c r="A724" t="inlineStr">
        <is>
          <t>附表6-1!D5</t>
        </is>
      </c>
      <c r="B724" t="inlineStr">
        <is>
          <t>annual.wage+finance_fact_pack.staff_detail.headcount</t>
        </is>
      </c>
      <c r="C724" t="inlineStr">
        <is>
          <t>engine_value</t>
        </is>
      </c>
    </row>
    <row r="725">
      <c r="A725" t="inlineStr">
        <is>
          <t>附表6-1!E5</t>
        </is>
      </c>
      <c r="B725" t="inlineStr">
        <is>
          <t>annual.wage+finance_fact_pack.staff_detail.average_wage</t>
        </is>
      </c>
      <c r="C725" t="inlineStr">
        <is>
          <t>engine_value</t>
        </is>
      </c>
    </row>
    <row r="726">
      <c r="A726" t="inlineStr">
        <is>
          <t>附表6-1!F5</t>
        </is>
      </c>
      <c r="B726" t="inlineStr">
        <is>
          <t>annual.wage+finance_fact_pack.staff_detail.total</t>
        </is>
      </c>
      <c r="C726" t="inlineStr">
        <is>
          <t>engine_value</t>
        </is>
      </c>
    </row>
    <row r="727">
      <c r="A727" t="inlineStr">
        <is>
          <t>附表6-1!G5</t>
        </is>
      </c>
      <c r="B727" t="inlineStr">
        <is>
          <t>annual.wage+finance_fact_pack.staff_detail.period_1</t>
        </is>
      </c>
      <c r="C727" t="inlineStr">
        <is>
          <t>engine_value</t>
        </is>
      </c>
    </row>
    <row r="728">
      <c r="A728" t="inlineStr">
        <is>
          <t>附表6-1!H5</t>
        </is>
      </c>
      <c r="B728" t="inlineStr">
        <is>
          <t>annual.wage+finance_fact_pack.staff_detail.period_2</t>
        </is>
      </c>
      <c r="C728" t="inlineStr">
        <is>
          <t>engine_value</t>
        </is>
      </c>
    </row>
    <row r="729">
      <c r="A729" t="inlineStr">
        <is>
          <t>附表6-1!I5</t>
        </is>
      </c>
      <c r="B729" t="inlineStr">
        <is>
          <t>annual.wage+finance_fact_pack.staff_detail.period_3</t>
        </is>
      </c>
      <c r="C729" t="inlineStr">
        <is>
          <t>engine_value</t>
        </is>
      </c>
    </row>
    <row r="730">
      <c r="A730" t="inlineStr">
        <is>
          <t>附表6-1!J5</t>
        </is>
      </c>
      <c r="B730" t="inlineStr">
        <is>
          <t>annual.wage+finance_fact_pack.staff_detail.period_4</t>
        </is>
      </c>
      <c r="C730" t="inlineStr">
        <is>
          <t>engine_value</t>
        </is>
      </c>
    </row>
    <row r="731">
      <c r="A731" t="inlineStr">
        <is>
          <t>附表6-1!K5</t>
        </is>
      </c>
      <c r="B731" t="inlineStr">
        <is>
          <t>annual.wage+finance_fact_pack.staff_detail.period_5</t>
        </is>
      </c>
      <c r="C731" t="inlineStr">
        <is>
          <t>engine_value</t>
        </is>
      </c>
    </row>
    <row r="732">
      <c r="A732" t="inlineStr">
        <is>
          <t>附表6-1!L5</t>
        </is>
      </c>
      <c r="B732" t="inlineStr">
        <is>
          <t>annual.wage+finance_fact_pack.staff_detail.period_6</t>
        </is>
      </c>
      <c r="C732" t="inlineStr">
        <is>
          <t>engine_value</t>
        </is>
      </c>
    </row>
    <row r="733">
      <c r="A733" t="inlineStr">
        <is>
          <t>附表6-1!M5</t>
        </is>
      </c>
      <c r="B733" t="inlineStr">
        <is>
          <t>annual.wage+finance_fact_pack.staff_detail.period_7</t>
        </is>
      </c>
      <c r="C733" t="inlineStr">
        <is>
          <t>engine_value</t>
        </is>
      </c>
    </row>
    <row r="734">
      <c r="A734" t="inlineStr">
        <is>
          <t>附表6-1!N5</t>
        </is>
      </c>
      <c r="B734" t="inlineStr">
        <is>
          <t>annual.wage+finance_fact_pack.staff_detail.period_8</t>
        </is>
      </c>
      <c r="C734" t="inlineStr">
        <is>
          <t>engine_value</t>
        </is>
      </c>
    </row>
    <row r="735">
      <c r="A735" t="inlineStr">
        <is>
          <t>附表6-1!O5</t>
        </is>
      </c>
      <c r="B735" t="inlineStr">
        <is>
          <t>annual.wage+finance_fact_pack.staff_detail.period_9</t>
        </is>
      </c>
      <c r="C735" t="inlineStr">
        <is>
          <t>engine_value</t>
        </is>
      </c>
    </row>
    <row r="736">
      <c r="A736" t="inlineStr">
        <is>
          <t>附表6-1!P5</t>
        </is>
      </c>
      <c r="B736" t="inlineStr">
        <is>
          <t>annual.wage+finance_fact_pack.staff_detail.period_10</t>
        </is>
      </c>
      <c r="C736" t="inlineStr">
        <is>
          <t>engine_value</t>
        </is>
      </c>
    </row>
    <row r="737">
      <c r="A737" t="inlineStr">
        <is>
          <t>附表6-1!Q5</t>
        </is>
      </c>
      <c r="B737" t="inlineStr">
        <is>
          <t>annual.wage+finance_fact_pack.staff_detail.period_11</t>
        </is>
      </c>
      <c r="C737" t="inlineStr">
        <is>
          <t>engine_value</t>
        </is>
      </c>
    </row>
    <row r="738">
      <c r="A738" t="inlineStr">
        <is>
          <t>附表6-1!R5</t>
        </is>
      </c>
      <c r="B738" t="inlineStr">
        <is>
          <t>annual.wage+finance_fact_pack.staff_detail.period_12</t>
        </is>
      </c>
      <c r="C738" t="inlineStr">
        <is>
          <t>engine_value</t>
        </is>
      </c>
    </row>
    <row r="739">
      <c r="A739" t="inlineStr">
        <is>
          <t>附表6-1!S5</t>
        </is>
      </c>
      <c r="B739" t="inlineStr">
        <is>
          <t>annual.wage+finance_fact_pack.staff_detail.period_13</t>
        </is>
      </c>
      <c r="C739" t="inlineStr">
        <is>
          <t>engine_value</t>
        </is>
      </c>
    </row>
    <row r="740">
      <c r="A740" t="inlineStr">
        <is>
          <t>附表6-1!T5</t>
        </is>
      </c>
      <c r="B740" t="inlineStr">
        <is>
          <t>annual.wage+finance_fact_pack.staff_detail.period_14</t>
        </is>
      </c>
      <c r="C740" t="inlineStr">
        <is>
          <t>engine_value</t>
        </is>
      </c>
    </row>
    <row r="741">
      <c r="A741" t="inlineStr">
        <is>
          <t>附表6-1!U5</t>
        </is>
      </c>
      <c r="B741" t="inlineStr">
        <is>
          <t>annual.wage+finance_fact_pack.staff_detail.period_15</t>
        </is>
      </c>
      <c r="C741" t="inlineStr">
        <is>
          <t>engine_value</t>
        </is>
      </c>
    </row>
    <row r="742">
      <c r="A742" t="inlineStr">
        <is>
          <t>附表6-1!V5</t>
        </is>
      </c>
      <c r="B742" t="inlineStr">
        <is>
          <t>annual.wage+finance_fact_pack.staff_detail.period_16</t>
        </is>
      </c>
      <c r="C742" t="inlineStr">
        <is>
          <t>engine_value</t>
        </is>
      </c>
    </row>
    <row r="743">
      <c r="A743" t="inlineStr">
        <is>
          <t>附表6-1!W5</t>
        </is>
      </c>
      <c r="B743" t="inlineStr">
        <is>
          <t>annual.wage+finance_fact_pack.staff_detail.period_17</t>
        </is>
      </c>
      <c r="C743" t="inlineStr">
        <is>
          <t>engine_value</t>
        </is>
      </c>
    </row>
    <row r="744">
      <c r="A744" t="inlineStr">
        <is>
          <t>附表6-1!X5</t>
        </is>
      </c>
      <c r="B744" t="inlineStr">
        <is>
          <t>annual.wage+finance_fact_pack.staff_detail.period_18</t>
        </is>
      </c>
      <c r="C744" t="inlineStr">
        <is>
          <t>engine_value</t>
        </is>
      </c>
    </row>
    <row r="745">
      <c r="A745" t="inlineStr">
        <is>
          <t>附表6-1!Y5</t>
        </is>
      </c>
      <c r="B745" t="inlineStr">
        <is>
          <t>annual.wage+finance_fact_pack.staff_detail.period_19</t>
        </is>
      </c>
      <c r="C745" t="inlineStr">
        <is>
          <t>engine_value</t>
        </is>
      </c>
    </row>
    <row r="746">
      <c r="A746" t="inlineStr">
        <is>
          <t>附表6-1!Z5</t>
        </is>
      </c>
      <c r="B746" t="inlineStr">
        <is>
          <t>annual.wage+finance_fact_pack.staff_detail.period_20</t>
        </is>
      </c>
      <c r="C746" t="inlineStr">
        <is>
          <t>engine_value</t>
        </is>
      </c>
    </row>
    <row r="747">
      <c r="A747" t="inlineStr">
        <is>
          <t>附表6-1!AA5</t>
        </is>
      </c>
      <c r="B747" t="inlineStr">
        <is>
          <t>annual.wage+finance_fact_pack.staff_detail.period_21</t>
        </is>
      </c>
      <c r="C747" t="inlineStr">
        <is>
          <t>engine_value</t>
        </is>
      </c>
    </row>
    <row r="748">
      <c r="A748" t="inlineStr">
        <is>
          <t>附表6-1!AB5</t>
        </is>
      </c>
      <c r="B748" t="inlineStr">
        <is>
          <t>annual.wage+finance_fact_pack.staff_detail.period_22</t>
        </is>
      </c>
      <c r="C748" t="inlineStr">
        <is>
          <t>engine_value</t>
        </is>
      </c>
    </row>
    <row r="749">
      <c r="A749" t="inlineStr">
        <is>
          <t>附表6-1!AC5</t>
        </is>
      </c>
      <c r="B749" t="inlineStr">
        <is>
          <t>annual.wage+finance_fact_pack.staff_detail.period_23</t>
        </is>
      </c>
      <c r="C749" t="inlineStr">
        <is>
          <t>engine_value</t>
        </is>
      </c>
    </row>
    <row r="750">
      <c r="A750" t="inlineStr">
        <is>
          <t>附表6-1!AD5</t>
        </is>
      </c>
      <c r="B750" t="inlineStr">
        <is>
          <t>annual.wage+finance_fact_pack.staff_detail.period_24</t>
        </is>
      </c>
      <c r="C750" t="inlineStr">
        <is>
          <t>engine_value</t>
        </is>
      </c>
    </row>
    <row r="751">
      <c r="A751" t="inlineStr">
        <is>
          <t>附表6-1!A6</t>
        </is>
      </c>
      <c r="B751" t="inlineStr">
        <is>
          <t>annual.wage+finance_fact_pack.staff_detail.no</t>
        </is>
      </c>
      <c r="C751" t="inlineStr">
        <is>
          <t>engine_value</t>
        </is>
      </c>
    </row>
    <row r="752">
      <c r="A752" t="inlineStr">
        <is>
          <t>附表6-1!B6</t>
        </is>
      </c>
      <c r="B752" t="inlineStr">
        <is>
          <t>annual.wage+finance_fact_pack.staff_detail.item</t>
        </is>
      </c>
      <c r="C752" t="inlineStr">
        <is>
          <t>engine_value</t>
        </is>
      </c>
    </row>
    <row r="753">
      <c r="A753" t="inlineStr">
        <is>
          <t>附表6-1!C6</t>
        </is>
      </c>
      <c r="B753" t="inlineStr">
        <is>
          <t>annual.wage+finance_fact_pack.staff_detail.unit</t>
        </is>
      </c>
      <c r="C753" t="inlineStr">
        <is>
          <t>engine_value</t>
        </is>
      </c>
    </row>
    <row r="754">
      <c r="A754" t="inlineStr">
        <is>
          <t>附表6-1!D6</t>
        </is>
      </c>
      <c r="B754" t="inlineStr">
        <is>
          <t>annual.wage+finance_fact_pack.staff_detail.headcount</t>
        </is>
      </c>
      <c r="C754" t="inlineStr">
        <is>
          <t>engine_value</t>
        </is>
      </c>
    </row>
    <row r="755">
      <c r="A755" t="inlineStr">
        <is>
          <t>附表6-1!E6</t>
        </is>
      </c>
      <c r="B755" t="inlineStr">
        <is>
          <t>annual.wage+finance_fact_pack.staff_detail.average_wage</t>
        </is>
      </c>
      <c r="C755" t="inlineStr">
        <is>
          <t>engine_value</t>
        </is>
      </c>
    </row>
    <row r="756">
      <c r="A756" t="inlineStr">
        <is>
          <t>附表6-1!F6</t>
        </is>
      </c>
      <c r="B756" t="inlineStr">
        <is>
          <t>annual.wage+finance_fact_pack.staff_detail.total</t>
        </is>
      </c>
      <c r="C756" t="inlineStr">
        <is>
          <t>engine_value</t>
        </is>
      </c>
    </row>
    <row r="757">
      <c r="A757" t="inlineStr">
        <is>
          <t>附表6-1!G6</t>
        </is>
      </c>
      <c r="B757" t="inlineStr">
        <is>
          <t>annual.wage+finance_fact_pack.staff_detail.period_1</t>
        </is>
      </c>
      <c r="C757" t="inlineStr">
        <is>
          <t>engine_value</t>
        </is>
      </c>
    </row>
    <row r="758">
      <c r="A758" t="inlineStr">
        <is>
          <t>附表6-1!H6</t>
        </is>
      </c>
      <c r="B758" t="inlineStr">
        <is>
          <t>annual.wage+finance_fact_pack.staff_detail.period_2</t>
        </is>
      </c>
      <c r="C758" t="inlineStr">
        <is>
          <t>engine_value</t>
        </is>
      </c>
    </row>
    <row r="759">
      <c r="A759" t="inlineStr">
        <is>
          <t>附表6-1!I6</t>
        </is>
      </c>
      <c r="B759" t="inlineStr">
        <is>
          <t>annual.wage+finance_fact_pack.staff_detail.period_3</t>
        </is>
      </c>
      <c r="C759" t="inlineStr">
        <is>
          <t>engine_value</t>
        </is>
      </c>
    </row>
    <row r="760">
      <c r="A760" t="inlineStr">
        <is>
          <t>附表6-1!J6</t>
        </is>
      </c>
      <c r="B760" t="inlineStr">
        <is>
          <t>annual.wage+finance_fact_pack.staff_detail.period_4</t>
        </is>
      </c>
      <c r="C760" t="inlineStr">
        <is>
          <t>engine_value</t>
        </is>
      </c>
    </row>
    <row r="761">
      <c r="A761" t="inlineStr">
        <is>
          <t>附表6-1!K6</t>
        </is>
      </c>
      <c r="B761" t="inlineStr">
        <is>
          <t>annual.wage+finance_fact_pack.staff_detail.period_5</t>
        </is>
      </c>
      <c r="C761" t="inlineStr">
        <is>
          <t>engine_value</t>
        </is>
      </c>
    </row>
    <row r="762">
      <c r="A762" t="inlineStr">
        <is>
          <t>附表6-1!L6</t>
        </is>
      </c>
      <c r="B762" t="inlineStr">
        <is>
          <t>annual.wage+finance_fact_pack.staff_detail.period_6</t>
        </is>
      </c>
      <c r="C762" t="inlineStr">
        <is>
          <t>engine_value</t>
        </is>
      </c>
    </row>
    <row r="763">
      <c r="A763" t="inlineStr">
        <is>
          <t>附表6-1!M6</t>
        </is>
      </c>
      <c r="B763" t="inlineStr">
        <is>
          <t>annual.wage+finance_fact_pack.staff_detail.period_7</t>
        </is>
      </c>
      <c r="C763" t="inlineStr">
        <is>
          <t>engine_value</t>
        </is>
      </c>
    </row>
    <row r="764">
      <c r="A764" t="inlineStr">
        <is>
          <t>附表6-1!N6</t>
        </is>
      </c>
      <c r="B764" t="inlineStr">
        <is>
          <t>annual.wage+finance_fact_pack.staff_detail.period_8</t>
        </is>
      </c>
      <c r="C764" t="inlineStr">
        <is>
          <t>engine_value</t>
        </is>
      </c>
    </row>
    <row r="765">
      <c r="A765" t="inlineStr">
        <is>
          <t>附表6-1!O6</t>
        </is>
      </c>
      <c r="B765" t="inlineStr">
        <is>
          <t>annual.wage+finance_fact_pack.staff_detail.period_9</t>
        </is>
      </c>
      <c r="C765" t="inlineStr">
        <is>
          <t>engine_value</t>
        </is>
      </c>
    </row>
    <row r="766">
      <c r="A766" t="inlineStr">
        <is>
          <t>附表6-1!P6</t>
        </is>
      </c>
      <c r="B766" t="inlineStr">
        <is>
          <t>annual.wage+finance_fact_pack.staff_detail.period_10</t>
        </is>
      </c>
      <c r="C766" t="inlineStr">
        <is>
          <t>engine_value</t>
        </is>
      </c>
    </row>
    <row r="767">
      <c r="A767" t="inlineStr">
        <is>
          <t>附表6-1!Q6</t>
        </is>
      </c>
      <c r="B767" t="inlineStr">
        <is>
          <t>annual.wage+finance_fact_pack.staff_detail.period_11</t>
        </is>
      </c>
      <c r="C767" t="inlineStr">
        <is>
          <t>engine_value</t>
        </is>
      </c>
    </row>
    <row r="768">
      <c r="A768" t="inlineStr">
        <is>
          <t>附表6-1!R6</t>
        </is>
      </c>
      <c r="B768" t="inlineStr">
        <is>
          <t>annual.wage+finance_fact_pack.staff_detail.period_12</t>
        </is>
      </c>
      <c r="C768" t="inlineStr">
        <is>
          <t>engine_value</t>
        </is>
      </c>
    </row>
    <row r="769">
      <c r="A769" t="inlineStr">
        <is>
          <t>附表6-1!S6</t>
        </is>
      </c>
      <c r="B769" t="inlineStr">
        <is>
          <t>annual.wage+finance_fact_pack.staff_detail.period_13</t>
        </is>
      </c>
      <c r="C769" t="inlineStr">
        <is>
          <t>engine_value</t>
        </is>
      </c>
    </row>
    <row r="770">
      <c r="A770" t="inlineStr">
        <is>
          <t>附表6-1!T6</t>
        </is>
      </c>
      <c r="B770" t="inlineStr">
        <is>
          <t>annual.wage+finance_fact_pack.staff_detail.period_14</t>
        </is>
      </c>
      <c r="C770" t="inlineStr">
        <is>
          <t>engine_value</t>
        </is>
      </c>
    </row>
    <row r="771">
      <c r="A771" t="inlineStr">
        <is>
          <t>附表6-1!U6</t>
        </is>
      </c>
      <c r="B771" t="inlineStr">
        <is>
          <t>annual.wage+finance_fact_pack.staff_detail.period_15</t>
        </is>
      </c>
      <c r="C771" t="inlineStr">
        <is>
          <t>engine_value</t>
        </is>
      </c>
    </row>
    <row r="772">
      <c r="A772" t="inlineStr">
        <is>
          <t>附表6-1!V6</t>
        </is>
      </c>
      <c r="B772" t="inlineStr">
        <is>
          <t>annual.wage+finance_fact_pack.staff_detail.period_16</t>
        </is>
      </c>
      <c r="C772" t="inlineStr">
        <is>
          <t>engine_value</t>
        </is>
      </c>
    </row>
    <row r="773">
      <c r="A773" t="inlineStr">
        <is>
          <t>附表6-1!W6</t>
        </is>
      </c>
      <c r="B773" t="inlineStr">
        <is>
          <t>annual.wage+finance_fact_pack.staff_detail.period_17</t>
        </is>
      </c>
      <c r="C773" t="inlineStr">
        <is>
          <t>engine_value</t>
        </is>
      </c>
    </row>
    <row r="774">
      <c r="A774" t="inlineStr">
        <is>
          <t>附表6-1!X6</t>
        </is>
      </c>
      <c r="B774" t="inlineStr">
        <is>
          <t>annual.wage+finance_fact_pack.staff_detail.period_18</t>
        </is>
      </c>
      <c r="C774" t="inlineStr">
        <is>
          <t>engine_value</t>
        </is>
      </c>
    </row>
    <row r="775">
      <c r="A775" t="inlineStr">
        <is>
          <t>附表6-1!Y6</t>
        </is>
      </c>
      <c r="B775" t="inlineStr">
        <is>
          <t>annual.wage+finance_fact_pack.staff_detail.period_19</t>
        </is>
      </c>
      <c r="C775" t="inlineStr">
        <is>
          <t>engine_value</t>
        </is>
      </c>
    </row>
    <row r="776">
      <c r="A776" t="inlineStr">
        <is>
          <t>附表6-1!Z6</t>
        </is>
      </c>
      <c r="B776" t="inlineStr">
        <is>
          <t>annual.wage+finance_fact_pack.staff_detail.period_20</t>
        </is>
      </c>
      <c r="C776" t="inlineStr">
        <is>
          <t>engine_value</t>
        </is>
      </c>
    </row>
    <row r="777">
      <c r="A777" t="inlineStr">
        <is>
          <t>附表6-1!AA6</t>
        </is>
      </c>
      <c r="B777" t="inlineStr">
        <is>
          <t>annual.wage+finance_fact_pack.staff_detail.period_21</t>
        </is>
      </c>
      <c r="C777" t="inlineStr">
        <is>
          <t>engine_value</t>
        </is>
      </c>
    </row>
    <row r="778">
      <c r="A778" t="inlineStr">
        <is>
          <t>附表6-1!AB6</t>
        </is>
      </c>
      <c r="B778" t="inlineStr">
        <is>
          <t>annual.wage+finance_fact_pack.staff_detail.period_22</t>
        </is>
      </c>
      <c r="C778" t="inlineStr">
        <is>
          <t>engine_value</t>
        </is>
      </c>
    </row>
    <row r="779">
      <c r="A779" t="inlineStr">
        <is>
          <t>附表6-1!AC6</t>
        </is>
      </c>
      <c r="B779" t="inlineStr">
        <is>
          <t>annual.wage+finance_fact_pack.staff_detail.period_23</t>
        </is>
      </c>
      <c r="C779" t="inlineStr">
        <is>
          <t>engine_value</t>
        </is>
      </c>
    </row>
    <row r="780">
      <c r="A780" t="inlineStr">
        <is>
          <t>附表6-1!AD6</t>
        </is>
      </c>
      <c r="B780" t="inlineStr">
        <is>
          <t>annual.wage+finance_fact_pack.staff_detail.period_24</t>
        </is>
      </c>
      <c r="C780" t="inlineStr">
        <is>
          <t>engine_value</t>
        </is>
      </c>
    </row>
    <row r="781">
      <c r="A781" t="inlineStr">
        <is>
          <t>附表6-1!A7</t>
        </is>
      </c>
      <c r="B781" t="inlineStr">
        <is>
          <t>annual.wage+finance_fact_pack.staff_detail.no</t>
        </is>
      </c>
      <c r="C781" t="inlineStr">
        <is>
          <t>engine_value</t>
        </is>
      </c>
    </row>
    <row r="782">
      <c r="A782" t="inlineStr">
        <is>
          <t>附表6-1!B7</t>
        </is>
      </c>
      <c r="B782" t="inlineStr">
        <is>
          <t>annual.wage+finance_fact_pack.staff_detail.item</t>
        </is>
      </c>
      <c r="C782" t="inlineStr">
        <is>
          <t>engine_value</t>
        </is>
      </c>
    </row>
    <row r="783">
      <c r="A783" t="inlineStr">
        <is>
          <t>附表6-1!C7</t>
        </is>
      </c>
      <c r="B783" t="inlineStr">
        <is>
          <t>annual.wage+finance_fact_pack.staff_detail.unit</t>
        </is>
      </c>
      <c r="C783" t="inlineStr">
        <is>
          <t>engine_value</t>
        </is>
      </c>
    </row>
    <row r="784">
      <c r="A784" t="inlineStr">
        <is>
          <t>附表6-1!D7</t>
        </is>
      </c>
      <c r="B784" t="inlineStr">
        <is>
          <t>annual.wage+finance_fact_pack.staff_detail.headcount</t>
        </is>
      </c>
      <c r="C784" t="inlineStr">
        <is>
          <t>engine_value</t>
        </is>
      </c>
    </row>
    <row r="785">
      <c r="A785" t="inlineStr">
        <is>
          <t>附表6-1!E7</t>
        </is>
      </c>
      <c r="B785" t="inlineStr">
        <is>
          <t>annual.wage+finance_fact_pack.staff_detail.average_wage</t>
        </is>
      </c>
      <c r="C785" t="inlineStr">
        <is>
          <t>engine_value</t>
        </is>
      </c>
    </row>
    <row r="786">
      <c r="A786" t="inlineStr">
        <is>
          <t>附表6-1!F7</t>
        </is>
      </c>
      <c r="B786" t="inlineStr">
        <is>
          <t>annual.wage+finance_fact_pack.staff_detail.total</t>
        </is>
      </c>
      <c r="C786" t="inlineStr">
        <is>
          <t>engine_value</t>
        </is>
      </c>
    </row>
    <row r="787">
      <c r="A787" t="inlineStr">
        <is>
          <t>附表6-1!G7</t>
        </is>
      </c>
      <c r="B787" t="inlineStr">
        <is>
          <t>annual.wage+finance_fact_pack.staff_detail.period_1</t>
        </is>
      </c>
      <c r="C787" t="inlineStr">
        <is>
          <t>engine_value</t>
        </is>
      </c>
    </row>
    <row r="788">
      <c r="A788" t="inlineStr">
        <is>
          <t>附表6-1!H7</t>
        </is>
      </c>
      <c r="B788" t="inlineStr">
        <is>
          <t>annual.wage+finance_fact_pack.staff_detail.period_2</t>
        </is>
      </c>
      <c r="C788" t="inlineStr">
        <is>
          <t>engine_value</t>
        </is>
      </c>
    </row>
    <row r="789">
      <c r="A789" t="inlineStr">
        <is>
          <t>附表6-1!I7</t>
        </is>
      </c>
      <c r="B789" t="inlineStr">
        <is>
          <t>annual.wage+finance_fact_pack.staff_detail.period_3</t>
        </is>
      </c>
      <c r="C789" t="inlineStr">
        <is>
          <t>engine_value</t>
        </is>
      </c>
    </row>
    <row r="790">
      <c r="A790" t="inlineStr">
        <is>
          <t>附表6-1!J7</t>
        </is>
      </c>
      <c r="B790" t="inlineStr">
        <is>
          <t>annual.wage+finance_fact_pack.staff_detail.period_4</t>
        </is>
      </c>
      <c r="C790" t="inlineStr">
        <is>
          <t>engine_value</t>
        </is>
      </c>
    </row>
    <row r="791">
      <c r="A791" t="inlineStr">
        <is>
          <t>附表6-1!K7</t>
        </is>
      </c>
      <c r="B791" t="inlineStr">
        <is>
          <t>annual.wage+finance_fact_pack.staff_detail.period_5</t>
        </is>
      </c>
      <c r="C791" t="inlineStr">
        <is>
          <t>engine_value</t>
        </is>
      </c>
    </row>
    <row r="792">
      <c r="A792" t="inlineStr">
        <is>
          <t>附表6-1!L7</t>
        </is>
      </c>
      <c r="B792" t="inlineStr">
        <is>
          <t>annual.wage+finance_fact_pack.staff_detail.period_6</t>
        </is>
      </c>
      <c r="C792" t="inlineStr">
        <is>
          <t>engine_value</t>
        </is>
      </c>
    </row>
    <row r="793">
      <c r="A793" t="inlineStr">
        <is>
          <t>附表6-1!M7</t>
        </is>
      </c>
      <c r="B793" t="inlineStr">
        <is>
          <t>annual.wage+finance_fact_pack.staff_detail.period_7</t>
        </is>
      </c>
      <c r="C793" t="inlineStr">
        <is>
          <t>engine_value</t>
        </is>
      </c>
    </row>
    <row r="794">
      <c r="A794" t="inlineStr">
        <is>
          <t>附表6-1!N7</t>
        </is>
      </c>
      <c r="B794" t="inlineStr">
        <is>
          <t>annual.wage+finance_fact_pack.staff_detail.period_8</t>
        </is>
      </c>
      <c r="C794" t="inlineStr">
        <is>
          <t>engine_value</t>
        </is>
      </c>
    </row>
    <row r="795">
      <c r="A795" t="inlineStr">
        <is>
          <t>附表6-1!O7</t>
        </is>
      </c>
      <c r="B795" t="inlineStr">
        <is>
          <t>annual.wage+finance_fact_pack.staff_detail.period_9</t>
        </is>
      </c>
      <c r="C795" t="inlineStr">
        <is>
          <t>engine_value</t>
        </is>
      </c>
    </row>
    <row r="796">
      <c r="A796" t="inlineStr">
        <is>
          <t>附表6-1!P7</t>
        </is>
      </c>
      <c r="B796" t="inlineStr">
        <is>
          <t>annual.wage+finance_fact_pack.staff_detail.period_10</t>
        </is>
      </c>
      <c r="C796" t="inlineStr">
        <is>
          <t>engine_value</t>
        </is>
      </c>
    </row>
    <row r="797">
      <c r="A797" t="inlineStr">
        <is>
          <t>附表6-1!Q7</t>
        </is>
      </c>
      <c r="B797" t="inlineStr">
        <is>
          <t>annual.wage+finance_fact_pack.staff_detail.period_11</t>
        </is>
      </c>
      <c r="C797" t="inlineStr">
        <is>
          <t>engine_value</t>
        </is>
      </c>
    </row>
    <row r="798">
      <c r="A798" t="inlineStr">
        <is>
          <t>附表6-1!R7</t>
        </is>
      </c>
      <c r="B798" t="inlineStr">
        <is>
          <t>annual.wage+finance_fact_pack.staff_detail.period_12</t>
        </is>
      </c>
      <c r="C798" t="inlineStr">
        <is>
          <t>engine_value</t>
        </is>
      </c>
    </row>
    <row r="799">
      <c r="A799" t="inlineStr">
        <is>
          <t>附表6-1!S7</t>
        </is>
      </c>
      <c r="B799" t="inlineStr">
        <is>
          <t>annual.wage+finance_fact_pack.staff_detail.period_13</t>
        </is>
      </c>
      <c r="C799" t="inlineStr">
        <is>
          <t>engine_value</t>
        </is>
      </c>
    </row>
    <row r="800">
      <c r="A800" t="inlineStr">
        <is>
          <t>附表6-1!T7</t>
        </is>
      </c>
      <c r="B800" t="inlineStr">
        <is>
          <t>annual.wage+finance_fact_pack.staff_detail.period_14</t>
        </is>
      </c>
      <c r="C800" t="inlineStr">
        <is>
          <t>engine_value</t>
        </is>
      </c>
    </row>
    <row r="801">
      <c r="A801" t="inlineStr">
        <is>
          <t>附表6-1!U7</t>
        </is>
      </c>
      <c r="B801" t="inlineStr">
        <is>
          <t>annual.wage+finance_fact_pack.staff_detail.period_15</t>
        </is>
      </c>
      <c r="C801" t="inlineStr">
        <is>
          <t>engine_value</t>
        </is>
      </c>
    </row>
    <row r="802">
      <c r="A802" t="inlineStr">
        <is>
          <t>附表6-1!V7</t>
        </is>
      </c>
      <c r="B802" t="inlineStr">
        <is>
          <t>annual.wage+finance_fact_pack.staff_detail.period_16</t>
        </is>
      </c>
      <c r="C802" t="inlineStr">
        <is>
          <t>engine_value</t>
        </is>
      </c>
    </row>
    <row r="803">
      <c r="A803" t="inlineStr">
        <is>
          <t>附表6-1!W7</t>
        </is>
      </c>
      <c r="B803" t="inlineStr">
        <is>
          <t>annual.wage+finance_fact_pack.staff_detail.period_17</t>
        </is>
      </c>
      <c r="C803" t="inlineStr">
        <is>
          <t>engine_value</t>
        </is>
      </c>
    </row>
    <row r="804">
      <c r="A804" t="inlineStr">
        <is>
          <t>附表6-1!X7</t>
        </is>
      </c>
      <c r="B804" t="inlineStr">
        <is>
          <t>annual.wage+finance_fact_pack.staff_detail.period_18</t>
        </is>
      </c>
      <c r="C804" t="inlineStr">
        <is>
          <t>engine_value</t>
        </is>
      </c>
    </row>
    <row r="805">
      <c r="A805" t="inlineStr">
        <is>
          <t>附表6-1!Y7</t>
        </is>
      </c>
      <c r="B805" t="inlineStr">
        <is>
          <t>annual.wage+finance_fact_pack.staff_detail.period_19</t>
        </is>
      </c>
      <c r="C805" t="inlineStr">
        <is>
          <t>engine_value</t>
        </is>
      </c>
    </row>
    <row r="806">
      <c r="A806" t="inlineStr">
        <is>
          <t>附表6-1!Z7</t>
        </is>
      </c>
      <c r="B806" t="inlineStr">
        <is>
          <t>annual.wage+finance_fact_pack.staff_detail.period_20</t>
        </is>
      </c>
      <c r="C806" t="inlineStr">
        <is>
          <t>engine_value</t>
        </is>
      </c>
    </row>
    <row r="807">
      <c r="A807" t="inlineStr">
        <is>
          <t>附表6-1!AA7</t>
        </is>
      </c>
      <c r="B807" t="inlineStr">
        <is>
          <t>annual.wage+finance_fact_pack.staff_detail.period_21</t>
        </is>
      </c>
      <c r="C807" t="inlineStr">
        <is>
          <t>engine_value</t>
        </is>
      </c>
    </row>
    <row r="808">
      <c r="A808" t="inlineStr">
        <is>
          <t>附表6-1!AB7</t>
        </is>
      </c>
      <c r="B808" t="inlineStr">
        <is>
          <t>annual.wage+finance_fact_pack.staff_detail.period_22</t>
        </is>
      </c>
      <c r="C808" t="inlineStr">
        <is>
          <t>engine_value</t>
        </is>
      </c>
    </row>
    <row r="809">
      <c r="A809" t="inlineStr">
        <is>
          <t>附表6-1!AC7</t>
        </is>
      </c>
      <c r="B809" t="inlineStr">
        <is>
          <t>annual.wage+finance_fact_pack.staff_detail.period_23</t>
        </is>
      </c>
      <c r="C809" t="inlineStr">
        <is>
          <t>engine_value</t>
        </is>
      </c>
    </row>
    <row r="810">
      <c r="A810" t="inlineStr">
        <is>
          <t>附表6-1!AD7</t>
        </is>
      </c>
      <c r="B810" t="inlineStr">
        <is>
          <t>annual.wage+finance_fact_pack.staff_detail.period_24</t>
        </is>
      </c>
      <c r="C810" t="inlineStr">
        <is>
          <t>engine_value</t>
        </is>
      </c>
    </row>
    <row r="811">
      <c r="A811" t="inlineStr">
        <is>
          <t>附表6-2!A4</t>
        </is>
      </c>
      <c r="B811" t="inlineStr">
        <is>
          <t>annual.depreciation_table+finance_fact_pack.asset_classes.no</t>
        </is>
      </c>
      <c r="C811" t="inlineStr">
        <is>
          <t>engine_value</t>
        </is>
      </c>
    </row>
    <row r="812">
      <c r="A812" t="inlineStr">
        <is>
          <t>附表6-2!B4</t>
        </is>
      </c>
      <c r="B812" t="inlineStr">
        <is>
          <t>annual.depreciation_table+finance_fact_pack.asset_classes.item</t>
        </is>
      </c>
      <c r="C812" t="inlineStr">
        <is>
          <t>engine_value</t>
        </is>
      </c>
    </row>
    <row r="813">
      <c r="A813" t="inlineStr">
        <is>
          <t>附表6-2!C4</t>
        </is>
      </c>
      <c r="B813" t="inlineStr">
        <is>
          <t>annual.depreciation_table+finance_fact_pack.asset_classes.total</t>
        </is>
      </c>
      <c r="C813" t="inlineStr">
        <is>
          <t>engine_value</t>
        </is>
      </c>
    </row>
    <row r="814">
      <c r="A814" t="inlineStr">
        <is>
          <t>附表6-2!D4</t>
        </is>
      </c>
      <c r="B814" t="inlineStr">
        <is>
          <t>annual.depreciation_table+finance_fact_pack.asset_classes.life</t>
        </is>
      </c>
      <c r="C814" t="inlineStr">
        <is>
          <t>engine_value</t>
        </is>
      </c>
    </row>
    <row r="815">
      <c r="A815" t="inlineStr">
        <is>
          <t>附表6-2!E4</t>
        </is>
      </c>
      <c r="B815" t="inlineStr">
        <is>
          <t>annual.depreciation_table+finance_fact_pack.asset_classes.period_1</t>
        </is>
      </c>
      <c r="C815" t="inlineStr">
        <is>
          <t>engine_value</t>
        </is>
      </c>
    </row>
    <row r="816">
      <c r="A816" t="inlineStr">
        <is>
          <t>附表6-2!F4</t>
        </is>
      </c>
      <c r="B816" t="inlineStr">
        <is>
          <t>annual.depreciation_table+finance_fact_pack.asset_classes.period_2</t>
        </is>
      </c>
      <c r="C816" t="inlineStr">
        <is>
          <t>engine_value</t>
        </is>
      </c>
    </row>
    <row r="817">
      <c r="A817" t="inlineStr">
        <is>
          <t>附表6-2!G4</t>
        </is>
      </c>
      <c r="B817" t="inlineStr">
        <is>
          <t>annual.depreciation_table+finance_fact_pack.asset_classes.period_3</t>
        </is>
      </c>
      <c r="C817" t="inlineStr">
        <is>
          <t>engine_value</t>
        </is>
      </c>
    </row>
    <row r="818">
      <c r="A818" t="inlineStr">
        <is>
          <t>附表6-2!H4</t>
        </is>
      </c>
      <c r="B818" t="inlineStr">
        <is>
          <t>annual.depreciation_table+finance_fact_pack.asset_classes.period_4</t>
        </is>
      </c>
      <c r="C818" t="inlineStr">
        <is>
          <t>engine_value</t>
        </is>
      </c>
    </row>
    <row r="819">
      <c r="A819" t="inlineStr">
        <is>
          <t>附表6-2!I4</t>
        </is>
      </c>
      <c r="B819" t="inlineStr">
        <is>
          <t>annual.depreciation_table+finance_fact_pack.asset_classes.period_5</t>
        </is>
      </c>
      <c r="C819" t="inlineStr">
        <is>
          <t>engine_value</t>
        </is>
      </c>
    </row>
    <row r="820">
      <c r="A820" t="inlineStr">
        <is>
          <t>附表6-2!J4</t>
        </is>
      </c>
      <c r="B820" t="inlineStr">
        <is>
          <t>annual.depreciation_table+finance_fact_pack.asset_classes.period_6</t>
        </is>
      </c>
      <c r="C820" t="inlineStr">
        <is>
          <t>engine_value</t>
        </is>
      </c>
    </row>
    <row r="821">
      <c r="A821" t="inlineStr">
        <is>
          <t>附表6-2!K4</t>
        </is>
      </c>
      <c r="B821" t="inlineStr">
        <is>
          <t>annual.depreciation_table+finance_fact_pack.asset_classes.period_7</t>
        </is>
      </c>
      <c r="C821" t="inlineStr">
        <is>
          <t>engine_value</t>
        </is>
      </c>
    </row>
    <row r="822">
      <c r="A822" t="inlineStr">
        <is>
          <t>附表6-2!L4</t>
        </is>
      </c>
      <c r="B822" t="inlineStr">
        <is>
          <t>annual.depreciation_table+finance_fact_pack.asset_classes.period_8</t>
        </is>
      </c>
      <c r="C822" t="inlineStr">
        <is>
          <t>engine_value</t>
        </is>
      </c>
    </row>
    <row r="823">
      <c r="A823" t="inlineStr">
        <is>
          <t>附表6-2!M4</t>
        </is>
      </c>
      <c r="B823" t="inlineStr">
        <is>
          <t>annual.depreciation_table+finance_fact_pack.asset_classes.period_9</t>
        </is>
      </c>
      <c r="C823" t="inlineStr">
        <is>
          <t>engine_value</t>
        </is>
      </c>
    </row>
    <row r="824">
      <c r="A824" t="inlineStr">
        <is>
          <t>附表6-2!N4</t>
        </is>
      </c>
      <c r="B824" t="inlineStr">
        <is>
          <t>annual.depreciation_table+finance_fact_pack.asset_classes.period_10</t>
        </is>
      </c>
      <c r="C824" t="inlineStr">
        <is>
          <t>engine_value</t>
        </is>
      </c>
    </row>
    <row r="825">
      <c r="A825" t="inlineStr">
        <is>
          <t>附表6-2!O4</t>
        </is>
      </c>
      <c r="B825" t="inlineStr">
        <is>
          <t>annual.depreciation_table+finance_fact_pack.asset_classes.period_11</t>
        </is>
      </c>
      <c r="C825" t="inlineStr">
        <is>
          <t>engine_value</t>
        </is>
      </c>
    </row>
    <row r="826">
      <c r="A826" t="inlineStr">
        <is>
          <t>附表6-2!P4</t>
        </is>
      </c>
      <c r="B826" t="inlineStr">
        <is>
          <t>annual.depreciation_table+finance_fact_pack.asset_classes.period_12</t>
        </is>
      </c>
      <c r="C826" t="inlineStr">
        <is>
          <t>engine_value</t>
        </is>
      </c>
    </row>
    <row r="827">
      <c r="A827" t="inlineStr">
        <is>
          <t>附表6-2!Q4</t>
        </is>
      </c>
      <c r="B827" t="inlineStr">
        <is>
          <t>annual.depreciation_table+finance_fact_pack.asset_classes.period_13</t>
        </is>
      </c>
      <c r="C827" t="inlineStr">
        <is>
          <t>engine_value</t>
        </is>
      </c>
    </row>
    <row r="828">
      <c r="A828" t="inlineStr">
        <is>
          <t>附表6-2!R4</t>
        </is>
      </c>
      <c r="B828" t="inlineStr">
        <is>
          <t>annual.depreciation_table+finance_fact_pack.asset_classes.period_14</t>
        </is>
      </c>
      <c r="C828" t="inlineStr">
        <is>
          <t>engine_value</t>
        </is>
      </c>
    </row>
    <row r="829">
      <c r="A829" t="inlineStr">
        <is>
          <t>附表6-2!S4</t>
        </is>
      </c>
      <c r="B829" t="inlineStr">
        <is>
          <t>annual.depreciation_table+finance_fact_pack.asset_classes.period_15</t>
        </is>
      </c>
      <c r="C829" t="inlineStr">
        <is>
          <t>engine_value</t>
        </is>
      </c>
    </row>
    <row r="830">
      <c r="A830" t="inlineStr">
        <is>
          <t>附表6-2!T4</t>
        </is>
      </c>
      <c r="B830" t="inlineStr">
        <is>
          <t>annual.depreciation_table+finance_fact_pack.asset_classes.period_16</t>
        </is>
      </c>
      <c r="C830" t="inlineStr">
        <is>
          <t>engine_value</t>
        </is>
      </c>
    </row>
    <row r="831">
      <c r="A831" t="inlineStr">
        <is>
          <t>附表6-2!U4</t>
        </is>
      </c>
      <c r="B831" t="inlineStr">
        <is>
          <t>annual.depreciation_table+finance_fact_pack.asset_classes.period_17</t>
        </is>
      </c>
      <c r="C831" t="inlineStr">
        <is>
          <t>engine_value</t>
        </is>
      </c>
    </row>
    <row r="832">
      <c r="A832" t="inlineStr">
        <is>
          <t>附表6-2!V4</t>
        </is>
      </c>
      <c r="B832" t="inlineStr">
        <is>
          <t>annual.depreciation_table+finance_fact_pack.asset_classes.period_18</t>
        </is>
      </c>
      <c r="C832" t="inlineStr">
        <is>
          <t>engine_value</t>
        </is>
      </c>
    </row>
    <row r="833">
      <c r="A833" t="inlineStr">
        <is>
          <t>附表6-2!W4</t>
        </is>
      </c>
      <c r="B833" t="inlineStr">
        <is>
          <t>annual.depreciation_table+finance_fact_pack.asset_classes.period_19</t>
        </is>
      </c>
      <c r="C833" t="inlineStr">
        <is>
          <t>engine_value</t>
        </is>
      </c>
    </row>
    <row r="834">
      <c r="A834" t="inlineStr">
        <is>
          <t>附表6-2!X4</t>
        </is>
      </c>
      <c r="B834" t="inlineStr">
        <is>
          <t>annual.depreciation_table+finance_fact_pack.asset_classes.period_20</t>
        </is>
      </c>
      <c r="C834" t="inlineStr">
        <is>
          <t>engine_value</t>
        </is>
      </c>
    </row>
    <row r="835">
      <c r="A835" t="inlineStr">
        <is>
          <t>附表6-2!Y4</t>
        </is>
      </c>
      <c r="B835" t="inlineStr">
        <is>
          <t>annual.depreciation_table+finance_fact_pack.asset_classes.period_21</t>
        </is>
      </c>
      <c r="C835" t="inlineStr">
        <is>
          <t>engine_value</t>
        </is>
      </c>
    </row>
    <row r="836">
      <c r="A836" t="inlineStr">
        <is>
          <t>附表6-2!Z4</t>
        </is>
      </c>
      <c r="B836" t="inlineStr">
        <is>
          <t>annual.depreciation_table+finance_fact_pack.asset_classes.period_22</t>
        </is>
      </c>
      <c r="C836" t="inlineStr">
        <is>
          <t>engine_value</t>
        </is>
      </c>
    </row>
    <row r="837">
      <c r="A837" t="inlineStr">
        <is>
          <t>附表6-2!AA4</t>
        </is>
      </c>
      <c r="B837" t="inlineStr">
        <is>
          <t>annual.depreciation_table+finance_fact_pack.asset_classes.period_23</t>
        </is>
      </c>
      <c r="C837" t="inlineStr">
        <is>
          <t>engine_value</t>
        </is>
      </c>
    </row>
    <row r="838">
      <c r="A838" t="inlineStr">
        <is>
          <t>附表6-2!AB4</t>
        </is>
      </c>
      <c r="B838" t="inlineStr">
        <is>
          <t>annual.depreciation_table+finance_fact_pack.asset_classes.period_24</t>
        </is>
      </c>
      <c r="C838" t="inlineStr">
        <is>
          <t>engine_value</t>
        </is>
      </c>
    </row>
    <row r="839">
      <c r="A839" t="inlineStr">
        <is>
          <t>附表6-3!A4</t>
        </is>
      </c>
      <c r="B839" t="inlineStr">
        <is>
          <t>annual.amortization_table+finance_fact_pack.amort_bases.no</t>
        </is>
      </c>
      <c r="C839" t="inlineStr">
        <is>
          <t>engine_value</t>
        </is>
      </c>
    </row>
    <row r="840">
      <c r="A840" t="inlineStr">
        <is>
          <t>附表6-3!B4</t>
        </is>
      </c>
      <c r="B840" t="inlineStr">
        <is>
          <t>annual.amortization_table+finance_fact_pack.amort_bases.item</t>
        </is>
      </c>
      <c r="C840" t="inlineStr">
        <is>
          <t>engine_value</t>
        </is>
      </c>
    </row>
    <row r="841">
      <c r="A841" t="inlineStr">
        <is>
          <t>附表6-3!C4</t>
        </is>
      </c>
      <c r="B841" t="inlineStr">
        <is>
          <t>annual.amortization_table+finance_fact_pack.amort_bases.total</t>
        </is>
      </c>
      <c r="C841" t="inlineStr">
        <is>
          <t>engine_value</t>
        </is>
      </c>
    </row>
    <row r="842">
      <c r="A842" t="inlineStr">
        <is>
          <t>附表6-3!D4</t>
        </is>
      </c>
      <c r="B842" t="inlineStr">
        <is>
          <t>annual.amortization_table+finance_fact_pack.amort_bases.life</t>
        </is>
      </c>
      <c r="C842" t="inlineStr">
        <is>
          <t>engine_value</t>
        </is>
      </c>
    </row>
    <row r="843">
      <c r="A843" t="inlineStr">
        <is>
          <t>附表6-3!E4</t>
        </is>
      </c>
      <c r="B843" t="inlineStr">
        <is>
          <t>annual.amortization_table+finance_fact_pack.amort_bases.period_1</t>
        </is>
      </c>
      <c r="C843" t="inlineStr">
        <is>
          <t>engine_value</t>
        </is>
      </c>
    </row>
    <row r="844">
      <c r="A844" t="inlineStr">
        <is>
          <t>附表6-3!F4</t>
        </is>
      </c>
      <c r="B844" t="inlineStr">
        <is>
          <t>annual.amortization_table+finance_fact_pack.amort_bases.period_2</t>
        </is>
      </c>
      <c r="C844" t="inlineStr">
        <is>
          <t>engine_value</t>
        </is>
      </c>
    </row>
    <row r="845">
      <c r="A845" t="inlineStr">
        <is>
          <t>附表6-3!G4</t>
        </is>
      </c>
      <c r="B845" t="inlineStr">
        <is>
          <t>annual.amortization_table+finance_fact_pack.amort_bases.period_3</t>
        </is>
      </c>
      <c r="C845" t="inlineStr">
        <is>
          <t>engine_value</t>
        </is>
      </c>
    </row>
    <row r="846">
      <c r="A846" t="inlineStr">
        <is>
          <t>附表6-3!H4</t>
        </is>
      </c>
      <c r="B846" t="inlineStr">
        <is>
          <t>annual.amortization_table+finance_fact_pack.amort_bases.period_4</t>
        </is>
      </c>
      <c r="C846" t="inlineStr">
        <is>
          <t>engine_value</t>
        </is>
      </c>
    </row>
    <row r="847">
      <c r="A847" t="inlineStr">
        <is>
          <t>附表6-3!I4</t>
        </is>
      </c>
      <c r="B847" t="inlineStr">
        <is>
          <t>annual.amortization_table+finance_fact_pack.amort_bases.period_5</t>
        </is>
      </c>
      <c r="C847" t="inlineStr">
        <is>
          <t>engine_value</t>
        </is>
      </c>
    </row>
    <row r="848">
      <c r="A848" t="inlineStr">
        <is>
          <t>附表6-3!J4</t>
        </is>
      </c>
      <c r="B848" t="inlineStr">
        <is>
          <t>annual.amortization_table+finance_fact_pack.amort_bases.period_6</t>
        </is>
      </c>
      <c r="C848" t="inlineStr">
        <is>
          <t>engine_value</t>
        </is>
      </c>
    </row>
    <row r="849">
      <c r="A849" t="inlineStr">
        <is>
          <t>附表6-3!K4</t>
        </is>
      </c>
      <c r="B849" t="inlineStr">
        <is>
          <t>annual.amortization_table+finance_fact_pack.amort_bases.period_7</t>
        </is>
      </c>
      <c r="C849" t="inlineStr">
        <is>
          <t>engine_value</t>
        </is>
      </c>
    </row>
    <row r="850">
      <c r="A850" t="inlineStr">
        <is>
          <t>附表6-3!L4</t>
        </is>
      </c>
      <c r="B850" t="inlineStr">
        <is>
          <t>annual.amortization_table+finance_fact_pack.amort_bases.period_8</t>
        </is>
      </c>
      <c r="C850" t="inlineStr">
        <is>
          <t>engine_value</t>
        </is>
      </c>
    </row>
    <row r="851">
      <c r="A851" t="inlineStr">
        <is>
          <t>附表6-3!M4</t>
        </is>
      </c>
      <c r="B851" t="inlineStr">
        <is>
          <t>annual.amortization_table+finance_fact_pack.amort_bases.period_9</t>
        </is>
      </c>
      <c r="C851" t="inlineStr">
        <is>
          <t>engine_value</t>
        </is>
      </c>
    </row>
    <row r="852">
      <c r="A852" t="inlineStr">
        <is>
          <t>附表6-3!N4</t>
        </is>
      </c>
      <c r="B852" t="inlineStr">
        <is>
          <t>annual.amortization_table+finance_fact_pack.amort_bases.period_10</t>
        </is>
      </c>
      <c r="C852" t="inlineStr">
        <is>
          <t>engine_value</t>
        </is>
      </c>
    </row>
    <row r="853">
      <c r="A853" t="inlineStr">
        <is>
          <t>附表6-3!O4</t>
        </is>
      </c>
      <c r="B853" t="inlineStr">
        <is>
          <t>annual.amortization_table+finance_fact_pack.amort_bases.period_11</t>
        </is>
      </c>
      <c r="C853" t="inlineStr">
        <is>
          <t>engine_value</t>
        </is>
      </c>
    </row>
    <row r="854">
      <c r="A854" t="inlineStr">
        <is>
          <t>附表6-3!P4</t>
        </is>
      </c>
      <c r="B854" t="inlineStr">
        <is>
          <t>annual.amortization_table+finance_fact_pack.amort_bases.period_12</t>
        </is>
      </c>
      <c r="C854" t="inlineStr">
        <is>
          <t>engine_value</t>
        </is>
      </c>
    </row>
    <row r="855">
      <c r="A855" t="inlineStr">
        <is>
          <t>附表6-3!Q4</t>
        </is>
      </c>
      <c r="B855" t="inlineStr">
        <is>
          <t>annual.amortization_table+finance_fact_pack.amort_bases.period_13</t>
        </is>
      </c>
      <c r="C855" t="inlineStr">
        <is>
          <t>engine_value</t>
        </is>
      </c>
    </row>
    <row r="856">
      <c r="A856" t="inlineStr">
        <is>
          <t>附表6-3!R4</t>
        </is>
      </c>
      <c r="B856" t="inlineStr">
        <is>
          <t>annual.amortization_table+finance_fact_pack.amort_bases.period_14</t>
        </is>
      </c>
      <c r="C856" t="inlineStr">
        <is>
          <t>engine_value</t>
        </is>
      </c>
    </row>
    <row r="857">
      <c r="A857" t="inlineStr">
        <is>
          <t>附表6-3!S4</t>
        </is>
      </c>
      <c r="B857" t="inlineStr">
        <is>
          <t>annual.amortization_table+finance_fact_pack.amort_bases.period_15</t>
        </is>
      </c>
      <c r="C857" t="inlineStr">
        <is>
          <t>engine_value</t>
        </is>
      </c>
    </row>
    <row r="858">
      <c r="A858" t="inlineStr">
        <is>
          <t>附表6-3!T4</t>
        </is>
      </c>
      <c r="B858" t="inlineStr">
        <is>
          <t>annual.amortization_table+finance_fact_pack.amort_bases.period_16</t>
        </is>
      </c>
      <c r="C858" t="inlineStr">
        <is>
          <t>engine_value</t>
        </is>
      </c>
    </row>
    <row r="859">
      <c r="A859" t="inlineStr">
        <is>
          <t>附表6-3!U4</t>
        </is>
      </c>
      <c r="B859" t="inlineStr">
        <is>
          <t>annual.amortization_table+finance_fact_pack.amort_bases.period_17</t>
        </is>
      </c>
      <c r="C859" t="inlineStr">
        <is>
          <t>engine_value</t>
        </is>
      </c>
    </row>
    <row r="860">
      <c r="A860" t="inlineStr">
        <is>
          <t>附表6-3!V4</t>
        </is>
      </c>
      <c r="B860" t="inlineStr">
        <is>
          <t>annual.amortization_table+finance_fact_pack.amort_bases.period_18</t>
        </is>
      </c>
      <c r="C860" t="inlineStr">
        <is>
          <t>engine_value</t>
        </is>
      </c>
    </row>
    <row r="861">
      <c r="A861" t="inlineStr">
        <is>
          <t>附表6-3!W4</t>
        </is>
      </c>
      <c r="B861" t="inlineStr">
        <is>
          <t>annual.amortization_table+finance_fact_pack.amort_bases.period_19</t>
        </is>
      </c>
      <c r="C861" t="inlineStr">
        <is>
          <t>engine_value</t>
        </is>
      </c>
    </row>
    <row r="862">
      <c r="A862" t="inlineStr">
        <is>
          <t>附表6-3!X4</t>
        </is>
      </c>
      <c r="B862" t="inlineStr">
        <is>
          <t>annual.amortization_table+finance_fact_pack.amort_bases.period_20</t>
        </is>
      </c>
      <c r="C862" t="inlineStr">
        <is>
          <t>engine_value</t>
        </is>
      </c>
    </row>
    <row r="863">
      <c r="A863" t="inlineStr">
        <is>
          <t>附表6-3!Y4</t>
        </is>
      </c>
      <c r="B863" t="inlineStr">
        <is>
          <t>annual.amortization_table+finance_fact_pack.amort_bases.period_21</t>
        </is>
      </c>
      <c r="C863" t="inlineStr">
        <is>
          <t>engine_value</t>
        </is>
      </c>
    </row>
    <row r="864">
      <c r="A864" t="inlineStr">
        <is>
          <t>附表6-3!Z4</t>
        </is>
      </c>
      <c r="B864" t="inlineStr">
        <is>
          <t>annual.amortization_table+finance_fact_pack.amort_bases.period_22</t>
        </is>
      </c>
      <c r="C864" t="inlineStr">
        <is>
          <t>engine_value</t>
        </is>
      </c>
    </row>
    <row r="865">
      <c r="A865" t="inlineStr">
        <is>
          <t>附表6-3!AA4</t>
        </is>
      </c>
      <c r="B865" t="inlineStr">
        <is>
          <t>annual.amortization_table+finance_fact_pack.amort_bases.period_23</t>
        </is>
      </c>
      <c r="C865" t="inlineStr">
        <is>
          <t>engine_value</t>
        </is>
      </c>
    </row>
    <row r="866">
      <c r="A866" t="inlineStr">
        <is>
          <t>附表6-3!AB4</t>
        </is>
      </c>
      <c r="B866" t="inlineStr">
        <is>
          <t>annual.amortization_table+finance_fact_pack.amort_bases.period_24</t>
        </is>
      </c>
      <c r="C866" t="inlineStr">
        <is>
          <t>engine_value</t>
        </is>
      </c>
    </row>
    <row r="867">
      <c r="A867" t="inlineStr">
        <is>
          <t>附表7!A4</t>
        </is>
      </c>
      <c r="B867" t="inlineStr">
        <is>
          <t>annual.profit_distribution.no</t>
        </is>
      </c>
      <c r="C867" t="inlineStr">
        <is>
          <t>engine_value</t>
        </is>
      </c>
    </row>
    <row r="868">
      <c r="A868" t="inlineStr">
        <is>
          <t>附表7!B4</t>
        </is>
      </c>
      <c r="B868" t="inlineStr">
        <is>
          <t>annual.profit_distribution.item</t>
        </is>
      </c>
      <c r="C868" t="inlineStr">
        <is>
          <t>engine_value</t>
        </is>
      </c>
    </row>
    <row r="869">
      <c r="A869" t="inlineStr">
        <is>
          <t>附表7!C4</t>
        </is>
      </c>
      <c r="B869" t="inlineStr">
        <is>
          <t>annual.profit_distribution.total</t>
        </is>
      </c>
      <c r="C869" t="inlineStr">
        <is>
          <t>engine_value</t>
        </is>
      </c>
    </row>
    <row r="870">
      <c r="A870" t="inlineStr">
        <is>
          <t>附表7!D4</t>
        </is>
      </c>
      <c r="B870" t="inlineStr">
        <is>
          <t>annual.profit_distribution.period_1</t>
        </is>
      </c>
      <c r="C870" t="inlineStr">
        <is>
          <t>engine_value</t>
        </is>
      </c>
    </row>
    <row r="871">
      <c r="A871" t="inlineStr">
        <is>
          <t>附表7!E4</t>
        </is>
      </c>
      <c r="B871" t="inlineStr">
        <is>
          <t>annual.profit_distribution.period_2</t>
        </is>
      </c>
      <c r="C871" t="inlineStr">
        <is>
          <t>engine_value</t>
        </is>
      </c>
    </row>
    <row r="872">
      <c r="A872" t="inlineStr">
        <is>
          <t>附表7!F4</t>
        </is>
      </c>
      <c r="B872" t="inlineStr">
        <is>
          <t>annual.profit_distribution.period_3</t>
        </is>
      </c>
      <c r="C872" t="inlineStr">
        <is>
          <t>engine_value</t>
        </is>
      </c>
    </row>
    <row r="873">
      <c r="A873" t="inlineStr">
        <is>
          <t>附表7!G4</t>
        </is>
      </c>
      <c r="B873" t="inlineStr">
        <is>
          <t>annual.profit_distribution.period_4</t>
        </is>
      </c>
      <c r="C873" t="inlineStr">
        <is>
          <t>engine_value</t>
        </is>
      </c>
    </row>
    <row r="874">
      <c r="A874" t="inlineStr">
        <is>
          <t>附表7!H4</t>
        </is>
      </c>
      <c r="B874" t="inlineStr">
        <is>
          <t>annual.profit_distribution.period_5</t>
        </is>
      </c>
      <c r="C874" t="inlineStr">
        <is>
          <t>engine_value</t>
        </is>
      </c>
    </row>
    <row r="875">
      <c r="A875" t="inlineStr">
        <is>
          <t>附表7!I4</t>
        </is>
      </c>
      <c r="B875" t="inlineStr">
        <is>
          <t>annual.profit_distribution.period_6</t>
        </is>
      </c>
      <c r="C875" t="inlineStr">
        <is>
          <t>engine_value</t>
        </is>
      </c>
    </row>
    <row r="876">
      <c r="A876" t="inlineStr">
        <is>
          <t>附表7!J4</t>
        </is>
      </c>
      <c r="B876" t="inlineStr">
        <is>
          <t>annual.profit_distribution.period_7</t>
        </is>
      </c>
      <c r="C876" t="inlineStr">
        <is>
          <t>engine_value</t>
        </is>
      </c>
    </row>
    <row r="877">
      <c r="A877" t="inlineStr">
        <is>
          <t>附表7!K4</t>
        </is>
      </c>
      <c r="B877" t="inlineStr">
        <is>
          <t>annual.profit_distribution.period_8</t>
        </is>
      </c>
      <c r="C877" t="inlineStr">
        <is>
          <t>engine_value</t>
        </is>
      </c>
    </row>
    <row r="878">
      <c r="A878" t="inlineStr">
        <is>
          <t>附表7!L4</t>
        </is>
      </c>
      <c r="B878" t="inlineStr">
        <is>
          <t>annual.profit_distribution.period_9</t>
        </is>
      </c>
      <c r="C878" t="inlineStr">
        <is>
          <t>engine_value</t>
        </is>
      </c>
    </row>
    <row r="879">
      <c r="A879" t="inlineStr">
        <is>
          <t>附表7!M4</t>
        </is>
      </c>
      <c r="B879" t="inlineStr">
        <is>
          <t>annual.profit_distribution.period_10</t>
        </is>
      </c>
      <c r="C879" t="inlineStr">
        <is>
          <t>engine_value</t>
        </is>
      </c>
    </row>
    <row r="880">
      <c r="A880" t="inlineStr">
        <is>
          <t>附表7!N4</t>
        </is>
      </c>
      <c r="B880" t="inlineStr">
        <is>
          <t>annual.profit_distribution.period_11</t>
        </is>
      </c>
      <c r="C880" t="inlineStr">
        <is>
          <t>engine_value</t>
        </is>
      </c>
    </row>
    <row r="881">
      <c r="A881" t="inlineStr">
        <is>
          <t>附表7!O4</t>
        </is>
      </c>
      <c r="B881" t="inlineStr">
        <is>
          <t>annual.profit_distribution.period_12</t>
        </is>
      </c>
      <c r="C881" t="inlineStr">
        <is>
          <t>engine_value</t>
        </is>
      </c>
    </row>
    <row r="882">
      <c r="A882" t="inlineStr">
        <is>
          <t>附表7!P4</t>
        </is>
      </c>
      <c r="B882" t="inlineStr">
        <is>
          <t>annual.profit_distribution.period_13</t>
        </is>
      </c>
      <c r="C882" t="inlineStr">
        <is>
          <t>engine_value</t>
        </is>
      </c>
    </row>
    <row r="883">
      <c r="A883" t="inlineStr">
        <is>
          <t>附表7!Q4</t>
        </is>
      </c>
      <c r="B883" t="inlineStr">
        <is>
          <t>annual.profit_distribution.period_14</t>
        </is>
      </c>
      <c r="C883" t="inlineStr">
        <is>
          <t>engine_value</t>
        </is>
      </c>
    </row>
    <row r="884">
      <c r="A884" t="inlineStr">
        <is>
          <t>附表7!R4</t>
        </is>
      </c>
      <c r="B884" t="inlineStr">
        <is>
          <t>annual.profit_distribution.period_15</t>
        </is>
      </c>
      <c r="C884" t="inlineStr">
        <is>
          <t>engine_value</t>
        </is>
      </c>
    </row>
    <row r="885">
      <c r="A885" t="inlineStr">
        <is>
          <t>附表7!S4</t>
        </is>
      </c>
      <c r="B885" t="inlineStr">
        <is>
          <t>annual.profit_distribution.period_16</t>
        </is>
      </c>
      <c r="C885" t="inlineStr">
        <is>
          <t>engine_value</t>
        </is>
      </c>
    </row>
    <row r="886">
      <c r="A886" t="inlineStr">
        <is>
          <t>附表7!T4</t>
        </is>
      </c>
      <c r="B886" t="inlineStr">
        <is>
          <t>annual.profit_distribution.period_17</t>
        </is>
      </c>
      <c r="C886" t="inlineStr">
        <is>
          <t>engine_value</t>
        </is>
      </c>
    </row>
    <row r="887">
      <c r="A887" t="inlineStr">
        <is>
          <t>附表7!U4</t>
        </is>
      </c>
      <c r="B887" t="inlineStr">
        <is>
          <t>annual.profit_distribution.period_18</t>
        </is>
      </c>
      <c r="C887" t="inlineStr">
        <is>
          <t>engine_value</t>
        </is>
      </c>
    </row>
    <row r="888">
      <c r="A888" t="inlineStr">
        <is>
          <t>附表7!V4</t>
        </is>
      </c>
      <c r="B888" t="inlineStr">
        <is>
          <t>annual.profit_distribution.period_19</t>
        </is>
      </c>
      <c r="C888" t="inlineStr">
        <is>
          <t>engine_value</t>
        </is>
      </c>
    </row>
    <row r="889">
      <c r="A889" t="inlineStr">
        <is>
          <t>附表7!W4</t>
        </is>
      </c>
      <c r="B889" t="inlineStr">
        <is>
          <t>annual.profit_distribution.period_20</t>
        </is>
      </c>
      <c r="C889" t="inlineStr">
        <is>
          <t>engine_value</t>
        </is>
      </c>
    </row>
    <row r="890">
      <c r="A890" t="inlineStr">
        <is>
          <t>附表7!X4</t>
        </is>
      </c>
      <c r="B890" t="inlineStr">
        <is>
          <t>annual.profit_distribution.period_21</t>
        </is>
      </c>
      <c r="C890" t="inlineStr">
        <is>
          <t>engine_value</t>
        </is>
      </c>
    </row>
    <row r="891">
      <c r="A891" t="inlineStr">
        <is>
          <t>附表7!Y4</t>
        </is>
      </c>
      <c r="B891" t="inlineStr">
        <is>
          <t>annual.profit_distribution.period_22</t>
        </is>
      </c>
      <c r="C891" t="inlineStr">
        <is>
          <t>engine_value</t>
        </is>
      </c>
    </row>
    <row r="892">
      <c r="A892" t="inlineStr">
        <is>
          <t>附表7!Z4</t>
        </is>
      </c>
      <c r="B892" t="inlineStr">
        <is>
          <t>annual.profit_distribution.period_23</t>
        </is>
      </c>
      <c r="C892" t="inlineStr">
        <is>
          <t>engine_value</t>
        </is>
      </c>
    </row>
    <row r="893">
      <c r="A893" t="inlineStr">
        <is>
          <t>附表7!AA4</t>
        </is>
      </c>
      <c r="B893" t="inlineStr">
        <is>
          <t>annual.profit_distribution.period_24</t>
        </is>
      </c>
      <c r="C893" t="inlineStr">
        <is>
          <t>engine_value</t>
        </is>
      </c>
    </row>
    <row r="894">
      <c r="A894" t="inlineStr">
        <is>
          <t>附表7!A5</t>
        </is>
      </c>
      <c r="B894" t="inlineStr">
        <is>
          <t>annual.profit_distribution.no</t>
        </is>
      </c>
      <c r="C894" t="inlineStr">
        <is>
          <t>engine_value</t>
        </is>
      </c>
    </row>
    <row r="895">
      <c r="A895" t="inlineStr">
        <is>
          <t>附表7!B5</t>
        </is>
      </c>
      <c r="B895" t="inlineStr">
        <is>
          <t>annual.profit_distribution.item</t>
        </is>
      </c>
      <c r="C895" t="inlineStr">
        <is>
          <t>engine_value</t>
        </is>
      </c>
    </row>
    <row r="896">
      <c r="A896" t="inlineStr">
        <is>
          <t>附表7!C5</t>
        </is>
      </c>
      <c r="B896" t="inlineStr">
        <is>
          <t>annual.profit_distribution.total</t>
        </is>
      </c>
      <c r="C896" t="inlineStr">
        <is>
          <t>engine_value</t>
        </is>
      </c>
    </row>
    <row r="897">
      <c r="A897" t="inlineStr">
        <is>
          <t>附表7!D5</t>
        </is>
      </c>
      <c r="B897" t="inlineStr">
        <is>
          <t>annual.profit_distribution.period_1</t>
        </is>
      </c>
      <c r="C897" t="inlineStr">
        <is>
          <t>engine_value</t>
        </is>
      </c>
    </row>
    <row r="898">
      <c r="A898" t="inlineStr">
        <is>
          <t>附表7!E5</t>
        </is>
      </c>
      <c r="B898" t="inlineStr">
        <is>
          <t>annual.profit_distribution.period_2</t>
        </is>
      </c>
      <c r="C898" t="inlineStr">
        <is>
          <t>engine_value</t>
        </is>
      </c>
    </row>
    <row r="899">
      <c r="A899" t="inlineStr">
        <is>
          <t>附表7!F5</t>
        </is>
      </c>
      <c r="B899" t="inlineStr">
        <is>
          <t>annual.profit_distribution.period_3</t>
        </is>
      </c>
      <c r="C899" t="inlineStr">
        <is>
          <t>engine_value</t>
        </is>
      </c>
    </row>
    <row r="900">
      <c r="A900" t="inlineStr">
        <is>
          <t>附表7!G5</t>
        </is>
      </c>
      <c r="B900" t="inlineStr">
        <is>
          <t>annual.profit_distribution.period_4</t>
        </is>
      </c>
      <c r="C900" t="inlineStr">
        <is>
          <t>engine_value</t>
        </is>
      </c>
    </row>
    <row r="901">
      <c r="A901" t="inlineStr">
        <is>
          <t>附表7!H5</t>
        </is>
      </c>
      <c r="B901" t="inlineStr">
        <is>
          <t>annual.profit_distribution.period_5</t>
        </is>
      </c>
      <c r="C901" t="inlineStr">
        <is>
          <t>engine_value</t>
        </is>
      </c>
    </row>
    <row r="902">
      <c r="A902" t="inlineStr">
        <is>
          <t>附表7!I5</t>
        </is>
      </c>
      <c r="B902" t="inlineStr">
        <is>
          <t>annual.profit_distribution.period_6</t>
        </is>
      </c>
      <c r="C902" t="inlineStr">
        <is>
          <t>engine_value</t>
        </is>
      </c>
    </row>
    <row r="903">
      <c r="A903" t="inlineStr">
        <is>
          <t>附表7!J5</t>
        </is>
      </c>
      <c r="B903" t="inlineStr">
        <is>
          <t>annual.profit_distribution.period_7</t>
        </is>
      </c>
      <c r="C903" t="inlineStr">
        <is>
          <t>engine_value</t>
        </is>
      </c>
    </row>
    <row r="904">
      <c r="A904" t="inlineStr">
        <is>
          <t>附表7!K5</t>
        </is>
      </c>
      <c r="B904" t="inlineStr">
        <is>
          <t>annual.profit_distribution.period_8</t>
        </is>
      </c>
      <c r="C904" t="inlineStr">
        <is>
          <t>engine_value</t>
        </is>
      </c>
    </row>
    <row r="905">
      <c r="A905" t="inlineStr">
        <is>
          <t>附表7!L5</t>
        </is>
      </c>
      <c r="B905" t="inlineStr">
        <is>
          <t>annual.profit_distribution.period_9</t>
        </is>
      </c>
      <c r="C905" t="inlineStr">
        <is>
          <t>engine_value</t>
        </is>
      </c>
    </row>
    <row r="906">
      <c r="A906" t="inlineStr">
        <is>
          <t>附表7!M5</t>
        </is>
      </c>
      <c r="B906" t="inlineStr">
        <is>
          <t>annual.profit_distribution.period_10</t>
        </is>
      </c>
      <c r="C906" t="inlineStr">
        <is>
          <t>engine_value</t>
        </is>
      </c>
    </row>
    <row r="907">
      <c r="A907" t="inlineStr">
        <is>
          <t>附表7!N5</t>
        </is>
      </c>
      <c r="B907" t="inlineStr">
        <is>
          <t>annual.profit_distribution.period_11</t>
        </is>
      </c>
      <c r="C907" t="inlineStr">
        <is>
          <t>engine_value</t>
        </is>
      </c>
    </row>
    <row r="908">
      <c r="A908" t="inlineStr">
        <is>
          <t>附表7!O5</t>
        </is>
      </c>
      <c r="B908" t="inlineStr">
        <is>
          <t>annual.profit_distribution.period_12</t>
        </is>
      </c>
      <c r="C908" t="inlineStr">
        <is>
          <t>engine_value</t>
        </is>
      </c>
    </row>
    <row r="909">
      <c r="A909" t="inlineStr">
        <is>
          <t>附表7!P5</t>
        </is>
      </c>
      <c r="B909" t="inlineStr">
        <is>
          <t>annual.profit_distribution.period_13</t>
        </is>
      </c>
      <c r="C909" t="inlineStr">
        <is>
          <t>engine_value</t>
        </is>
      </c>
    </row>
    <row r="910">
      <c r="A910" t="inlineStr">
        <is>
          <t>附表7!Q5</t>
        </is>
      </c>
      <c r="B910" t="inlineStr">
        <is>
          <t>annual.profit_distribution.period_14</t>
        </is>
      </c>
      <c r="C910" t="inlineStr">
        <is>
          <t>engine_value</t>
        </is>
      </c>
    </row>
    <row r="911">
      <c r="A911" t="inlineStr">
        <is>
          <t>附表7!R5</t>
        </is>
      </c>
      <c r="B911" t="inlineStr">
        <is>
          <t>annual.profit_distribution.period_15</t>
        </is>
      </c>
      <c r="C911" t="inlineStr">
        <is>
          <t>engine_value</t>
        </is>
      </c>
    </row>
    <row r="912">
      <c r="A912" t="inlineStr">
        <is>
          <t>附表7!S5</t>
        </is>
      </c>
      <c r="B912" t="inlineStr">
        <is>
          <t>annual.profit_distribution.period_16</t>
        </is>
      </c>
      <c r="C912" t="inlineStr">
        <is>
          <t>engine_value</t>
        </is>
      </c>
    </row>
    <row r="913">
      <c r="A913" t="inlineStr">
        <is>
          <t>附表7!T5</t>
        </is>
      </c>
      <c r="B913" t="inlineStr">
        <is>
          <t>annual.profit_distribution.period_17</t>
        </is>
      </c>
      <c r="C913" t="inlineStr">
        <is>
          <t>engine_value</t>
        </is>
      </c>
    </row>
    <row r="914">
      <c r="A914" t="inlineStr">
        <is>
          <t>附表7!U5</t>
        </is>
      </c>
      <c r="B914" t="inlineStr">
        <is>
          <t>annual.profit_distribution.period_18</t>
        </is>
      </c>
      <c r="C914" t="inlineStr">
        <is>
          <t>engine_value</t>
        </is>
      </c>
    </row>
    <row r="915">
      <c r="A915" t="inlineStr">
        <is>
          <t>附表7!V5</t>
        </is>
      </c>
      <c r="B915" t="inlineStr">
        <is>
          <t>annual.profit_distribution.period_19</t>
        </is>
      </c>
      <c r="C915" t="inlineStr">
        <is>
          <t>engine_value</t>
        </is>
      </c>
    </row>
    <row r="916">
      <c r="A916" t="inlineStr">
        <is>
          <t>附表7!W5</t>
        </is>
      </c>
      <c r="B916" t="inlineStr">
        <is>
          <t>annual.profit_distribution.period_20</t>
        </is>
      </c>
      <c r="C916" t="inlineStr">
        <is>
          <t>engine_value</t>
        </is>
      </c>
    </row>
    <row r="917">
      <c r="A917" t="inlineStr">
        <is>
          <t>附表7!X5</t>
        </is>
      </c>
      <c r="B917" t="inlineStr">
        <is>
          <t>annual.profit_distribution.period_21</t>
        </is>
      </c>
      <c r="C917" t="inlineStr">
        <is>
          <t>engine_value</t>
        </is>
      </c>
    </row>
    <row r="918">
      <c r="A918" t="inlineStr">
        <is>
          <t>附表7!Y5</t>
        </is>
      </c>
      <c r="B918" t="inlineStr">
        <is>
          <t>annual.profit_distribution.period_22</t>
        </is>
      </c>
      <c r="C918" t="inlineStr">
        <is>
          <t>engine_value</t>
        </is>
      </c>
    </row>
    <row r="919">
      <c r="A919" t="inlineStr">
        <is>
          <t>附表7!Z5</t>
        </is>
      </c>
      <c r="B919" t="inlineStr">
        <is>
          <t>annual.profit_distribution.period_23</t>
        </is>
      </c>
      <c r="C919" t="inlineStr">
        <is>
          <t>engine_value</t>
        </is>
      </c>
    </row>
    <row r="920">
      <c r="A920" t="inlineStr">
        <is>
          <t>附表7!AA5</t>
        </is>
      </c>
      <c r="B920" t="inlineStr">
        <is>
          <t>annual.profit_distribution.period_24</t>
        </is>
      </c>
      <c r="C920" t="inlineStr">
        <is>
          <t>engine_value</t>
        </is>
      </c>
    </row>
    <row r="921">
      <c r="A921" t="inlineStr">
        <is>
          <t>附表7!A6</t>
        </is>
      </c>
      <c r="B921" t="inlineStr">
        <is>
          <t>annual.profit_distribution.no</t>
        </is>
      </c>
      <c r="C921" t="inlineStr">
        <is>
          <t>engine_value</t>
        </is>
      </c>
    </row>
    <row r="922">
      <c r="A922" t="inlineStr">
        <is>
          <t>附表7!B6</t>
        </is>
      </c>
      <c r="B922" t="inlineStr">
        <is>
          <t>annual.profit_distribution.item</t>
        </is>
      </c>
      <c r="C922" t="inlineStr">
        <is>
          <t>engine_value</t>
        </is>
      </c>
    </row>
    <row r="923">
      <c r="A923" t="inlineStr">
        <is>
          <t>附表7!C6</t>
        </is>
      </c>
      <c r="B923" t="inlineStr">
        <is>
          <t>annual.profit_distribution.total</t>
        </is>
      </c>
      <c r="C923" t="inlineStr">
        <is>
          <t>engine_value</t>
        </is>
      </c>
    </row>
    <row r="924">
      <c r="A924" t="inlineStr">
        <is>
          <t>附表7!D6</t>
        </is>
      </c>
      <c r="B924" t="inlineStr">
        <is>
          <t>annual.profit_distribution.period_1</t>
        </is>
      </c>
      <c r="C924" t="inlineStr">
        <is>
          <t>engine_value</t>
        </is>
      </c>
    </row>
    <row r="925">
      <c r="A925" t="inlineStr">
        <is>
          <t>附表7!E6</t>
        </is>
      </c>
      <c r="B925" t="inlineStr">
        <is>
          <t>annual.profit_distribution.period_2</t>
        </is>
      </c>
      <c r="C925" t="inlineStr">
        <is>
          <t>engine_value</t>
        </is>
      </c>
    </row>
    <row r="926">
      <c r="A926" t="inlineStr">
        <is>
          <t>附表7!F6</t>
        </is>
      </c>
      <c r="B926" t="inlineStr">
        <is>
          <t>annual.profit_distribution.period_3</t>
        </is>
      </c>
      <c r="C926" t="inlineStr">
        <is>
          <t>engine_value</t>
        </is>
      </c>
    </row>
    <row r="927">
      <c r="A927" t="inlineStr">
        <is>
          <t>附表7!G6</t>
        </is>
      </c>
      <c r="B927" t="inlineStr">
        <is>
          <t>annual.profit_distribution.period_4</t>
        </is>
      </c>
      <c r="C927" t="inlineStr">
        <is>
          <t>engine_value</t>
        </is>
      </c>
    </row>
    <row r="928">
      <c r="A928" t="inlineStr">
        <is>
          <t>附表7!H6</t>
        </is>
      </c>
      <c r="B928" t="inlineStr">
        <is>
          <t>annual.profit_distribution.period_5</t>
        </is>
      </c>
      <c r="C928" t="inlineStr">
        <is>
          <t>engine_value</t>
        </is>
      </c>
    </row>
    <row r="929">
      <c r="A929" t="inlineStr">
        <is>
          <t>附表7!I6</t>
        </is>
      </c>
      <c r="B929" t="inlineStr">
        <is>
          <t>annual.profit_distribution.period_6</t>
        </is>
      </c>
      <c r="C929" t="inlineStr">
        <is>
          <t>engine_value</t>
        </is>
      </c>
    </row>
    <row r="930">
      <c r="A930" t="inlineStr">
        <is>
          <t>附表7!J6</t>
        </is>
      </c>
      <c r="B930" t="inlineStr">
        <is>
          <t>annual.profit_distribution.period_7</t>
        </is>
      </c>
      <c r="C930" t="inlineStr">
        <is>
          <t>engine_value</t>
        </is>
      </c>
    </row>
    <row r="931">
      <c r="A931" t="inlineStr">
        <is>
          <t>附表7!K6</t>
        </is>
      </c>
      <c r="B931" t="inlineStr">
        <is>
          <t>annual.profit_distribution.period_8</t>
        </is>
      </c>
      <c r="C931" t="inlineStr">
        <is>
          <t>engine_value</t>
        </is>
      </c>
    </row>
    <row r="932">
      <c r="A932" t="inlineStr">
        <is>
          <t>附表7!L6</t>
        </is>
      </c>
      <c r="B932" t="inlineStr">
        <is>
          <t>annual.profit_distribution.period_9</t>
        </is>
      </c>
      <c r="C932" t="inlineStr">
        <is>
          <t>engine_value</t>
        </is>
      </c>
    </row>
    <row r="933">
      <c r="A933" t="inlineStr">
        <is>
          <t>附表7!M6</t>
        </is>
      </c>
      <c r="B933" t="inlineStr">
        <is>
          <t>annual.profit_distribution.period_10</t>
        </is>
      </c>
      <c r="C933" t="inlineStr">
        <is>
          <t>engine_value</t>
        </is>
      </c>
    </row>
    <row r="934">
      <c r="A934" t="inlineStr">
        <is>
          <t>附表7!N6</t>
        </is>
      </c>
      <c r="B934" t="inlineStr">
        <is>
          <t>annual.profit_distribution.period_11</t>
        </is>
      </c>
      <c r="C934" t="inlineStr">
        <is>
          <t>engine_value</t>
        </is>
      </c>
    </row>
    <row r="935">
      <c r="A935" t="inlineStr">
        <is>
          <t>附表7!O6</t>
        </is>
      </c>
      <c r="B935" t="inlineStr">
        <is>
          <t>annual.profit_distribution.period_12</t>
        </is>
      </c>
      <c r="C935" t="inlineStr">
        <is>
          <t>engine_value</t>
        </is>
      </c>
    </row>
    <row r="936">
      <c r="A936" t="inlineStr">
        <is>
          <t>附表7!P6</t>
        </is>
      </c>
      <c r="B936" t="inlineStr">
        <is>
          <t>annual.profit_distribution.period_13</t>
        </is>
      </c>
      <c r="C936" t="inlineStr">
        <is>
          <t>engine_value</t>
        </is>
      </c>
    </row>
    <row r="937">
      <c r="A937" t="inlineStr">
        <is>
          <t>附表7!Q6</t>
        </is>
      </c>
      <c r="B937" t="inlineStr">
        <is>
          <t>annual.profit_distribution.period_14</t>
        </is>
      </c>
      <c r="C937" t="inlineStr">
        <is>
          <t>engine_value</t>
        </is>
      </c>
    </row>
    <row r="938">
      <c r="A938" t="inlineStr">
        <is>
          <t>附表7!R6</t>
        </is>
      </c>
      <c r="B938" t="inlineStr">
        <is>
          <t>annual.profit_distribution.period_15</t>
        </is>
      </c>
      <c r="C938" t="inlineStr">
        <is>
          <t>engine_value</t>
        </is>
      </c>
    </row>
    <row r="939">
      <c r="A939" t="inlineStr">
        <is>
          <t>附表7!S6</t>
        </is>
      </c>
      <c r="B939" t="inlineStr">
        <is>
          <t>annual.profit_distribution.period_16</t>
        </is>
      </c>
      <c r="C939" t="inlineStr">
        <is>
          <t>engine_value</t>
        </is>
      </c>
    </row>
    <row r="940">
      <c r="A940" t="inlineStr">
        <is>
          <t>附表7!T6</t>
        </is>
      </c>
      <c r="B940" t="inlineStr">
        <is>
          <t>annual.profit_distribution.period_17</t>
        </is>
      </c>
      <c r="C940" t="inlineStr">
        <is>
          <t>engine_value</t>
        </is>
      </c>
    </row>
    <row r="941">
      <c r="A941" t="inlineStr">
        <is>
          <t>附表7!U6</t>
        </is>
      </c>
      <c r="B941" t="inlineStr">
        <is>
          <t>annual.profit_distribution.period_18</t>
        </is>
      </c>
      <c r="C941" t="inlineStr">
        <is>
          <t>engine_value</t>
        </is>
      </c>
    </row>
    <row r="942">
      <c r="A942" t="inlineStr">
        <is>
          <t>附表7!V6</t>
        </is>
      </c>
      <c r="B942" t="inlineStr">
        <is>
          <t>annual.profit_distribution.period_19</t>
        </is>
      </c>
      <c r="C942" t="inlineStr">
        <is>
          <t>engine_value</t>
        </is>
      </c>
    </row>
    <row r="943">
      <c r="A943" t="inlineStr">
        <is>
          <t>附表7!W6</t>
        </is>
      </c>
      <c r="B943" t="inlineStr">
        <is>
          <t>annual.profit_distribution.period_20</t>
        </is>
      </c>
      <c r="C943" t="inlineStr">
        <is>
          <t>engine_value</t>
        </is>
      </c>
    </row>
    <row r="944">
      <c r="A944" t="inlineStr">
        <is>
          <t>附表7!X6</t>
        </is>
      </c>
      <c r="B944" t="inlineStr">
        <is>
          <t>annual.profit_distribution.period_21</t>
        </is>
      </c>
      <c r="C944" t="inlineStr">
        <is>
          <t>engine_value</t>
        </is>
      </c>
    </row>
    <row r="945">
      <c r="A945" t="inlineStr">
        <is>
          <t>附表7!Y6</t>
        </is>
      </c>
      <c r="B945" t="inlineStr">
        <is>
          <t>annual.profit_distribution.period_22</t>
        </is>
      </c>
      <c r="C945" t="inlineStr">
        <is>
          <t>engine_value</t>
        </is>
      </c>
    </row>
    <row r="946">
      <c r="A946" t="inlineStr">
        <is>
          <t>附表7!Z6</t>
        </is>
      </c>
      <c r="B946" t="inlineStr">
        <is>
          <t>annual.profit_distribution.period_23</t>
        </is>
      </c>
      <c r="C946" t="inlineStr">
        <is>
          <t>engine_value</t>
        </is>
      </c>
    </row>
    <row r="947">
      <c r="A947" t="inlineStr">
        <is>
          <t>附表7!AA6</t>
        </is>
      </c>
      <c r="B947" t="inlineStr">
        <is>
          <t>annual.profit_distribution.period_24</t>
        </is>
      </c>
      <c r="C947" t="inlineStr">
        <is>
          <t>engine_value</t>
        </is>
      </c>
    </row>
    <row r="948">
      <c r="A948" t="inlineStr">
        <is>
          <t>附表7!A7</t>
        </is>
      </c>
      <c r="B948" t="inlineStr">
        <is>
          <t>annual.profit_distribution.no</t>
        </is>
      </c>
      <c r="C948" t="inlineStr">
        <is>
          <t>engine_value</t>
        </is>
      </c>
    </row>
    <row r="949">
      <c r="A949" t="inlineStr">
        <is>
          <t>附表7!B7</t>
        </is>
      </c>
      <c r="B949" t="inlineStr">
        <is>
          <t>annual.profit_distribution.item</t>
        </is>
      </c>
      <c r="C949" t="inlineStr">
        <is>
          <t>engine_value</t>
        </is>
      </c>
    </row>
    <row r="950">
      <c r="A950" t="inlineStr">
        <is>
          <t>附表7!C7</t>
        </is>
      </c>
      <c r="B950" t="inlineStr">
        <is>
          <t>annual.profit_distribution.total</t>
        </is>
      </c>
      <c r="C950" t="inlineStr">
        <is>
          <t>engine_value</t>
        </is>
      </c>
    </row>
    <row r="951">
      <c r="A951" t="inlineStr">
        <is>
          <t>附表7!D7</t>
        </is>
      </c>
      <c r="B951" t="inlineStr">
        <is>
          <t>annual.profit_distribution.period_1</t>
        </is>
      </c>
      <c r="C951" t="inlineStr">
        <is>
          <t>engine_value</t>
        </is>
      </c>
    </row>
    <row r="952">
      <c r="A952" t="inlineStr">
        <is>
          <t>附表7!E7</t>
        </is>
      </c>
      <c r="B952" t="inlineStr">
        <is>
          <t>annual.profit_distribution.period_2</t>
        </is>
      </c>
      <c r="C952" t="inlineStr">
        <is>
          <t>engine_value</t>
        </is>
      </c>
    </row>
    <row r="953">
      <c r="A953" t="inlineStr">
        <is>
          <t>附表7!F7</t>
        </is>
      </c>
      <c r="B953" t="inlineStr">
        <is>
          <t>annual.profit_distribution.period_3</t>
        </is>
      </c>
      <c r="C953" t="inlineStr">
        <is>
          <t>engine_value</t>
        </is>
      </c>
    </row>
    <row r="954">
      <c r="A954" t="inlineStr">
        <is>
          <t>附表7!G7</t>
        </is>
      </c>
      <c r="B954" t="inlineStr">
        <is>
          <t>annual.profit_distribution.period_4</t>
        </is>
      </c>
      <c r="C954" t="inlineStr">
        <is>
          <t>engine_value</t>
        </is>
      </c>
    </row>
    <row r="955">
      <c r="A955" t="inlineStr">
        <is>
          <t>附表7!H7</t>
        </is>
      </c>
      <c r="B955" t="inlineStr">
        <is>
          <t>annual.profit_distribution.period_5</t>
        </is>
      </c>
      <c r="C955" t="inlineStr">
        <is>
          <t>engine_value</t>
        </is>
      </c>
    </row>
    <row r="956">
      <c r="A956" t="inlineStr">
        <is>
          <t>附表7!I7</t>
        </is>
      </c>
      <c r="B956" t="inlineStr">
        <is>
          <t>annual.profit_distribution.period_6</t>
        </is>
      </c>
      <c r="C956" t="inlineStr">
        <is>
          <t>engine_value</t>
        </is>
      </c>
    </row>
    <row r="957">
      <c r="A957" t="inlineStr">
        <is>
          <t>附表7!J7</t>
        </is>
      </c>
      <c r="B957" t="inlineStr">
        <is>
          <t>annual.profit_distribution.period_7</t>
        </is>
      </c>
      <c r="C957" t="inlineStr">
        <is>
          <t>engine_value</t>
        </is>
      </c>
    </row>
    <row r="958">
      <c r="A958" t="inlineStr">
        <is>
          <t>附表7!K7</t>
        </is>
      </c>
      <c r="B958" t="inlineStr">
        <is>
          <t>annual.profit_distribution.period_8</t>
        </is>
      </c>
      <c r="C958" t="inlineStr">
        <is>
          <t>engine_value</t>
        </is>
      </c>
    </row>
    <row r="959">
      <c r="A959" t="inlineStr">
        <is>
          <t>附表7!L7</t>
        </is>
      </c>
      <c r="B959" t="inlineStr">
        <is>
          <t>annual.profit_distribution.period_9</t>
        </is>
      </c>
      <c r="C959" t="inlineStr">
        <is>
          <t>engine_value</t>
        </is>
      </c>
    </row>
    <row r="960">
      <c r="A960" t="inlineStr">
        <is>
          <t>附表7!M7</t>
        </is>
      </c>
      <c r="B960" t="inlineStr">
        <is>
          <t>annual.profit_distribution.period_10</t>
        </is>
      </c>
      <c r="C960" t="inlineStr">
        <is>
          <t>engine_value</t>
        </is>
      </c>
    </row>
    <row r="961">
      <c r="A961" t="inlineStr">
        <is>
          <t>附表7!N7</t>
        </is>
      </c>
      <c r="B961" t="inlineStr">
        <is>
          <t>annual.profit_distribution.period_11</t>
        </is>
      </c>
      <c r="C961" t="inlineStr">
        <is>
          <t>engine_value</t>
        </is>
      </c>
    </row>
    <row r="962">
      <c r="A962" t="inlineStr">
        <is>
          <t>附表7!O7</t>
        </is>
      </c>
      <c r="B962" t="inlineStr">
        <is>
          <t>annual.profit_distribution.period_12</t>
        </is>
      </c>
      <c r="C962" t="inlineStr">
        <is>
          <t>engine_value</t>
        </is>
      </c>
    </row>
    <row r="963">
      <c r="A963" t="inlineStr">
        <is>
          <t>附表7!P7</t>
        </is>
      </c>
      <c r="B963" t="inlineStr">
        <is>
          <t>annual.profit_distribution.period_13</t>
        </is>
      </c>
      <c r="C963" t="inlineStr">
        <is>
          <t>engine_value</t>
        </is>
      </c>
    </row>
    <row r="964">
      <c r="A964" t="inlineStr">
        <is>
          <t>附表7!Q7</t>
        </is>
      </c>
      <c r="B964" t="inlineStr">
        <is>
          <t>annual.profit_distribution.period_14</t>
        </is>
      </c>
      <c r="C964" t="inlineStr">
        <is>
          <t>engine_value</t>
        </is>
      </c>
    </row>
    <row r="965">
      <c r="A965" t="inlineStr">
        <is>
          <t>附表7!R7</t>
        </is>
      </c>
      <c r="B965" t="inlineStr">
        <is>
          <t>annual.profit_distribution.period_15</t>
        </is>
      </c>
      <c r="C965" t="inlineStr">
        <is>
          <t>engine_value</t>
        </is>
      </c>
    </row>
    <row r="966">
      <c r="A966" t="inlineStr">
        <is>
          <t>附表7!S7</t>
        </is>
      </c>
      <c r="B966" t="inlineStr">
        <is>
          <t>annual.profit_distribution.period_16</t>
        </is>
      </c>
      <c r="C966" t="inlineStr">
        <is>
          <t>engine_value</t>
        </is>
      </c>
    </row>
    <row r="967">
      <c r="A967" t="inlineStr">
        <is>
          <t>附表7!T7</t>
        </is>
      </c>
      <c r="B967" t="inlineStr">
        <is>
          <t>annual.profit_distribution.period_17</t>
        </is>
      </c>
      <c r="C967" t="inlineStr">
        <is>
          <t>engine_value</t>
        </is>
      </c>
    </row>
    <row r="968">
      <c r="A968" t="inlineStr">
        <is>
          <t>附表7!U7</t>
        </is>
      </c>
      <c r="B968" t="inlineStr">
        <is>
          <t>annual.profit_distribution.period_18</t>
        </is>
      </c>
      <c r="C968" t="inlineStr">
        <is>
          <t>engine_value</t>
        </is>
      </c>
    </row>
    <row r="969">
      <c r="A969" t="inlineStr">
        <is>
          <t>附表7!V7</t>
        </is>
      </c>
      <c r="B969" t="inlineStr">
        <is>
          <t>annual.profit_distribution.period_19</t>
        </is>
      </c>
      <c r="C969" t="inlineStr">
        <is>
          <t>engine_value</t>
        </is>
      </c>
    </row>
    <row r="970">
      <c r="A970" t="inlineStr">
        <is>
          <t>附表7!W7</t>
        </is>
      </c>
      <c r="B970" t="inlineStr">
        <is>
          <t>annual.profit_distribution.period_20</t>
        </is>
      </c>
      <c r="C970" t="inlineStr">
        <is>
          <t>engine_value</t>
        </is>
      </c>
    </row>
    <row r="971">
      <c r="A971" t="inlineStr">
        <is>
          <t>附表7!X7</t>
        </is>
      </c>
      <c r="B971" t="inlineStr">
        <is>
          <t>annual.profit_distribution.period_21</t>
        </is>
      </c>
      <c r="C971" t="inlineStr">
        <is>
          <t>engine_value</t>
        </is>
      </c>
    </row>
    <row r="972">
      <c r="A972" t="inlineStr">
        <is>
          <t>附表7!Y7</t>
        </is>
      </c>
      <c r="B972" t="inlineStr">
        <is>
          <t>annual.profit_distribution.period_22</t>
        </is>
      </c>
      <c r="C972" t="inlineStr">
        <is>
          <t>engine_value</t>
        </is>
      </c>
    </row>
    <row r="973">
      <c r="A973" t="inlineStr">
        <is>
          <t>附表7!Z7</t>
        </is>
      </c>
      <c r="B973" t="inlineStr">
        <is>
          <t>annual.profit_distribution.period_23</t>
        </is>
      </c>
      <c r="C973" t="inlineStr">
        <is>
          <t>engine_value</t>
        </is>
      </c>
    </row>
    <row r="974">
      <c r="A974" t="inlineStr">
        <is>
          <t>附表7!AA7</t>
        </is>
      </c>
      <c r="B974" t="inlineStr">
        <is>
          <t>annual.profit_distribution.period_24</t>
        </is>
      </c>
      <c r="C974" t="inlineStr">
        <is>
          <t>engine_value</t>
        </is>
      </c>
    </row>
    <row r="975">
      <c r="A975" t="inlineStr">
        <is>
          <t>附表7!A8</t>
        </is>
      </c>
      <c r="B975" t="inlineStr">
        <is>
          <t>annual.profit_distribution.no</t>
        </is>
      </c>
      <c r="C975" t="inlineStr">
        <is>
          <t>engine_value</t>
        </is>
      </c>
    </row>
    <row r="976">
      <c r="A976" t="inlineStr">
        <is>
          <t>附表7!B8</t>
        </is>
      </c>
      <c r="B976" t="inlineStr">
        <is>
          <t>annual.profit_distribution.item</t>
        </is>
      </c>
      <c r="C976" t="inlineStr">
        <is>
          <t>engine_value</t>
        </is>
      </c>
    </row>
    <row r="977">
      <c r="A977" t="inlineStr">
        <is>
          <t>附表7!C8</t>
        </is>
      </c>
      <c r="B977" t="inlineStr">
        <is>
          <t>annual.profit_distribution.total</t>
        </is>
      </c>
      <c r="C977" t="inlineStr">
        <is>
          <t>engine_value</t>
        </is>
      </c>
    </row>
    <row r="978">
      <c r="A978" t="inlineStr">
        <is>
          <t>附表7!D8</t>
        </is>
      </c>
      <c r="B978" t="inlineStr">
        <is>
          <t>annual.profit_distribution.period_1</t>
        </is>
      </c>
      <c r="C978" t="inlineStr">
        <is>
          <t>engine_value</t>
        </is>
      </c>
    </row>
    <row r="979">
      <c r="A979" t="inlineStr">
        <is>
          <t>附表7!E8</t>
        </is>
      </c>
      <c r="B979" t="inlineStr">
        <is>
          <t>annual.profit_distribution.period_2</t>
        </is>
      </c>
      <c r="C979" t="inlineStr">
        <is>
          <t>engine_value</t>
        </is>
      </c>
    </row>
    <row r="980">
      <c r="A980" t="inlineStr">
        <is>
          <t>附表7!F8</t>
        </is>
      </c>
      <c r="B980" t="inlineStr">
        <is>
          <t>annual.profit_distribution.period_3</t>
        </is>
      </c>
      <c r="C980" t="inlineStr">
        <is>
          <t>engine_value</t>
        </is>
      </c>
    </row>
    <row r="981">
      <c r="A981" t="inlineStr">
        <is>
          <t>附表7!G8</t>
        </is>
      </c>
      <c r="B981" t="inlineStr">
        <is>
          <t>annual.profit_distribution.period_4</t>
        </is>
      </c>
      <c r="C981" t="inlineStr">
        <is>
          <t>engine_value</t>
        </is>
      </c>
    </row>
    <row r="982">
      <c r="A982" t="inlineStr">
        <is>
          <t>附表7!H8</t>
        </is>
      </c>
      <c r="B982" t="inlineStr">
        <is>
          <t>annual.profit_distribution.period_5</t>
        </is>
      </c>
      <c r="C982" t="inlineStr">
        <is>
          <t>engine_value</t>
        </is>
      </c>
    </row>
    <row r="983">
      <c r="A983" t="inlineStr">
        <is>
          <t>附表7!I8</t>
        </is>
      </c>
      <c r="B983" t="inlineStr">
        <is>
          <t>annual.profit_distribution.period_6</t>
        </is>
      </c>
      <c r="C983" t="inlineStr">
        <is>
          <t>engine_value</t>
        </is>
      </c>
    </row>
    <row r="984">
      <c r="A984" t="inlineStr">
        <is>
          <t>附表7!J8</t>
        </is>
      </c>
      <c r="B984" t="inlineStr">
        <is>
          <t>annual.profit_distribution.period_7</t>
        </is>
      </c>
      <c r="C984" t="inlineStr">
        <is>
          <t>engine_value</t>
        </is>
      </c>
    </row>
    <row r="985">
      <c r="A985" t="inlineStr">
        <is>
          <t>附表7!K8</t>
        </is>
      </c>
      <c r="B985" t="inlineStr">
        <is>
          <t>annual.profit_distribution.period_8</t>
        </is>
      </c>
      <c r="C985" t="inlineStr">
        <is>
          <t>engine_value</t>
        </is>
      </c>
    </row>
    <row r="986">
      <c r="A986" t="inlineStr">
        <is>
          <t>附表7!L8</t>
        </is>
      </c>
      <c r="B986" t="inlineStr">
        <is>
          <t>annual.profit_distribution.period_9</t>
        </is>
      </c>
      <c r="C986" t="inlineStr">
        <is>
          <t>engine_value</t>
        </is>
      </c>
    </row>
    <row r="987">
      <c r="A987" t="inlineStr">
        <is>
          <t>附表7!M8</t>
        </is>
      </c>
      <c r="B987" t="inlineStr">
        <is>
          <t>annual.profit_distribution.period_10</t>
        </is>
      </c>
      <c r="C987" t="inlineStr">
        <is>
          <t>engine_value</t>
        </is>
      </c>
    </row>
    <row r="988">
      <c r="A988" t="inlineStr">
        <is>
          <t>附表7!N8</t>
        </is>
      </c>
      <c r="B988" t="inlineStr">
        <is>
          <t>annual.profit_distribution.period_11</t>
        </is>
      </c>
      <c r="C988" t="inlineStr">
        <is>
          <t>engine_value</t>
        </is>
      </c>
    </row>
    <row r="989">
      <c r="A989" t="inlineStr">
        <is>
          <t>附表7!O8</t>
        </is>
      </c>
      <c r="B989" t="inlineStr">
        <is>
          <t>annual.profit_distribution.period_12</t>
        </is>
      </c>
      <c r="C989" t="inlineStr">
        <is>
          <t>engine_value</t>
        </is>
      </c>
    </row>
    <row r="990">
      <c r="A990" t="inlineStr">
        <is>
          <t>附表7!P8</t>
        </is>
      </c>
      <c r="B990" t="inlineStr">
        <is>
          <t>annual.profit_distribution.period_13</t>
        </is>
      </c>
      <c r="C990" t="inlineStr">
        <is>
          <t>engine_value</t>
        </is>
      </c>
    </row>
    <row r="991">
      <c r="A991" t="inlineStr">
        <is>
          <t>附表7!Q8</t>
        </is>
      </c>
      <c r="B991" t="inlineStr">
        <is>
          <t>annual.profit_distribution.period_14</t>
        </is>
      </c>
      <c r="C991" t="inlineStr">
        <is>
          <t>engine_value</t>
        </is>
      </c>
    </row>
    <row r="992">
      <c r="A992" t="inlineStr">
        <is>
          <t>附表7!R8</t>
        </is>
      </c>
      <c r="B992" t="inlineStr">
        <is>
          <t>annual.profit_distribution.period_15</t>
        </is>
      </c>
      <c r="C992" t="inlineStr">
        <is>
          <t>engine_value</t>
        </is>
      </c>
    </row>
    <row r="993">
      <c r="A993" t="inlineStr">
        <is>
          <t>附表7!S8</t>
        </is>
      </c>
      <c r="B993" t="inlineStr">
        <is>
          <t>annual.profit_distribution.period_16</t>
        </is>
      </c>
      <c r="C993" t="inlineStr">
        <is>
          <t>engine_value</t>
        </is>
      </c>
    </row>
    <row r="994">
      <c r="A994" t="inlineStr">
        <is>
          <t>附表7!T8</t>
        </is>
      </c>
      <c r="B994" t="inlineStr">
        <is>
          <t>annual.profit_distribution.period_17</t>
        </is>
      </c>
      <c r="C994" t="inlineStr">
        <is>
          <t>engine_value</t>
        </is>
      </c>
    </row>
    <row r="995">
      <c r="A995" t="inlineStr">
        <is>
          <t>附表7!U8</t>
        </is>
      </c>
      <c r="B995" t="inlineStr">
        <is>
          <t>annual.profit_distribution.period_18</t>
        </is>
      </c>
      <c r="C995" t="inlineStr">
        <is>
          <t>engine_value</t>
        </is>
      </c>
    </row>
    <row r="996">
      <c r="A996" t="inlineStr">
        <is>
          <t>附表7!V8</t>
        </is>
      </c>
      <c r="B996" t="inlineStr">
        <is>
          <t>annual.profit_distribution.period_19</t>
        </is>
      </c>
      <c r="C996" t="inlineStr">
        <is>
          <t>engine_value</t>
        </is>
      </c>
    </row>
    <row r="997">
      <c r="A997" t="inlineStr">
        <is>
          <t>附表7!W8</t>
        </is>
      </c>
      <c r="B997" t="inlineStr">
        <is>
          <t>annual.profit_distribution.period_20</t>
        </is>
      </c>
      <c r="C997" t="inlineStr">
        <is>
          <t>engine_value</t>
        </is>
      </c>
    </row>
    <row r="998">
      <c r="A998" t="inlineStr">
        <is>
          <t>附表7!X8</t>
        </is>
      </c>
      <c r="B998" t="inlineStr">
        <is>
          <t>annual.profit_distribution.period_21</t>
        </is>
      </c>
      <c r="C998" t="inlineStr">
        <is>
          <t>engine_value</t>
        </is>
      </c>
    </row>
    <row r="999">
      <c r="A999" t="inlineStr">
        <is>
          <t>附表7!Y8</t>
        </is>
      </c>
      <c r="B999" t="inlineStr">
        <is>
          <t>annual.profit_distribution.period_22</t>
        </is>
      </c>
      <c r="C999" t="inlineStr">
        <is>
          <t>engine_value</t>
        </is>
      </c>
    </row>
    <row r="1000">
      <c r="A1000" t="inlineStr">
        <is>
          <t>附表7!Z8</t>
        </is>
      </c>
      <c r="B1000" t="inlineStr">
        <is>
          <t>annual.profit_distribution.period_23</t>
        </is>
      </c>
      <c r="C1000" t="inlineStr">
        <is>
          <t>engine_value</t>
        </is>
      </c>
    </row>
    <row r="1001">
      <c r="A1001" t="inlineStr">
        <is>
          <t>附表7!AA8</t>
        </is>
      </c>
      <c r="B1001" t="inlineStr">
        <is>
          <t>annual.profit_distribution.period_24</t>
        </is>
      </c>
      <c r="C1001" t="inlineStr">
        <is>
          <t>engine_value</t>
        </is>
      </c>
    </row>
    <row r="1002">
      <c r="A1002" t="inlineStr">
        <is>
          <t>附表7!A9</t>
        </is>
      </c>
      <c r="B1002" t="inlineStr">
        <is>
          <t>annual.profit_distribution.no</t>
        </is>
      </c>
      <c r="C1002" t="inlineStr">
        <is>
          <t>engine_value</t>
        </is>
      </c>
    </row>
    <row r="1003">
      <c r="A1003" t="inlineStr">
        <is>
          <t>附表7!B9</t>
        </is>
      </c>
      <c r="B1003" t="inlineStr">
        <is>
          <t>annual.profit_distribution.item</t>
        </is>
      </c>
      <c r="C1003" t="inlineStr">
        <is>
          <t>engine_value</t>
        </is>
      </c>
    </row>
    <row r="1004">
      <c r="A1004" t="inlineStr">
        <is>
          <t>附表7!C9</t>
        </is>
      </c>
      <c r="B1004" t="inlineStr">
        <is>
          <t>annual.profit_distribution.total</t>
        </is>
      </c>
      <c r="C1004" t="inlineStr">
        <is>
          <t>engine_value</t>
        </is>
      </c>
    </row>
    <row r="1005">
      <c r="A1005" t="inlineStr">
        <is>
          <t>附表7!D9</t>
        </is>
      </c>
      <c r="B1005" t="inlineStr">
        <is>
          <t>annual.profit_distribution.period_1</t>
        </is>
      </c>
      <c r="C1005" t="inlineStr">
        <is>
          <t>engine_value</t>
        </is>
      </c>
    </row>
    <row r="1006">
      <c r="A1006" t="inlineStr">
        <is>
          <t>附表7!E9</t>
        </is>
      </c>
      <c r="B1006" t="inlineStr">
        <is>
          <t>annual.profit_distribution.period_2</t>
        </is>
      </c>
      <c r="C1006" t="inlineStr">
        <is>
          <t>engine_value</t>
        </is>
      </c>
    </row>
    <row r="1007">
      <c r="A1007" t="inlineStr">
        <is>
          <t>附表7!F9</t>
        </is>
      </c>
      <c r="B1007" t="inlineStr">
        <is>
          <t>annual.profit_distribution.period_3</t>
        </is>
      </c>
      <c r="C1007" t="inlineStr">
        <is>
          <t>engine_value</t>
        </is>
      </c>
    </row>
    <row r="1008">
      <c r="A1008" t="inlineStr">
        <is>
          <t>附表7!G9</t>
        </is>
      </c>
      <c r="B1008" t="inlineStr">
        <is>
          <t>annual.profit_distribution.period_4</t>
        </is>
      </c>
      <c r="C1008" t="inlineStr">
        <is>
          <t>engine_value</t>
        </is>
      </c>
    </row>
    <row r="1009">
      <c r="A1009" t="inlineStr">
        <is>
          <t>附表7!H9</t>
        </is>
      </c>
      <c r="B1009" t="inlineStr">
        <is>
          <t>annual.profit_distribution.period_5</t>
        </is>
      </c>
      <c r="C1009" t="inlineStr">
        <is>
          <t>engine_value</t>
        </is>
      </c>
    </row>
    <row r="1010">
      <c r="A1010" t="inlineStr">
        <is>
          <t>附表7!I9</t>
        </is>
      </c>
      <c r="B1010" t="inlineStr">
        <is>
          <t>annual.profit_distribution.period_6</t>
        </is>
      </c>
      <c r="C1010" t="inlineStr">
        <is>
          <t>engine_value</t>
        </is>
      </c>
    </row>
    <row r="1011">
      <c r="A1011" t="inlineStr">
        <is>
          <t>附表7!J9</t>
        </is>
      </c>
      <c r="B1011" t="inlineStr">
        <is>
          <t>annual.profit_distribution.period_7</t>
        </is>
      </c>
      <c r="C1011" t="inlineStr">
        <is>
          <t>engine_value</t>
        </is>
      </c>
    </row>
    <row r="1012">
      <c r="A1012" t="inlineStr">
        <is>
          <t>附表7!K9</t>
        </is>
      </c>
      <c r="B1012" t="inlineStr">
        <is>
          <t>annual.profit_distribution.period_8</t>
        </is>
      </c>
      <c r="C1012" t="inlineStr">
        <is>
          <t>engine_value</t>
        </is>
      </c>
    </row>
    <row r="1013">
      <c r="A1013" t="inlineStr">
        <is>
          <t>附表7!L9</t>
        </is>
      </c>
      <c r="B1013" t="inlineStr">
        <is>
          <t>annual.profit_distribution.period_9</t>
        </is>
      </c>
      <c r="C1013" t="inlineStr">
        <is>
          <t>engine_value</t>
        </is>
      </c>
    </row>
    <row r="1014">
      <c r="A1014" t="inlineStr">
        <is>
          <t>附表7!M9</t>
        </is>
      </c>
      <c r="B1014" t="inlineStr">
        <is>
          <t>annual.profit_distribution.period_10</t>
        </is>
      </c>
      <c r="C1014" t="inlineStr">
        <is>
          <t>engine_value</t>
        </is>
      </c>
    </row>
    <row r="1015">
      <c r="A1015" t="inlineStr">
        <is>
          <t>附表7!N9</t>
        </is>
      </c>
      <c r="B1015" t="inlineStr">
        <is>
          <t>annual.profit_distribution.period_11</t>
        </is>
      </c>
      <c r="C1015" t="inlineStr">
        <is>
          <t>engine_value</t>
        </is>
      </c>
    </row>
    <row r="1016">
      <c r="A1016" t="inlineStr">
        <is>
          <t>附表7!O9</t>
        </is>
      </c>
      <c r="B1016" t="inlineStr">
        <is>
          <t>annual.profit_distribution.period_12</t>
        </is>
      </c>
      <c r="C1016" t="inlineStr">
        <is>
          <t>engine_value</t>
        </is>
      </c>
    </row>
    <row r="1017">
      <c r="A1017" t="inlineStr">
        <is>
          <t>附表7!P9</t>
        </is>
      </c>
      <c r="B1017" t="inlineStr">
        <is>
          <t>annual.profit_distribution.period_13</t>
        </is>
      </c>
      <c r="C1017" t="inlineStr">
        <is>
          <t>engine_value</t>
        </is>
      </c>
    </row>
    <row r="1018">
      <c r="A1018" t="inlineStr">
        <is>
          <t>附表7!Q9</t>
        </is>
      </c>
      <c r="B1018" t="inlineStr">
        <is>
          <t>annual.profit_distribution.period_14</t>
        </is>
      </c>
      <c r="C1018" t="inlineStr">
        <is>
          <t>engine_value</t>
        </is>
      </c>
    </row>
    <row r="1019">
      <c r="A1019" t="inlineStr">
        <is>
          <t>附表7!R9</t>
        </is>
      </c>
      <c r="B1019" t="inlineStr">
        <is>
          <t>annual.profit_distribution.period_15</t>
        </is>
      </c>
      <c r="C1019" t="inlineStr">
        <is>
          <t>engine_value</t>
        </is>
      </c>
    </row>
    <row r="1020">
      <c r="A1020" t="inlineStr">
        <is>
          <t>附表7!S9</t>
        </is>
      </c>
      <c r="B1020" t="inlineStr">
        <is>
          <t>annual.profit_distribution.period_16</t>
        </is>
      </c>
      <c r="C1020" t="inlineStr">
        <is>
          <t>engine_value</t>
        </is>
      </c>
    </row>
    <row r="1021">
      <c r="A1021" t="inlineStr">
        <is>
          <t>附表7!T9</t>
        </is>
      </c>
      <c r="B1021" t="inlineStr">
        <is>
          <t>annual.profit_distribution.period_17</t>
        </is>
      </c>
      <c r="C1021" t="inlineStr">
        <is>
          <t>engine_value</t>
        </is>
      </c>
    </row>
    <row r="1022">
      <c r="A1022" t="inlineStr">
        <is>
          <t>附表7!U9</t>
        </is>
      </c>
      <c r="B1022" t="inlineStr">
        <is>
          <t>annual.profit_distribution.period_18</t>
        </is>
      </c>
      <c r="C1022" t="inlineStr">
        <is>
          <t>engine_value</t>
        </is>
      </c>
    </row>
    <row r="1023">
      <c r="A1023" t="inlineStr">
        <is>
          <t>附表7!V9</t>
        </is>
      </c>
      <c r="B1023" t="inlineStr">
        <is>
          <t>annual.profit_distribution.period_19</t>
        </is>
      </c>
      <c r="C1023" t="inlineStr">
        <is>
          <t>engine_value</t>
        </is>
      </c>
    </row>
    <row r="1024">
      <c r="A1024" t="inlineStr">
        <is>
          <t>附表7!W9</t>
        </is>
      </c>
      <c r="B1024" t="inlineStr">
        <is>
          <t>annual.profit_distribution.period_20</t>
        </is>
      </c>
      <c r="C1024" t="inlineStr">
        <is>
          <t>engine_value</t>
        </is>
      </c>
    </row>
    <row r="1025">
      <c r="A1025" t="inlineStr">
        <is>
          <t>附表7!X9</t>
        </is>
      </c>
      <c r="B1025" t="inlineStr">
        <is>
          <t>annual.profit_distribution.period_21</t>
        </is>
      </c>
      <c r="C1025" t="inlineStr">
        <is>
          <t>engine_value</t>
        </is>
      </c>
    </row>
    <row r="1026">
      <c r="A1026" t="inlineStr">
        <is>
          <t>附表7!Y9</t>
        </is>
      </c>
      <c r="B1026" t="inlineStr">
        <is>
          <t>annual.profit_distribution.period_22</t>
        </is>
      </c>
      <c r="C1026" t="inlineStr">
        <is>
          <t>engine_value</t>
        </is>
      </c>
    </row>
    <row r="1027">
      <c r="A1027" t="inlineStr">
        <is>
          <t>附表7!Z9</t>
        </is>
      </c>
      <c r="B1027" t="inlineStr">
        <is>
          <t>annual.profit_distribution.period_23</t>
        </is>
      </c>
      <c r="C1027" t="inlineStr">
        <is>
          <t>engine_value</t>
        </is>
      </c>
    </row>
    <row r="1028">
      <c r="A1028" t="inlineStr">
        <is>
          <t>附表7!AA9</t>
        </is>
      </c>
      <c r="B1028" t="inlineStr">
        <is>
          <t>annual.profit_distribution.period_24</t>
        </is>
      </c>
      <c r="C1028" t="inlineStr">
        <is>
          <t>engine_value</t>
        </is>
      </c>
    </row>
    <row r="1029">
      <c r="A1029" t="inlineStr">
        <is>
          <t>附表7!A10</t>
        </is>
      </c>
      <c r="B1029" t="inlineStr">
        <is>
          <t>annual.profit_distribution.no</t>
        </is>
      </c>
      <c r="C1029" t="inlineStr">
        <is>
          <t>engine_value</t>
        </is>
      </c>
    </row>
    <row r="1030">
      <c r="A1030" t="inlineStr">
        <is>
          <t>附表7!B10</t>
        </is>
      </c>
      <c r="B1030" t="inlineStr">
        <is>
          <t>annual.profit_distribution.item</t>
        </is>
      </c>
      <c r="C1030" t="inlineStr">
        <is>
          <t>engine_value</t>
        </is>
      </c>
    </row>
    <row r="1031">
      <c r="A1031" t="inlineStr">
        <is>
          <t>附表7!C10</t>
        </is>
      </c>
      <c r="B1031" t="inlineStr">
        <is>
          <t>annual.profit_distribution.total</t>
        </is>
      </c>
      <c r="C1031" t="inlineStr">
        <is>
          <t>engine_value</t>
        </is>
      </c>
    </row>
    <row r="1032">
      <c r="A1032" t="inlineStr">
        <is>
          <t>附表7!D10</t>
        </is>
      </c>
      <c r="B1032" t="inlineStr">
        <is>
          <t>annual.profit_distribution.period_1</t>
        </is>
      </c>
      <c r="C1032" t="inlineStr">
        <is>
          <t>engine_value</t>
        </is>
      </c>
    </row>
    <row r="1033">
      <c r="A1033" t="inlineStr">
        <is>
          <t>附表7!E10</t>
        </is>
      </c>
      <c r="B1033" t="inlineStr">
        <is>
          <t>annual.profit_distribution.period_2</t>
        </is>
      </c>
      <c r="C1033" t="inlineStr">
        <is>
          <t>engine_value</t>
        </is>
      </c>
    </row>
    <row r="1034">
      <c r="A1034" t="inlineStr">
        <is>
          <t>附表7!F10</t>
        </is>
      </c>
      <c r="B1034" t="inlineStr">
        <is>
          <t>annual.profit_distribution.period_3</t>
        </is>
      </c>
      <c r="C1034" t="inlineStr">
        <is>
          <t>engine_value</t>
        </is>
      </c>
    </row>
    <row r="1035">
      <c r="A1035" t="inlineStr">
        <is>
          <t>附表7!G10</t>
        </is>
      </c>
      <c r="B1035" t="inlineStr">
        <is>
          <t>annual.profit_distribution.period_4</t>
        </is>
      </c>
      <c r="C1035" t="inlineStr">
        <is>
          <t>engine_value</t>
        </is>
      </c>
    </row>
    <row r="1036">
      <c r="A1036" t="inlineStr">
        <is>
          <t>附表7!H10</t>
        </is>
      </c>
      <c r="B1036" t="inlineStr">
        <is>
          <t>annual.profit_distribution.period_5</t>
        </is>
      </c>
      <c r="C1036" t="inlineStr">
        <is>
          <t>engine_value</t>
        </is>
      </c>
    </row>
    <row r="1037">
      <c r="A1037" t="inlineStr">
        <is>
          <t>附表7!I10</t>
        </is>
      </c>
      <c r="B1037" t="inlineStr">
        <is>
          <t>annual.profit_distribution.period_6</t>
        </is>
      </c>
      <c r="C1037" t="inlineStr">
        <is>
          <t>engine_value</t>
        </is>
      </c>
    </row>
    <row r="1038">
      <c r="A1038" t="inlineStr">
        <is>
          <t>附表7!J10</t>
        </is>
      </c>
      <c r="B1038" t="inlineStr">
        <is>
          <t>annual.profit_distribution.period_7</t>
        </is>
      </c>
      <c r="C1038" t="inlineStr">
        <is>
          <t>engine_value</t>
        </is>
      </c>
    </row>
    <row r="1039">
      <c r="A1039" t="inlineStr">
        <is>
          <t>附表7!K10</t>
        </is>
      </c>
      <c r="B1039" t="inlineStr">
        <is>
          <t>annual.profit_distribution.period_8</t>
        </is>
      </c>
      <c r="C1039" t="inlineStr">
        <is>
          <t>engine_value</t>
        </is>
      </c>
    </row>
    <row r="1040">
      <c r="A1040" t="inlineStr">
        <is>
          <t>附表7!L10</t>
        </is>
      </c>
      <c r="B1040" t="inlineStr">
        <is>
          <t>annual.profit_distribution.period_9</t>
        </is>
      </c>
      <c r="C1040" t="inlineStr">
        <is>
          <t>engine_value</t>
        </is>
      </c>
    </row>
    <row r="1041">
      <c r="A1041" t="inlineStr">
        <is>
          <t>附表7!M10</t>
        </is>
      </c>
      <c r="B1041" t="inlineStr">
        <is>
          <t>annual.profit_distribution.period_10</t>
        </is>
      </c>
      <c r="C1041" t="inlineStr">
        <is>
          <t>engine_value</t>
        </is>
      </c>
    </row>
    <row r="1042">
      <c r="A1042" t="inlineStr">
        <is>
          <t>附表7!N10</t>
        </is>
      </c>
      <c r="B1042" t="inlineStr">
        <is>
          <t>annual.profit_distribution.period_11</t>
        </is>
      </c>
      <c r="C1042" t="inlineStr">
        <is>
          <t>engine_value</t>
        </is>
      </c>
    </row>
    <row r="1043">
      <c r="A1043" t="inlineStr">
        <is>
          <t>附表7!O10</t>
        </is>
      </c>
      <c r="B1043" t="inlineStr">
        <is>
          <t>annual.profit_distribution.period_12</t>
        </is>
      </c>
      <c r="C1043" t="inlineStr">
        <is>
          <t>engine_value</t>
        </is>
      </c>
    </row>
    <row r="1044">
      <c r="A1044" t="inlineStr">
        <is>
          <t>附表7!P10</t>
        </is>
      </c>
      <c r="B1044" t="inlineStr">
        <is>
          <t>annual.profit_distribution.period_13</t>
        </is>
      </c>
      <c r="C1044" t="inlineStr">
        <is>
          <t>engine_value</t>
        </is>
      </c>
    </row>
    <row r="1045">
      <c r="A1045" t="inlineStr">
        <is>
          <t>附表7!Q10</t>
        </is>
      </c>
      <c r="B1045" t="inlineStr">
        <is>
          <t>annual.profit_distribution.period_14</t>
        </is>
      </c>
      <c r="C1045" t="inlineStr">
        <is>
          <t>engine_value</t>
        </is>
      </c>
    </row>
    <row r="1046">
      <c r="A1046" t="inlineStr">
        <is>
          <t>附表7!R10</t>
        </is>
      </c>
      <c r="B1046" t="inlineStr">
        <is>
          <t>annual.profit_distribution.period_15</t>
        </is>
      </c>
      <c r="C1046" t="inlineStr">
        <is>
          <t>engine_value</t>
        </is>
      </c>
    </row>
    <row r="1047">
      <c r="A1047" t="inlineStr">
        <is>
          <t>附表7!S10</t>
        </is>
      </c>
      <c r="B1047" t="inlineStr">
        <is>
          <t>annual.profit_distribution.period_16</t>
        </is>
      </c>
      <c r="C1047" t="inlineStr">
        <is>
          <t>engine_value</t>
        </is>
      </c>
    </row>
    <row r="1048">
      <c r="A1048" t="inlineStr">
        <is>
          <t>附表7!T10</t>
        </is>
      </c>
      <c r="B1048" t="inlineStr">
        <is>
          <t>annual.profit_distribution.period_17</t>
        </is>
      </c>
      <c r="C1048" t="inlineStr">
        <is>
          <t>engine_value</t>
        </is>
      </c>
    </row>
    <row r="1049">
      <c r="A1049" t="inlineStr">
        <is>
          <t>附表7!U10</t>
        </is>
      </c>
      <c r="B1049" t="inlineStr">
        <is>
          <t>annual.profit_distribution.period_18</t>
        </is>
      </c>
      <c r="C1049" t="inlineStr">
        <is>
          <t>engine_value</t>
        </is>
      </c>
    </row>
    <row r="1050">
      <c r="A1050" t="inlineStr">
        <is>
          <t>附表7!V10</t>
        </is>
      </c>
      <c r="B1050" t="inlineStr">
        <is>
          <t>annual.profit_distribution.period_19</t>
        </is>
      </c>
      <c r="C1050" t="inlineStr">
        <is>
          <t>engine_value</t>
        </is>
      </c>
    </row>
    <row r="1051">
      <c r="A1051" t="inlineStr">
        <is>
          <t>附表7!W10</t>
        </is>
      </c>
      <c r="B1051" t="inlineStr">
        <is>
          <t>annual.profit_distribution.period_20</t>
        </is>
      </c>
      <c r="C1051" t="inlineStr">
        <is>
          <t>engine_value</t>
        </is>
      </c>
    </row>
    <row r="1052">
      <c r="A1052" t="inlineStr">
        <is>
          <t>附表7!X10</t>
        </is>
      </c>
      <c r="B1052" t="inlineStr">
        <is>
          <t>annual.profit_distribution.period_21</t>
        </is>
      </c>
      <c r="C1052" t="inlineStr">
        <is>
          <t>engine_value</t>
        </is>
      </c>
    </row>
    <row r="1053">
      <c r="A1053" t="inlineStr">
        <is>
          <t>附表7!Y10</t>
        </is>
      </c>
      <c r="B1053" t="inlineStr">
        <is>
          <t>annual.profit_distribution.period_22</t>
        </is>
      </c>
      <c r="C1053" t="inlineStr">
        <is>
          <t>engine_value</t>
        </is>
      </c>
    </row>
    <row r="1054">
      <c r="A1054" t="inlineStr">
        <is>
          <t>附表7!Z10</t>
        </is>
      </c>
      <c r="B1054" t="inlineStr">
        <is>
          <t>annual.profit_distribution.period_23</t>
        </is>
      </c>
      <c r="C1054" t="inlineStr">
        <is>
          <t>engine_value</t>
        </is>
      </c>
    </row>
    <row r="1055">
      <c r="A1055" t="inlineStr">
        <is>
          <t>附表7!AA10</t>
        </is>
      </c>
      <c r="B1055" t="inlineStr">
        <is>
          <t>annual.profit_distribution.period_24</t>
        </is>
      </c>
      <c r="C1055" t="inlineStr">
        <is>
          <t>engine_value</t>
        </is>
      </c>
    </row>
    <row r="1056">
      <c r="A1056" t="inlineStr">
        <is>
          <t>附表7!A11</t>
        </is>
      </c>
      <c r="B1056" t="inlineStr">
        <is>
          <t>annual.profit_distribution.no</t>
        </is>
      </c>
      <c r="C1056" t="inlineStr">
        <is>
          <t>engine_value</t>
        </is>
      </c>
    </row>
    <row r="1057">
      <c r="A1057" t="inlineStr">
        <is>
          <t>附表7!B11</t>
        </is>
      </c>
      <c r="B1057" t="inlineStr">
        <is>
          <t>annual.profit_distribution.item</t>
        </is>
      </c>
      <c r="C1057" t="inlineStr">
        <is>
          <t>engine_value</t>
        </is>
      </c>
    </row>
    <row r="1058">
      <c r="A1058" t="inlineStr">
        <is>
          <t>附表7!C11</t>
        </is>
      </c>
      <c r="B1058" t="inlineStr">
        <is>
          <t>annual.profit_distribution.total</t>
        </is>
      </c>
      <c r="C1058" t="inlineStr">
        <is>
          <t>engine_value</t>
        </is>
      </c>
    </row>
    <row r="1059">
      <c r="A1059" t="inlineStr">
        <is>
          <t>附表7!D11</t>
        </is>
      </c>
      <c r="B1059" t="inlineStr">
        <is>
          <t>annual.profit_distribution.period_1</t>
        </is>
      </c>
      <c r="C1059" t="inlineStr">
        <is>
          <t>engine_value</t>
        </is>
      </c>
    </row>
    <row r="1060">
      <c r="A1060" t="inlineStr">
        <is>
          <t>附表7!E11</t>
        </is>
      </c>
      <c r="B1060" t="inlineStr">
        <is>
          <t>annual.profit_distribution.period_2</t>
        </is>
      </c>
      <c r="C1060" t="inlineStr">
        <is>
          <t>engine_value</t>
        </is>
      </c>
    </row>
    <row r="1061">
      <c r="A1061" t="inlineStr">
        <is>
          <t>附表7!F11</t>
        </is>
      </c>
      <c r="B1061" t="inlineStr">
        <is>
          <t>annual.profit_distribution.period_3</t>
        </is>
      </c>
      <c r="C1061" t="inlineStr">
        <is>
          <t>engine_value</t>
        </is>
      </c>
    </row>
    <row r="1062">
      <c r="A1062" t="inlineStr">
        <is>
          <t>附表7!G11</t>
        </is>
      </c>
      <c r="B1062" t="inlineStr">
        <is>
          <t>annual.profit_distribution.period_4</t>
        </is>
      </c>
      <c r="C1062" t="inlineStr">
        <is>
          <t>engine_value</t>
        </is>
      </c>
    </row>
    <row r="1063">
      <c r="A1063" t="inlineStr">
        <is>
          <t>附表7!H11</t>
        </is>
      </c>
      <c r="B1063" t="inlineStr">
        <is>
          <t>annual.profit_distribution.period_5</t>
        </is>
      </c>
      <c r="C1063" t="inlineStr">
        <is>
          <t>engine_value</t>
        </is>
      </c>
    </row>
    <row r="1064">
      <c r="A1064" t="inlineStr">
        <is>
          <t>附表7!I11</t>
        </is>
      </c>
      <c r="B1064" t="inlineStr">
        <is>
          <t>annual.profit_distribution.period_6</t>
        </is>
      </c>
      <c r="C1064" t="inlineStr">
        <is>
          <t>engine_value</t>
        </is>
      </c>
    </row>
    <row r="1065">
      <c r="A1065" t="inlineStr">
        <is>
          <t>附表7!J11</t>
        </is>
      </c>
      <c r="B1065" t="inlineStr">
        <is>
          <t>annual.profit_distribution.period_7</t>
        </is>
      </c>
      <c r="C1065" t="inlineStr">
        <is>
          <t>engine_value</t>
        </is>
      </c>
    </row>
    <row r="1066">
      <c r="A1066" t="inlineStr">
        <is>
          <t>附表7!K11</t>
        </is>
      </c>
      <c r="B1066" t="inlineStr">
        <is>
          <t>annual.profit_distribution.period_8</t>
        </is>
      </c>
      <c r="C1066" t="inlineStr">
        <is>
          <t>engine_value</t>
        </is>
      </c>
    </row>
    <row r="1067">
      <c r="A1067" t="inlineStr">
        <is>
          <t>附表7!L11</t>
        </is>
      </c>
      <c r="B1067" t="inlineStr">
        <is>
          <t>annual.profit_distribution.period_9</t>
        </is>
      </c>
      <c r="C1067" t="inlineStr">
        <is>
          <t>engine_value</t>
        </is>
      </c>
    </row>
    <row r="1068">
      <c r="A1068" t="inlineStr">
        <is>
          <t>附表7!M11</t>
        </is>
      </c>
      <c r="B1068" t="inlineStr">
        <is>
          <t>annual.profit_distribution.period_10</t>
        </is>
      </c>
      <c r="C1068" t="inlineStr">
        <is>
          <t>engine_value</t>
        </is>
      </c>
    </row>
    <row r="1069">
      <c r="A1069" t="inlineStr">
        <is>
          <t>附表7!N11</t>
        </is>
      </c>
      <c r="B1069" t="inlineStr">
        <is>
          <t>annual.profit_distribution.period_11</t>
        </is>
      </c>
      <c r="C1069" t="inlineStr">
        <is>
          <t>engine_value</t>
        </is>
      </c>
    </row>
    <row r="1070">
      <c r="A1070" t="inlineStr">
        <is>
          <t>附表7!O11</t>
        </is>
      </c>
      <c r="B1070" t="inlineStr">
        <is>
          <t>annual.profit_distribution.period_12</t>
        </is>
      </c>
      <c r="C1070" t="inlineStr">
        <is>
          <t>engine_value</t>
        </is>
      </c>
    </row>
    <row r="1071">
      <c r="A1071" t="inlineStr">
        <is>
          <t>附表7!P11</t>
        </is>
      </c>
      <c r="B1071" t="inlineStr">
        <is>
          <t>annual.profit_distribution.period_13</t>
        </is>
      </c>
      <c r="C1071" t="inlineStr">
        <is>
          <t>engine_value</t>
        </is>
      </c>
    </row>
    <row r="1072">
      <c r="A1072" t="inlineStr">
        <is>
          <t>附表7!Q11</t>
        </is>
      </c>
      <c r="B1072" t="inlineStr">
        <is>
          <t>annual.profit_distribution.period_14</t>
        </is>
      </c>
      <c r="C1072" t="inlineStr">
        <is>
          <t>engine_value</t>
        </is>
      </c>
    </row>
    <row r="1073">
      <c r="A1073" t="inlineStr">
        <is>
          <t>附表7!R11</t>
        </is>
      </c>
      <c r="B1073" t="inlineStr">
        <is>
          <t>annual.profit_distribution.period_15</t>
        </is>
      </c>
      <c r="C1073" t="inlineStr">
        <is>
          <t>engine_value</t>
        </is>
      </c>
    </row>
    <row r="1074">
      <c r="A1074" t="inlineStr">
        <is>
          <t>附表7!S11</t>
        </is>
      </c>
      <c r="B1074" t="inlineStr">
        <is>
          <t>annual.profit_distribution.period_16</t>
        </is>
      </c>
      <c r="C1074" t="inlineStr">
        <is>
          <t>engine_value</t>
        </is>
      </c>
    </row>
    <row r="1075">
      <c r="A1075" t="inlineStr">
        <is>
          <t>附表7!T11</t>
        </is>
      </c>
      <c r="B1075" t="inlineStr">
        <is>
          <t>annual.profit_distribution.period_17</t>
        </is>
      </c>
      <c r="C1075" t="inlineStr">
        <is>
          <t>engine_value</t>
        </is>
      </c>
    </row>
    <row r="1076">
      <c r="A1076" t="inlineStr">
        <is>
          <t>附表7!U11</t>
        </is>
      </c>
      <c r="B1076" t="inlineStr">
        <is>
          <t>annual.profit_distribution.period_18</t>
        </is>
      </c>
      <c r="C1076" t="inlineStr">
        <is>
          <t>engine_value</t>
        </is>
      </c>
    </row>
    <row r="1077">
      <c r="A1077" t="inlineStr">
        <is>
          <t>附表7!V11</t>
        </is>
      </c>
      <c r="B1077" t="inlineStr">
        <is>
          <t>annual.profit_distribution.period_19</t>
        </is>
      </c>
      <c r="C1077" t="inlineStr">
        <is>
          <t>engine_value</t>
        </is>
      </c>
    </row>
    <row r="1078">
      <c r="A1078" t="inlineStr">
        <is>
          <t>附表7!W11</t>
        </is>
      </c>
      <c r="B1078" t="inlineStr">
        <is>
          <t>annual.profit_distribution.period_20</t>
        </is>
      </c>
      <c r="C1078" t="inlineStr">
        <is>
          <t>engine_value</t>
        </is>
      </c>
    </row>
    <row r="1079">
      <c r="A1079" t="inlineStr">
        <is>
          <t>附表7!X11</t>
        </is>
      </c>
      <c r="B1079" t="inlineStr">
        <is>
          <t>annual.profit_distribution.period_21</t>
        </is>
      </c>
      <c r="C1079" t="inlineStr">
        <is>
          <t>engine_value</t>
        </is>
      </c>
    </row>
    <row r="1080">
      <c r="A1080" t="inlineStr">
        <is>
          <t>附表7!Y11</t>
        </is>
      </c>
      <c r="B1080" t="inlineStr">
        <is>
          <t>annual.profit_distribution.period_22</t>
        </is>
      </c>
      <c r="C1080" t="inlineStr">
        <is>
          <t>engine_value</t>
        </is>
      </c>
    </row>
    <row r="1081">
      <c r="A1081" t="inlineStr">
        <is>
          <t>附表7!Z11</t>
        </is>
      </c>
      <c r="B1081" t="inlineStr">
        <is>
          <t>annual.profit_distribution.period_23</t>
        </is>
      </c>
      <c r="C1081" t="inlineStr">
        <is>
          <t>engine_value</t>
        </is>
      </c>
    </row>
    <row r="1082">
      <c r="A1082" t="inlineStr">
        <is>
          <t>附表7!AA11</t>
        </is>
      </c>
      <c r="B1082" t="inlineStr">
        <is>
          <t>annual.profit_distribution.period_24</t>
        </is>
      </c>
      <c r="C1082" t="inlineStr">
        <is>
          <t>engine_value</t>
        </is>
      </c>
    </row>
    <row r="1083">
      <c r="A1083" t="inlineStr">
        <is>
          <t>附表7!A12</t>
        </is>
      </c>
      <c r="B1083" t="inlineStr">
        <is>
          <t>annual.profit_distribution.no</t>
        </is>
      </c>
      <c r="C1083" t="inlineStr">
        <is>
          <t>engine_value</t>
        </is>
      </c>
    </row>
    <row r="1084">
      <c r="A1084" t="inlineStr">
        <is>
          <t>附表7!B12</t>
        </is>
      </c>
      <c r="B1084" t="inlineStr">
        <is>
          <t>annual.profit_distribution.item</t>
        </is>
      </c>
      <c r="C1084" t="inlineStr">
        <is>
          <t>engine_value</t>
        </is>
      </c>
    </row>
    <row r="1085">
      <c r="A1085" t="inlineStr">
        <is>
          <t>附表7!C12</t>
        </is>
      </c>
      <c r="B1085" t="inlineStr">
        <is>
          <t>annual.profit_distribution.total</t>
        </is>
      </c>
      <c r="C1085" t="inlineStr">
        <is>
          <t>engine_value</t>
        </is>
      </c>
    </row>
    <row r="1086">
      <c r="A1086" t="inlineStr">
        <is>
          <t>附表7!D12</t>
        </is>
      </c>
      <c r="B1086" t="inlineStr">
        <is>
          <t>annual.profit_distribution.period_1</t>
        </is>
      </c>
      <c r="C1086" t="inlineStr">
        <is>
          <t>engine_value</t>
        </is>
      </c>
    </row>
    <row r="1087">
      <c r="A1087" t="inlineStr">
        <is>
          <t>附表7!E12</t>
        </is>
      </c>
      <c r="B1087" t="inlineStr">
        <is>
          <t>annual.profit_distribution.period_2</t>
        </is>
      </c>
      <c r="C1087" t="inlineStr">
        <is>
          <t>engine_value</t>
        </is>
      </c>
    </row>
    <row r="1088">
      <c r="A1088" t="inlineStr">
        <is>
          <t>附表7!F12</t>
        </is>
      </c>
      <c r="B1088" t="inlineStr">
        <is>
          <t>annual.profit_distribution.period_3</t>
        </is>
      </c>
      <c r="C1088" t="inlineStr">
        <is>
          <t>engine_value</t>
        </is>
      </c>
    </row>
    <row r="1089">
      <c r="A1089" t="inlineStr">
        <is>
          <t>附表7!G12</t>
        </is>
      </c>
      <c r="B1089" t="inlineStr">
        <is>
          <t>annual.profit_distribution.period_4</t>
        </is>
      </c>
      <c r="C1089" t="inlineStr">
        <is>
          <t>engine_value</t>
        </is>
      </c>
    </row>
    <row r="1090">
      <c r="A1090" t="inlineStr">
        <is>
          <t>附表7!H12</t>
        </is>
      </c>
      <c r="B1090" t="inlineStr">
        <is>
          <t>annual.profit_distribution.period_5</t>
        </is>
      </c>
      <c r="C1090" t="inlineStr">
        <is>
          <t>engine_value</t>
        </is>
      </c>
    </row>
    <row r="1091">
      <c r="A1091" t="inlineStr">
        <is>
          <t>附表7!I12</t>
        </is>
      </c>
      <c r="B1091" t="inlineStr">
        <is>
          <t>annual.profit_distribution.period_6</t>
        </is>
      </c>
      <c r="C1091" t="inlineStr">
        <is>
          <t>engine_value</t>
        </is>
      </c>
    </row>
    <row r="1092">
      <c r="A1092" t="inlineStr">
        <is>
          <t>附表7!J12</t>
        </is>
      </c>
      <c r="B1092" t="inlineStr">
        <is>
          <t>annual.profit_distribution.period_7</t>
        </is>
      </c>
      <c r="C1092" t="inlineStr">
        <is>
          <t>engine_value</t>
        </is>
      </c>
    </row>
    <row r="1093">
      <c r="A1093" t="inlineStr">
        <is>
          <t>附表7!K12</t>
        </is>
      </c>
      <c r="B1093" t="inlineStr">
        <is>
          <t>annual.profit_distribution.period_8</t>
        </is>
      </c>
      <c r="C1093" t="inlineStr">
        <is>
          <t>engine_value</t>
        </is>
      </c>
    </row>
    <row r="1094">
      <c r="A1094" t="inlineStr">
        <is>
          <t>附表7!L12</t>
        </is>
      </c>
      <c r="B1094" t="inlineStr">
        <is>
          <t>annual.profit_distribution.period_9</t>
        </is>
      </c>
      <c r="C1094" t="inlineStr">
        <is>
          <t>engine_value</t>
        </is>
      </c>
    </row>
    <row r="1095">
      <c r="A1095" t="inlineStr">
        <is>
          <t>附表7!M12</t>
        </is>
      </c>
      <c r="B1095" t="inlineStr">
        <is>
          <t>annual.profit_distribution.period_10</t>
        </is>
      </c>
      <c r="C1095" t="inlineStr">
        <is>
          <t>engine_value</t>
        </is>
      </c>
    </row>
    <row r="1096">
      <c r="A1096" t="inlineStr">
        <is>
          <t>附表7!N12</t>
        </is>
      </c>
      <c r="B1096" t="inlineStr">
        <is>
          <t>annual.profit_distribution.period_11</t>
        </is>
      </c>
      <c r="C1096" t="inlineStr">
        <is>
          <t>engine_value</t>
        </is>
      </c>
    </row>
    <row r="1097">
      <c r="A1097" t="inlineStr">
        <is>
          <t>附表7!O12</t>
        </is>
      </c>
      <c r="B1097" t="inlineStr">
        <is>
          <t>annual.profit_distribution.period_12</t>
        </is>
      </c>
      <c r="C1097" t="inlineStr">
        <is>
          <t>engine_value</t>
        </is>
      </c>
    </row>
    <row r="1098">
      <c r="A1098" t="inlineStr">
        <is>
          <t>附表7!P12</t>
        </is>
      </c>
      <c r="B1098" t="inlineStr">
        <is>
          <t>annual.profit_distribution.period_13</t>
        </is>
      </c>
      <c r="C1098" t="inlineStr">
        <is>
          <t>engine_value</t>
        </is>
      </c>
    </row>
    <row r="1099">
      <c r="A1099" t="inlineStr">
        <is>
          <t>附表7!Q12</t>
        </is>
      </c>
      <c r="B1099" t="inlineStr">
        <is>
          <t>annual.profit_distribution.period_14</t>
        </is>
      </c>
      <c r="C1099" t="inlineStr">
        <is>
          <t>engine_value</t>
        </is>
      </c>
    </row>
    <row r="1100">
      <c r="A1100" t="inlineStr">
        <is>
          <t>附表7!R12</t>
        </is>
      </c>
      <c r="B1100" t="inlineStr">
        <is>
          <t>annual.profit_distribution.period_15</t>
        </is>
      </c>
      <c r="C1100" t="inlineStr">
        <is>
          <t>engine_value</t>
        </is>
      </c>
    </row>
    <row r="1101">
      <c r="A1101" t="inlineStr">
        <is>
          <t>附表7!S12</t>
        </is>
      </c>
      <c r="B1101" t="inlineStr">
        <is>
          <t>annual.profit_distribution.period_16</t>
        </is>
      </c>
      <c r="C1101" t="inlineStr">
        <is>
          <t>engine_value</t>
        </is>
      </c>
    </row>
    <row r="1102">
      <c r="A1102" t="inlineStr">
        <is>
          <t>附表7!T12</t>
        </is>
      </c>
      <c r="B1102" t="inlineStr">
        <is>
          <t>annual.profit_distribution.period_17</t>
        </is>
      </c>
      <c r="C1102" t="inlineStr">
        <is>
          <t>engine_value</t>
        </is>
      </c>
    </row>
    <row r="1103">
      <c r="A1103" t="inlineStr">
        <is>
          <t>附表7!U12</t>
        </is>
      </c>
      <c r="B1103" t="inlineStr">
        <is>
          <t>annual.profit_distribution.period_18</t>
        </is>
      </c>
      <c r="C1103" t="inlineStr">
        <is>
          <t>engine_value</t>
        </is>
      </c>
    </row>
    <row r="1104">
      <c r="A1104" t="inlineStr">
        <is>
          <t>附表7!V12</t>
        </is>
      </c>
      <c r="B1104" t="inlineStr">
        <is>
          <t>annual.profit_distribution.period_19</t>
        </is>
      </c>
      <c r="C1104" t="inlineStr">
        <is>
          <t>engine_value</t>
        </is>
      </c>
    </row>
    <row r="1105">
      <c r="A1105" t="inlineStr">
        <is>
          <t>附表7!W12</t>
        </is>
      </c>
      <c r="B1105" t="inlineStr">
        <is>
          <t>annual.profit_distribution.period_20</t>
        </is>
      </c>
      <c r="C1105" t="inlineStr">
        <is>
          <t>engine_value</t>
        </is>
      </c>
    </row>
    <row r="1106">
      <c r="A1106" t="inlineStr">
        <is>
          <t>附表7!X12</t>
        </is>
      </c>
      <c r="B1106" t="inlineStr">
        <is>
          <t>annual.profit_distribution.period_21</t>
        </is>
      </c>
      <c r="C1106" t="inlineStr">
        <is>
          <t>engine_value</t>
        </is>
      </c>
    </row>
    <row r="1107">
      <c r="A1107" t="inlineStr">
        <is>
          <t>附表7!Y12</t>
        </is>
      </c>
      <c r="B1107" t="inlineStr">
        <is>
          <t>annual.profit_distribution.period_22</t>
        </is>
      </c>
      <c r="C1107" t="inlineStr">
        <is>
          <t>engine_value</t>
        </is>
      </c>
    </row>
    <row r="1108">
      <c r="A1108" t="inlineStr">
        <is>
          <t>附表7!Z12</t>
        </is>
      </c>
      <c r="B1108" t="inlineStr">
        <is>
          <t>annual.profit_distribution.period_23</t>
        </is>
      </c>
      <c r="C1108" t="inlineStr">
        <is>
          <t>engine_value</t>
        </is>
      </c>
    </row>
    <row r="1109">
      <c r="A1109" t="inlineStr">
        <is>
          <t>附表7!AA12</t>
        </is>
      </c>
      <c r="B1109" t="inlineStr">
        <is>
          <t>annual.profit_distribution.period_24</t>
        </is>
      </c>
      <c r="C1109" t="inlineStr">
        <is>
          <t>engine_value</t>
        </is>
      </c>
    </row>
    <row r="1110">
      <c r="A1110" t="inlineStr">
        <is>
          <t>附表7!A13</t>
        </is>
      </c>
      <c r="B1110" t="inlineStr">
        <is>
          <t>annual.profit_distribution.no</t>
        </is>
      </c>
      <c r="C1110" t="inlineStr">
        <is>
          <t>engine_value</t>
        </is>
      </c>
    </row>
    <row r="1111">
      <c r="A1111" t="inlineStr">
        <is>
          <t>附表7!B13</t>
        </is>
      </c>
      <c r="B1111" t="inlineStr">
        <is>
          <t>annual.profit_distribution.item</t>
        </is>
      </c>
      <c r="C1111" t="inlineStr">
        <is>
          <t>engine_value</t>
        </is>
      </c>
    </row>
    <row r="1112">
      <c r="A1112" t="inlineStr">
        <is>
          <t>附表7!C13</t>
        </is>
      </c>
      <c r="B1112" t="inlineStr">
        <is>
          <t>annual.profit_distribution.total</t>
        </is>
      </c>
      <c r="C1112" t="inlineStr">
        <is>
          <t>engine_value</t>
        </is>
      </c>
    </row>
    <row r="1113">
      <c r="A1113" t="inlineStr">
        <is>
          <t>附表7!D13</t>
        </is>
      </c>
      <c r="B1113" t="inlineStr">
        <is>
          <t>annual.profit_distribution.period_1</t>
        </is>
      </c>
      <c r="C1113" t="inlineStr">
        <is>
          <t>engine_value</t>
        </is>
      </c>
    </row>
    <row r="1114">
      <c r="A1114" t="inlineStr">
        <is>
          <t>附表7!E13</t>
        </is>
      </c>
      <c r="B1114" t="inlineStr">
        <is>
          <t>annual.profit_distribution.period_2</t>
        </is>
      </c>
      <c r="C1114" t="inlineStr">
        <is>
          <t>engine_value</t>
        </is>
      </c>
    </row>
    <row r="1115">
      <c r="A1115" t="inlineStr">
        <is>
          <t>附表7!F13</t>
        </is>
      </c>
      <c r="B1115" t="inlineStr">
        <is>
          <t>annual.profit_distribution.period_3</t>
        </is>
      </c>
      <c r="C1115" t="inlineStr">
        <is>
          <t>engine_value</t>
        </is>
      </c>
    </row>
    <row r="1116">
      <c r="A1116" t="inlineStr">
        <is>
          <t>附表7!G13</t>
        </is>
      </c>
      <c r="B1116" t="inlineStr">
        <is>
          <t>annual.profit_distribution.period_4</t>
        </is>
      </c>
      <c r="C1116" t="inlineStr">
        <is>
          <t>engine_value</t>
        </is>
      </c>
    </row>
    <row r="1117">
      <c r="A1117" t="inlineStr">
        <is>
          <t>附表7!H13</t>
        </is>
      </c>
      <c r="B1117" t="inlineStr">
        <is>
          <t>annual.profit_distribution.period_5</t>
        </is>
      </c>
      <c r="C1117" t="inlineStr">
        <is>
          <t>engine_value</t>
        </is>
      </c>
    </row>
    <row r="1118">
      <c r="A1118" t="inlineStr">
        <is>
          <t>附表7!I13</t>
        </is>
      </c>
      <c r="B1118" t="inlineStr">
        <is>
          <t>annual.profit_distribution.period_6</t>
        </is>
      </c>
      <c r="C1118" t="inlineStr">
        <is>
          <t>engine_value</t>
        </is>
      </c>
    </row>
    <row r="1119">
      <c r="A1119" t="inlineStr">
        <is>
          <t>附表7!J13</t>
        </is>
      </c>
      <c r="B1119" t="inlineStr">
        <is>
          <t>annual.profit_distribution.period_7</t>
        </is>
      </c>
      <c r="C1119" t="inlineStr">
        <is>
          <t>engine_value</t>
        </is>
      </c>
    </row>
    <row r="1120">
      <c r="A1120" t="inlineStr">
        <is>
          <t>附表7!K13</t>
        </is>
      </c>
      <c r="B1120" t="inlineStr">
        <is>
          <t>annual.profit_distribution.period_8</t>
        </is>
      </c>
      <c r="C1120" t="inlineStr">
        <is>
          <t>engine_value</t>
        </is>
      </c>
    </row>
    <row r="1121">
      <c r="A1121" t="inlineStr">
        <is>
          <t>附表7!L13</t>
        </is>
      </c>
      <c r="B1121" t="inlineStr">
        <is>
          <t>annual.profit_distribution.period_9</t>
        </is>
      </c>
      <c r="C1121" t="inlineStr">
        <is>
          <t>engine_value</t>
        </is>
      </c>
    </row>
    <row r="1122">
      <c r="A1122" t="inlineStr">
        <is>
          <t>附表7!M13</t>
        </is>
      </c>
      <c r="B1122" t="inlineStr">
        <is>
          <t>annual.profit_distribution.period_10</t>
        </is>
      </c>
      <c r="C1122" t="inlineStr">
        <is>
          <t>engine_value</t>
        </is>
      </c>
    </row>
    <row r="1123">
      <c r="A1123" t="inlineStr">
        <is>
          <t>附表7!N13</t>
        </is>
      </c>
      <c r="B1123" t="inlineStr">
        <is>
          <t>annual.profit_distribution.period_11</t>
        </is>
      </c>
      <c r="C1123" t="inlineStr">
        <is>
          <t>engine_value</t>
        </is>
      </c>
    </row>
    <row r="1124">
      <c r="A1124" t="inlineStr">
        <is>
          <t>附表7!O13</t>
        </is>
      </c>
      <c r="B1124" t="inlineStr">
        <is>
          <t>annual.profit_distribution.period_12</t>
        </is>
      </c>
      <c r="C1124" t="inlineStr">
        <is>
          <t>engine_value</t>
        </is>
      </c>
    </row>
    <row r="1125">
      <c r="A1125" t="inlineStr">
        <is>
          <t>附表7!P13</t>
        </is>
      </c>
      <c r="B1125" t="inlineStr">
        <is>
          <t>annual.profit_distribution.period_13</t>
        </is>
      </c>
      <c r="C1125" t="inlineStr">
        <is>
          <t>engine_value</t>
        </is>
      </c>
    </row>
    <row r="1126">
      <c r="A1126" t="inlineStr">
        <is>
          <t>附表7!Q13</t>
        </is>
      </c>
      <c r="B1126" t="inlineStr">
        <is>
          <t>annual.profit_distribution.period_14</t>
        </is>
      </c>
      <c r="C1126" t="inlineStr">
        <is>
          <t>engine_value</t>
        </is>
      </c>
    </row>
    <row r="1127">
      <c r="A1127" t="inlineStr">
        <is>
          <t>附表7!R13</t>
        </is>
      </c>
      <c r="B1127" t="inlineStr">
        <is>
          <t>annual.profit_distribution.period_15</t>
        </is>
      </c>
      <c r="C1127" t="inlineStr">
        <is>
          <t>engine_value</t>
        </is>
      </c>
    </row>
    <row r="1128">
      <c r="A1128" t="inlineStr">
        <is>
          <t>附表7!S13</t>
        </is>
      </c>
      <c r="B1128" t="inlineStr">
        <is>
          <t>annual.profit_distribution.period_16</t>
        </is>
      </c>
      <c r="C1128" t="inlineStr">
        <is>
          <t>engine_value</t>
        </is>
      </c>
    </row>
    <row r="1129">
      <c r="A1129" t="inlineStr">
        <is>
          <t>附表7!T13</t>
        </is>
      </c>
      <c r="B1129" t="inlineStr">
        <is>
          <t>annual.profit_distribution.period_17</t>
        </is>
      </c>
      <c r="C1129" t="inlineStr">
        <is>
          <t>engine_value</t>
        </is>
      </c>
    </row>
    <row r="1130">
      <c r="A1130" t="inlineStr">
        <is>
          <t>附表7!U13</t>
        </is>
      </c>
      <c r="B1130" t="inlineStr">
        <is>
          <t>annual.profit_distribution.period_18</t>
        </is>
      </c>
      <c r="C1130" t="inlineStr">
        <is>
          <t>engine_value</t>
        </is>
      </c>
    </row>
    <row r="1131">
      <c r="A1131" t="inlineStr">
        <is>
          <t>附表7!V13</t>
        </is>
      </c>
      <c r="B1131" t="inlineStr">
        <is>
          <t>annual.profit_distribution.period_19</t>
        </is>
      </c>
      <c r="C1131" t="inlineStr">
        <is>
          <t>engine_value</t>
        </is>
      </c>
    </row>
    <row r="1132">
      <c r="A1132" t="inlineStr">
        <is>
          <t>附表7!W13</t>
        </is>
      </c>
      <c r="B1132" t="inlineStr">
        <is>
          <t>annual.profit_distribution.period_20</t>
        </is>
      </c>
      <c r="C1132" t="inlineStr">
        <is>
          <t>engine_value</t>
        </is>
      </c>
    </row>
    <row r="1133">
      <c r="A1133" t="inlineStr">
        <is>
          <t>附表7!X13</t>
        </is>
      </c>
      <c r="B1133" t="inlineStr">
        <is>
          <t>annual.profit_distribution.period_21</t>
        </is>
      </c>
      <c r="C1133" t="inlineStr">
        <is>
          <t>engine_value</t>
        </is>
      </c>
    </row>
    <row r="1134">
      <c r="A1134" t="inlineStr">
        <is>
          <t>附表7!Y13</t>
        </is>
      </c>
      <c r="B1134" t="inlineStr">
        <is>
          <t>annual.profit_distribution.period_22</t>
        </is>
      </c>
      <c r="C1134" t="inlineStr">
        <is>
          <t>engine_value</t>
        </is>
      </c>
    </row>
    <row r="1135">
      <c r="A1135" t="inlineStr">
        <is>
          <t>附表7!Z13</t>
        </is>
      </c>
      <c r="B1135" t="inlineStr">
        <is>
          <t>annual.profit_distribution.period_23</t>
        </is>
      </c>
      <c r="C1135" t="inlineStr">
        <is>
          <t>engine_value</t>
        </is>
      </c>
    </row>
    <row r="1136">
      <c r="A1136" t="inlineStr">
        <is>
          <t>附表7!AA13</t>
        </is>
      </c>
      <c r="B1136" t="inlineStr">
        <is>
          <t>annual.profit_distribution.period_24</t>
        </is>
      </c>
      <c r="C1136" t="inlineStr">
        <is>
          <t>engine_value</t>
        </is>
      </c>
    </row>
    <row r="1137">
      <c r="A1137" t="inlineStr">
        <is>
          <t>附表7!A14</t>
        </is>
      </c>
      <c r="B1137" t="inlineStr">
        <is>
          <t>annual.profit_distribution.no</t>
        </is>
      </c>
      <c r="C1137" t="inlineStr">
        <is>
          <t>engine_value</t>
        </is>
      </c>
    </row>
    <row r="1138">
      <c r="A1138" t="inlineStr">
        <is>
          <t>附表7!B14</t>
        </is>
      </c>
      <c r="B1138" t="inlineStr">
        <is>
          <t>annual.profit_distribution.item</t>
        </is>
      </c>
      <c r="C1138" t="inlineStr">
        <is>
          <t>engine_value</t>
        </is>
      </c>
    </row>
    <row r="1139">
      <c r="A1139" t="inlineStr">
        <is>
          <t>附表7!C14</t>
        </is>
      </c>
      <c r="B1139" t="inlineStr">
        <is>
          <t>annual.profit_distribution.total</t>
        </is>
      </c>
      <c r="C1139" t="inlineStr">
        <is>
          <t>engine_value</t>
        </is>
      </c>
    </row>
    <row r="1140">
      <c r="A1140" t="inlineStr">
        <is>
          <t>附表7!D14</t>
        </is>
      </c>
      <c r="B1140" t="inlineStr">
        <is>
          <t>annual.profit_distribution.period_1</t>
        </is>
      </c>
      <c r="C1140" t="inlineStr">
        <is>
          <t>engine_value</t>
        </is>
      </c>
    </row>
    <row r="1141">
      <c r="A1141" t="inlineStr">
        <is>
          <t>附表7!E14</t>
        </is>
      </c>
      <c r="B1141" t="inlineStr">
        <is>
          <t>annual.profit_distribution.period_2</t>
        </is>
      </c>
      <c r="C1141" t="inlineStr">
        <is>
          <t>engine_value</t>
        </is>
      </c>
    </row>
    <row r="1142">
      <c r="A1142" t="inlineStr">
        <is>
          <t>附表7!F14</t>
        </is>
      </c>
      <c r="B1142" t="inlineStr">
        <is>
          <t>annual.profit_distribution.period_3</t>
        </is>
      </c>
      <c r="C1142" t="inlineStr">
        <is>
          <t>engine_value</t>
        </is>
      </c>
    </row>
    <row r="1143">
      <c r="A1143" t="inlineStr">
        <is>
          <t>附表7!G14</t>
        </is>
      </c>
      <c r="B1143" t="inlineStr">
        <is>
          <t>annual.profit_distribution.period_4</t>
        </is>
      </c>
      <c r="C1143" t="inlineStr">
        <is>
          <t>engine_value</t>
        </is>
      </c>
    </row>
    <row r="1144">
      <c r="A1144" t="inlineStr">
        <is>
          <t>附表7!H14</t>
        </is>
      </c>
      <c r="B1144" t="inlineStr">
        <is>
          <t>annual.profit_distribution.period_5</t>
        </is>
      </c>
      <c r="C1144" t="inlineStr">
        <is>
          <t>engine_value</t>
        </is>
      </c>
    </row>
    <row r="1145">
      <c r="A1145" t="inlineStr">
        <is>
          <t>附表7!I14</t>
        </is>
      </c>
      <c r="B1145" t="inlineStr">
        <is>
          <t>annual.profit_distribution.period_6</t>
        </is>
      </c>
      <c r="C1145" t="inlineStr">
        <is>
          <t>engine_value</t>
        </is>
      </c>
    </row>
    <row r="1146">
      <c r="A1146" t="inlineStr">
        <is>
          <t>附表7!J14</t>
        </is>
      </c>
      <c r="B1146" t="inlineStr">
        <is>
          <t>annual.profit_distribution.period_7</t>
        </is>
      </c>
      <c r="C1146" t="inlineStr">
        <is>
          <t>engine_value</t>
        </is>
      </c>
    </row>
    <row r="1147">
      <c r="A1147" t="inlineStr">
        <is>
          <t>附表7!K14</t>
        </is>
      </c>
      <c r="B1147" t="inlineStr">
        <is>
          <t>annual.profit_distribution.period_8</t>
        </is>
      </c>
      <c r="C1147" t="inlineStr">
        <is>
          <t>engine_value</t>
        </is>
      </c>
    </row>
    <row r="1148">
      <c r="A1148" t="inlineStr">
        <is>
          <t>附表7!L14</t>
        </is>
      </c>
      <c r="B1148" t="inlineStr">
        <is>
          <t>annual.profit_distribution.period_9</t>
        </is>
      </c>
      <c r="C1148" t="inlineStr">
        <is>
          <t>engine_value</t>
        </is>
      </c>
    </row>
    <row r="1149">
      <c r="A1149" t="inlineStr">
        <is>
          <t>附表7!M14</t>
        </is>
      </c>
      <c r="B1149" t="inlineStr">
        <is>
          <t>annual.profit_distribution.period_10</t>
        </is>
      </c>
      <c r="C1149" t="inlineStr">
        <is>
          <t>engine_value</t>
        </is>
      </c>
    </row>
    <row r="1150">
      <c r="A1150" t="inlineStr">
        <is>
          <t>附表7!N14</t>
        </is>
      </c>
      <c r="B1150" t="inlineStr">
        <is>
          <t>annual.profit_distribution.period_11</t>
        </is>
      </c>
      <c r="C1150" t="inlineStr">
        <is>
          <t>engine_value</t>
        </is>
      </c>
    </row>
    <row r="1151">
      <c r="A1151" t="inlineStr">
        <is>
          <t>附表7!O14</t>
        </is>
      </c>
      <c r="B1151" t="inlineStr">
        <is>
          <t>annual.profit_distribution.period_12</t>
        </is>
      </c>
      <c r="C1151" t="inlineStr">
        <is>
          <t>engine_value</t>
        </is>
      </c>
    </row>
    <row r="1152">
      <c r="A1152" t="inlineStr">
        <is>
          <t>附表7!P14</t>
        </is>
      </c>
      <c r="B1152" t="inlineStr">
        <is>
          <t>annual.profit_distribution.period_13</t>
        </is>
      </c>
      <c r="C1152" t="inlineStr">
        <is>
          <t>engine_value</t>
        </is>
      </c>
    </row>
    <row r="1153">
      <c r="A1153" t="inlineStr">
        <is>
          <t>附表7!Q14</t>
        </is>
      </c>
      <c r="B1153" t="inlineStr">
        <is>
          <t>annual.profit_distribution.period_14</t>
        </is>
      </c>
      <c r="C1153" t="inlineStr">
        <is>
          <t>engine_value</t>
        </is>
      </c>
    </row>
    <row r="1154">
      <c r="A1154" t="inlineStr">
        <is>
          <t>附表7!R14</t>
        </is>
      </c>
      <c r="B1154" t="inlineStr">
        <is>
          <t>annual.profit_distribution.period_15</t>
        </is>
      </c>
      <c r="C1154" t="inlineStr">
        <is>
          <t>engine_value</t>
        </is>
      </c>
    </row>
    <row r="1155">
      <c r="A1155" t="inlineStr">
        <is>
          <t>附表7!S14</t>
        </is>
      </c>
      <c r="B1155" t="inlineStr">
        <is>
          <t>annual.profit_distribution.period_16</t>
        </is>
      </c>
      <c r="C1155" t="inlineStr">
        <is>
          <t>engine_value</t>
        </is>
      </c>
    </row>
    <row r="1156">
      <c r="A1156" t="inlineStr">
        <is>
          <t>附表7!T14</t>
        </is>
      </c>
      <c r="B1156" t="inlineStr">
        <is>
          <t>annual.profit_distribution.period_17</t>
        </is>
      </c>
      <c r="C1156" t="inlineStr">
        <is>
          <t>engine_value</t>
        </is>
      </c>
    </row>
    <row r="1157">
      <c r="A1157" t="inlineStr">
        <is>
          <t>附表7!U14</t>
        </is>
      </c>
      <c r="B1157" t="inlineStr">
        <is>
          <t>annual.profit_distribution.period_18</t>
        </is>
      </c>
      <c r="C1157" t="inlineStr">
        <is>
          <t>engine_value</t>
        </is>
      </c>
    </row>
    <row r="1158">
      <c r="A1158" t="inlineStr">
        <is>
          <t>附表7!V14</t>
        </is>
      </c>
      <c r="B1158" t="inlineStr">
        <is>
          <t>annual.profit_distribution.period_19</t>
        </is>
      </c>
      <c r="C1158" t="inlineStr">
        <is>
          <t>engine_value</t>
        </is>
      </c>
    </row>
    <row r="1159">
      <c r="A1159" t="inlineStr">
        <is>
          <t>附表7!W14</t>
        </is>
      </c>
      <c r="B1159" t="inlineStr">
        <is>
          <t>annual.profit_distribution.period_20</t>
        </is>
      </c>
      <c r="C1159" t="inlineStr">
        <is>
          <t>engine_value</t>
        </is>
      </c>
    </row>
    <row r="1160">
      <c r="A1160" t="inlineStr">
        <is>
          <t>附表7!X14</t>
        </is>
      </c>
      <c r="B1160" t="inlineStr">
        <is>
          <t>annual.profit_distribution.period_21</t>
        </is>
      </c>
      <c r="C1160" t="inlineStr">
        <is>
          <t>engine_value</t>
        </is>
      </c>
    </row>
    <row r="1161">
      <c r="A1161" t="inlineStr">
        <is>
          <t>附表7!Y14</t>
        </is>
      </c>
      <c r="B1161" t="inlineStr">
        <is>
          <t>annual.profit_distribution.period_22</t>
        </is>
      </c>
      <c r="C1161" t="inlineStr">
        <is>
          <t>engine_value</t>
        </is>
      </c>
    </row>
    <row r="1162">
      <c r="A1162" t="inlineStr">
        <is>
          <t>附表7!Z14</t>
        </is>
      </c>
      <c r="B1162" t="inlineStr">
        <is>
          <t>annual.profit_distribution.period_23</t>
        </is>
      </c>
      <c r="C1162" t="inlineStr">
        <is>
          <t>engine_value</t>
        </is>
      </c>
    </row>
    <row r="1163">
      <c r="A1163" t="inlineStr">
        <is>
          <t>附表7!AA14</t>
        </is>
      </c>
      <c r="B1163" t="inlineStr">
        <is>
          <t>annual.profit_distribution.period_24</t>
        </is>
      </c>
      <c r="C1163" t="inlineStr">
        <is>
          <t>engine_value</t>
        </is>
      </c>
    </row>
    <row r="1164">
      <c r="A1164" t="inlineStr">
        <is>
          <t>附表7!A15</t>
        </is>
      </c>
      <c r="B1164" t="inlineStr">
        <is>
          <t>annual.profit_distribution.no</t>
        </is>
      </c>
      <c r="C1164" t="inlineStr">
        <is>
          <t>engine_value</t>
        </is>
      </c>
    </row>
    <row r="1165">
      <c r="A1165" t="inlineStr">
        <is>
          <t>附表7!B15</t>
        </is>
      </c>
      <c r="B1165" t="inlineStr">
        <is>
          <t>annual.profit_distribution.item</t>
        </is>
      </c>
      <c r="C1165" t="inlineStr">
        <is>
          <t>engine_value</t>
        </is>
      </c>
    </row>
    <row r="1166">
      <c r="A1166" t="inlineStr">
        <is>
          <t>附表7!C15</t>
        </is>
      </c>
      <c r="B1166" t="inlineStr">
        <is>
          <t>annual.profit_distribution.total</t>
        </is>
      </c>
      <c r="C1166" t="inlineStr">
        <is>
          <t>engine_value</t>
        </is>
      </c>
    </row>
    <row r="1167">
      <c r="A1167" t="inlineStr">
        <is>
          <t>附表7!D15</t>
        </is>
      </c>
      <c r="B1167" t="inlineStr">
        <is>
          <t>annual.profit_distribution.period_1</t>
        </is>
      </c>
      <c r="C1167" t="inlineStr">
        <is>
          <t>engine_value</t>
        </is>
      </c>
    </row>
    <row r="1168">
      <c r="A1168" t="inlineStr">
        <is>
          <t>附表7!E15</t>
        </is>
      </c>
      <c r="B1168" t="inlineStr">
        <is>
          <t>annual.profit_distribution.period_2</t>
        </is>
      </c>
      <c r="C1168" t="inlineStr">
        <is>
          <t>engine_value</t>
        </is>
      </c>
    </row>
    <row r="1169">
      <c r="A1169" t="inlineStr">
        <is>
          <t>附表7!F15</t>
        </is>
      </c>
      <c r="B1169" t="inlineStr">
        <is>
          <t>annual.profit_distribution.period_3</t>
        </is>
      </c>
      <c r="C1169" t="inlineStr">
        <is>
          <t>engine_value</t>
        </is>
      </c>
    </row>
    <row r="1170">
      <c r="A1170" t="inlineStr">
        <is>
          <t>附表7!G15</t>
        </is>
      </c>
      <c r="B1170" t="inlineStr">
        <is>
          <t>annual.profit_distribution.period_4</t>
        </is>
      </c>
      <c r="C1170" t="inlineStr">
        <is>
          <t>engine_value</t>
        </is>
      </c>
    </row>
    <row r="1171">
      <c r="A1171" t="inlineStr">
        <is>
          <t>附表7!H15</t>
        </is>
      </c>
      <c r="B1171" t="inlineStr">
        <is>
          <t>annual.profit_distribution.period_5</t>
        </is>
      </c>
      <c r="C1171" t="inlineStr">
        <is>
          <t>engine_value</t>
        </is>
      </c>
    </row>
    <row r="1172">
      <c r="A1172" t="inlineStr">
        <is>
          <t>附表7!I15</t>
        </is>
      </c>
      <c r="B1172" t="inlineStr">
        <is>
          <t>annual.profit_distribution.period_6</t>
        </is>
      </c>
      <c r="C1172" t="inlineStr">
        <is>
          <t>engine_value</t>
        </is>
      </c>
    </row>
    <row r="1173">
      <c r="A1173" t="inlineStr">
        <is>
          <t>附表7!J15</t>
        </is>
      </c>
      <c r="B1173" t="inlineStr">
        <is>
          <t>annual.profit_distribution.period_7</t>
        </is>
      </c>
      <c r="C1173" t="inlineStr">
        <is>
          <t>engine_value</t>
        </is>
      </c>
    </row>
    <row r="1174">
      <c r="A1174" t="inlineStr">
        <is>
          <t>附表7!K15</t>
        </is>
      </c>
      <c r="B1174" t="inlineStr">
        <is>
          <t>annual.profit_distribution.period_8</t>
        </is>
      </c>
      <c r="C1174" t="inlineStr">
        <is>
          <t>engine_value</t>
        </is>
      </c>
    </row>
    <row r="1175">
      <c r="A1175" t="inlineStr">
        <is>
          <t>附表7!L15</t>
        </is>
      </c>
      <c r="B1175" t="inlineStr">
        <is>
          <t>annual.profit_distribution.period_9</t>
        </is>
      </c>
      <c r="C1175" t="inlineStr">
        <is>
          <t>engine_value</t>
        </is>
      </c>
    </row>
    <row r="1176">
      <c r="A1176" t="inlineStr">
        <is>
          <t>附表7!M15</t>
        </is>
      </c>
      <c r="B1176" t="inlineStr">
        <is>
          <t>annual.profit_distribution.period_10</t>
        </is>
      </c>
      <c r="C1176" t="inlineStr">
        <is>
          <t>engine_value</t>
        </is>
      </c>
    </row>
    <row r="1177">
      <c r="A1177" t="inlineStr">
        <is>
          <t>附表7!N15</t>
        </is>
      </c>
      <c r="B1177" t="inlineStr">
        <is>
          <t>annual.profit_distribution.period_11</t>
        </is>
      </c>
      <c r="C1177" t="inlineStr">
        <is>
          <t>engine_value</t>
        </is>
      </c>
    </row>
    <row r="1178">
      <c r="A1178" t="inlineStr">
        <is>
          <t>附表7!O15</t>
        </is>
      </c>
      <c r="B1178" t="inlineStr">
        <is>
          <t>annual.profit_distribution.period_12</t>
        </is>
      </c>
      <c r="C1178" t="inlineStr">
        <is>
          <t>engine_value</t>
        </is>
      </c>
    </row>
    <row r="1179">
      <c r="A1179" t="inlineStr">
        <is>
          <t>附表7!P15</t>
        </is>
      </c>
      <c r="B1179" t="inlineStr">
        <is>
          <t>annual.profit_distribution.period_13</t>
        </is>
      </c>
      <c r="C1179" t="inlineStr">
        <is>
          <t>engine_value</t>
        </is>
      </c>
    </row>
    <row r="1180">
      <c r="A1180" t="inlineStr">
        <is>
          <t>附表7!Q15</t>
        </is>
      </c>
      <c r="B1180" t="inlineStr">
        <is>
          <t>annual.profit_distribution.period_14</t>
        </is>
      </c>
      <c r="C1180" t="inlineStr">
        <is>
          <t>engine_value</t>
        </is>
      </c>
    </row>
    <row r="1181">
      <c r="A1181" t="inlineStr">
        <is>
          <t>附表7!R15</t>
        </is>
      </c>
      <c r="B1181" t="inlineStr">
        <is>
          <t>annual.profit_distribution.period_15</t>
        </is>
      </c>
      <c r="C1181" t="inlineStr">
        <is>
          <t>engine_value</t>
        </is>
      </c>
    </row>
    <row r="1182">
      <c r="A1182" t="inlineStr">
        <is>
          <t>附表7!S15</t>
        </is>
      </c>
      <c r="B1182" t="inlineStr">
        <is>
          <t>annual.profit_distribution.period_16</t>
        </is>
      </c>
      <c r="C1182" t="inlineStr">
        <is>
          <t>engine_value</t>
        </is>
      </c>
    </row>
    <row r="1183">
      <c r="A1183" t="inlineStr">
        <is>
          <t>附表7!T15</t>
        </is>
      </c>
      <c r="B1183" t="inlineStr">
        <is>
          <t>annual.profit_distribution.period_17</t>
        </is>
      </c>
      <c r="C1183" t="inlineStr">
        <is>
          <t>engine_value</t>
        </is>
      </c>
    </row>
    <row r="1184">
      <c r="A1184" t="inlineStr">
        <is>
          <t>附表7!U15</t>
        </is>
      </c>
      <c r="B1184" t="inlineStr">
        <is>
          <t>annual.profit_distribution.period_18</t>
        </is>
      </c>
      <c r="C1184" t="inlineStr">
        <is>
          <t>engine_value</t>
        </is>
      </c>
    </row>
    <row r="1185">
      <c r="A1185" t="inlineStr">
        <is>
          <t>附表7!V15</t>
        </is>
      </c>
      <c r="B1185" t="inlineStr">
        <is>
          <t>annual.profit_distribution.period_19</t>
        </is>
      </c>
      <c r="C1185" t="inlineStr">
        <is>
          <t>engine_value</t>
        </is>
      </c>
    </row>
    <row r="1186">
      <c r="A1186" t="inlineStr">
        <is>
          <t>附表7!W15</t>
        </is>
      </c>
      <c r="B1186" t="inlineStr">
        <is>
          <t>annual.profit_distribution.period_20</t>
        </is>
      </c>
      <c r="C1186" t="inlineStr">
        <is>
          <t>engine_value</t>
        </is>
      </c>
    </row>
    <row r="1187">
      <c r="A1187" t="inlineStr">
        <is>
          <t>附表7!X15</t>
        </is>
      </c>
      <c r="B1187" t="inlineStr">
        <is>
          <t>annual.profit_distribution.period_21</t>
        </is>
      </c>
      <c r="C1187" t="inlineStr">
        <is>
          <t>engine_value</t>
        </is>
      </c>
    </row>
    <row r="1188">
      <c r="A1188" t="inlineStr">
        <is>
          <t>附表7!Y15</t>
        </is>
      </c>
      <c r="B1188" t="inlineStr">
        <is>
          <t>annual.profit_distribution.period_22</t>
        </is>
      </c>
      <c r="C1188" t="inlineStr">
        <is>
          <t>engine_value</t>
        </is>
      </c>
    </row>
    <row r="1189">
      <c r="A1189" t="inlineStr">
        <is>
          <t>附表7!Z15</t>
        </is>
      </c>
      <c r="B1189" t="inlineStr">
        <is>
          <t>annual.profit_distribution.period_23</t>
        </is>
      </c>
      <c r="C1189" t="inlineStr">
        <is>
          <t>engine_value</t>
        </is>
      </c>
    </row>
    <row r="1190">
      <c r="A1190" t="inlineStr">
        <is>
          <t>附表7!AA15</t>
        </is>
      </c>
      <c r="B1190" t="inlineStr">
        <is>
          <t>annual.profit_distribution.period_24</t>
        </is>
      </c>
      <c r="C1190" t="inlineStr">
        <is>
          <t>engine_value</t>
        </is>
      </c>
    </row>
    <row r="1191">
      <c r="A1191" t="inlineStr">
        <is>
          <t>附表7!A16</t>
        </is>
      </c>
      <c r="B1191" t="inlineStr">
        <is>
          <t>annual.profit_distribution.no</t>
        </is>
      </c>
      <c r="C1191" t="inlineStr">
        <is>
          <t>engine_value</t>
        </is>
      </c>
    </row>
    <row r="1192">
      <c r="A1192" t="inlineStr">
        <is>
          <t>附表7!B16</t>
        </is>
      </c>
      <c r="B1192" t="inlineStr">
        <is>
          <t>annual.profit_distribution.item</t>
        </is>
      </c>
      <c r="C1192" t="inlineStr">
        <is>
          <t>engine_value</t>
        </is>
      </c>
    </row>
    <row r="1193">
      <c r="A1193" t="inlineStr">
        <is>
          <t>附表7!C16</t>
        </is>
      </c>
      <c r="B1193" t="inlineStr">
        <is>
          <t>annual.profit_distribution.total</t>
        </is>
      </c>
      <c r="C1193" t="inlineStr">
        <is>
          <t>engine_value</t>
        </is>
      </c>
    </row>
    <row r="1194">
      <c r="A1194" t="inlineStr">
        <is>
          <t>附表7!D16</t>
        </is>
      </c>
      <c r="B1194" t="inlineStr">
        <is>
          <t>annual.profit_distribution.period_1</t>
        </is>
      </c>
      <c r="C1194" t="inlineStr">
        <is>
          <t>engine_value</t>
        </is>
      </c>
    </row>
    <row r="1195">
      <c r="A1195" t="inlineStr">
        <is>
          <t>附表7!E16</t>
        </is>
      </c>
      <c r="B1195" t="inlineStr">
        <is>
          <t>annual.profit_distribution.period_2</t>
        </is>
      </c>
      <c r="C1195" t="inlineStr">
        <is>
          <t>engine_value</t>
        </is>
      </c>
    </row>
    <row r="1196">
      <c r="A1196" t="inlineStr">
        <is>
          <t>附表7!F16</t>
        </is>
      </c>
      <c r="B1196" t="inlineStr">
        <is>
          <t>annual.profit_distribution.period_3</t>
        </is>
      </c>
      <c r="C1196" t="inlineStr">
        <is>
          <t>engine_value</t>
        </is>
      </c>
    </row>
    <row r="1197">
      <c r="A1197" t="inlineStr">
        <is>
          <t>附表7!G16</t>
        </is>
      </c>
      <c r="B1197" t="inlineStr">
        <is>
          <t>annual.profit_distribution.period_4</t>
        </is>
      </c>
      <c r="C1197" t="inlineStr">
        <is>
          <t>engine_value</t>
        </is>
      </c>
    </row>
    <row r="1198">
      <c r="A1198" t="inlineStr">
        <is>
          <t>附表7!H16</t>
        </is>
      </c>
      <c r="B1198" t="inlineStr">
        <is>
          <t>annual.profit_distribution.period_5</t>
        </is>
      </c>
      <c r="C1198" t="inlineStr">
        <is>
          <t>engine_value</t>
        </is>
      </c>
    </row>
    <row r="1199">
      <c r="A1199" t="inlineStr">
        <is>
          <t>附表7!I16</t>
        </is>
      </c>
      <c r="B1199" t="inlineStr">
        <is>
          <t>annual.profit_distribution.period_6</t>
        </is>
      </c>
      <c r="C1199" t="inlineStr">
        <is>
          <t>engine_value</t>
        </is>
      </c>
    </row>
    <row r="1200">
      <c r="A1200" t="inlineStr">
        <is>
          <t>附表7!J16</t>
        </is>
      </c>
      <c r="B1200" t="inlineStr">
        <is>
          <t>annual.profit_distribution.period_7</t>
        </is>
      </c>
      <c r="C1200" t="inlineStr">
        <is>
          <t>engine_value</t>
        </is>
      </c>
    </row>
    <row r="1201">
      <c r="A1201" t="inlineStr">
        <is>
          <t>附表7!K16</t>
        </is>
      </c>
      <c r="B1201" t="inlineStr">
        <is>
          <t>annual.profit_distribution.period_8</t>
        </is>
      </c>
      <c r="C1201" t="inlineStr">
        <is>
          <t>engine_value</t>
        </is>
      </c>
    </row>
    <row r="1202">
      <c r="A1202" t="inlineStr">
        <is>
          <t>附表7!L16</t>
        </is>
      </c>
      <c r="B1202" t="inlineStr">
        <is>
          <t>annual.profit_distribution.period_9</t>
        </is>
      </c>
      <c r="C1202" t="inlineStr">
        <is>
          <t>engine_value</t>
        </is>
      </c>
    </row>
    <row r="1203">
      <c r="A1203" t="inlineStr">
        <is>
          <t>附表7!M16</t>
        </is>
      </c>
      <c r="B1203" t="inlineStr">
        <is>
          <t>annual.profit_distribution.period_10</t>
        </is>
      </c>
      <c r="C1203" t="inlineStr">
        <is>
          <t>engine_value</t>
        </is>
      </c>
    </row>
    <row r="1204">
      <c r="A1204" t="inlineStr">
        <is>
          <t>附表7!N16</t>
        </is>
      </c>
      <c r="B1204" t="inlineStr">
        <is>
          <t>annual.profit_distribution.period_11</t>
        </is>
      </c>
      <c r="C1204" t="inlineStr">
        <is>
          <t>engine_value</t>
        </is>
      </c>
    </row>
    <row r="1205">
      <c r="A1205" t="inlineStr">
        <is>
          <t>附表7!O16</t>
        </is>
      </c>
      <c r="B1205" t="inlineStr">
        <is>
          <t>annual.profit_distribution.period_12</t>
        </is>
      </c>
      <c r="C1205" t="inlineStr">
        <is>
          <t>engine_value</t>
        </is>
      </c>
    </row>
    <row r="1206">
      <c r="A1206" t="inlineStr">
        <is>
          <t>附表7!P16</t>
        </is>
      </c>
      <c r="B1206" t="inlineStr">
        <is>
          <t>annual.profit_distribution.period_13</t>
        </is>
      </c>
      <c r="C1206" t="inlineStr">
        <is>
          <t>engine_value</t>
        </is>
      </c>
    </row>
    <row r="1207">
      <c r="A1207" t="inlineStr">
        <is>
          <t>附表7!Q16</t>
        </is>
      </c>
      <c r="B1207" t="inlineStr">
        <is>
          <t>annual.profit_distribution.period_14</t>
        </is>
      </c>
      <c r="C1207" t="inlineStr">
        <is>
          <t>engine_value</t>
        </is>
      </c>
    </row>
    <row r="1208">
      <c r="A1208" t="inlineStr">
        <is>
          <t>附表7!R16</t>
        </is>
      </c>
      <c r="B1208" t="inlineStr">
        <is>
          <t>annual.profit_distribution.period_15</t>
        </is>
      </c>
      <c r="C1208" t="inlineStr">
        <is>
          <t>engine_value</t>
        </is>
      </c>
    </row>
    <row r="1209">
      <c r="A1209" t="inlineStr">
        <is>
          <t>附表7!S16</t>
        </is>
      </c>
      <c r="B1209" t="inlineStr">
        <is>
          <t>annual.profit_distribution.period_16</t>
        </is>
      </c>
      <c r="C1209" t="inlineStr">
        <is>
          <t>engine_value</t>
        </is>
      </c>
    </row>
    <row r="1210">
      <c r="A1210" t="inlineStr">
        <is>
          <t>附表7!T16</t>
        </is>
      </c>
      <c r="B1210" t="inlineStr">
        <is>
          <t>annual.profit_distribution.period_17</t>
        </is>
      </c>
      <c r="C1210" t="inlineStr">
        <is>
          <t>engine_value</t>
        </is>
      </c>
    </row>
    <row r="1211">
      <c r="A1211" t="inlineStr">
        <is>
          <t>附表7!U16</t>
        </is>
      </c>
      <c r="B1211" t="inlineStr">
        <is>
          <t>annual.profit_distribution.period_18</t>
        </is>
      </c>
      <c r="C1211" t="inlineStr">
        <is>
          <t>engine_value</t>
        </is>
      </c>
    </row>
    <row r="1212">
      <c r="A1212" t="inlineStr">
        <is>
          <t>附表7!V16</t>
        </is>
      </c>
      <c r="B1212" t="inlineStr">
        <is>
          <t>annual.profit_distribution.period_19</t>
        </is>
      </c>
      <c r="C1212" t="inlineStr">
        <is>
          <t>engine_value</t>
        </is>
      </c>
    </row>
    <row r="1213">
      <c r="A1213" t="inlineStr">
        <is>
          <t>附表7!W16</t>
        </is>
      </c>
      <c r="B1213" t="inlineStr">
        <is>
          <t>annual.profit_distribution.period_20</t>
        </is>
      </c>
      <c r="C1213" t="inlineStr">
        <is>
          <t>engine_value</t>
        </is>
      </c>
    </row>
    <row r="1214">
      <c r="A1214" t="inlineStr">
        <is>
          <t>附表7!X16</t>
        </is>
      </c>
      <c r="B1214" t="inlineStr">
        <is>
          <t>annual.profit_distribution.period_21</t>
        </is>
      </c>
      <c r="C1214" t="inlineStr">
        <is>
          <t>engine_value</t>
        </is>
      </c>
    </row>
    <row r="1215">
      <c r="A1215" t="inlineStr">
        <is>
          <t>附表7!Y16</t>
        </is>
      </c>
      <c r="B1215" t="inlineStr">
        <is>
          <t>annual.profit_distribution.period_22</t>
        </is>
      </c>
      <c r="C1215" t="inlineStr">
        <is>
          <t>engine_value</t>
        </is>
      </c>
    </row>
    <row r="1216">
      <c r="A1216" t="inlineStr">
        <is>
          <t>附表7!Z16</t>
        </is>
      </c>
      <c r="B1216" t="inlineStr">
        <is>
          <t>annual.profit_distribution.period_23</t>
        </is>
      </c>
      <c r="C1216" t="inlineStr">
        <is>
          <t>engine_value</t>
        </is>
      </c>
    </row>
    <row r="1217">
      <c r="A1217" t="inlineStr">
        <is>
          <t>附表7!AA16</t>
        </is>
      </c>
      <c r="B1217" t="inlineStr">
        <is>
          <t>annual.profit_distribution.period_24</t>
        </is>
      </c>
      <c r="C1217" t="inlineStr">
        <is>
          <t>engine_value</t>
        </is>
      </c>
    </row>
    <row r="1218">
      <c r="A1218" t="inlineStr">
        <is>
          <t>附表7!A17</t>
        </is>
      </c>
      <c r="B1218" t="inlineStr">
        <is>
          <t>annual.profit_distribution.no</t>
        </is>
      </c>
      <c r="C1218" t="inlineStr">
        <is>
          <t>engine_value</t>
        </is>
      </c>
    </row>
    <row r="1219">
      <c r="A1219" t="inlineStr">
        <is>
          <t>附表7!B17</t>
        </is>
      </c>
      <c r="B1219" t="inlineStr">
        <is>
          <t>annual.profit_distribution.item</t>
        </is>
      </c>
      <c r="C1219" t="inlineStr">
        <is>
          <t>engine_value</t>
        </is>
      </c>
    </row>
    <row r="1220">
      <c r="A1220" t="inlineStr">
        <is>
          <t>附表7!C17</t>
        </is>
      </c>
      <c r="B1220" t="inlineStr">
        <is>
          <t>annual.profit_distribution.total</t>
        </is>
      </c>
      <c r="C1220" t="inlineStr">
        <is>
          <t>engine_value</t>
        </is>
      </c>
    </row>
    <row r="1221">
      <c r="A1221" t="inlineStr">
        <is>
          <t>附表7!D17</t>
        </is>
      </c>
      <c r="B1221" t="inlineStr">
        <is>
          <t>annual.profit_distribution.period_1</t>
        </is>
      </c>
      <c r="C1221" t="inlineStr">
        <is>
          <t>engine_value</t>
        </is>
      </c>
    </row>
    <row r="1222">
      <c r="A1222" t="inlineStr">
        <is>
          <t>附表7!E17</t>
        </is>
      </c>
      <c r="B1222" t="inlineStr">
        <is>
          <t>annual.profit_distribution.period_2</t>
        </is>
      </c>
      <c r="C1222" t="inlineStr">
        <is>
          <t>engine_value</t>
        </is>
      </c>
    </row>
    <row r="1223">
      <c r="A1223" t="inlineStr">
        <is>
          <t>附表7!F17</t>
        </is>
      </c>
      <c r="B1223" t="inlineStr">
        <is>
          <t>annual.profit_distribution.period_3</t>
        </is>
      </c>
      <c r="C1223" t="inlineStr">
        <is>
          <t>engine_value</t>
        </is>
      </c>
    </row>
    <row r="1224">
      <c r="A1224" t="inlineStr">
        <is>
          <t>附表7!G17</t>
        </is>
      </c>
      <c r="B1224" t="inlineStr">
        <is>
          <t>annual.profit_distribution.period_4</t>
        </is>
      </c>
      <c r="C1224" t="inlineStr">
        <is>
          <t>engine_value</t>
        </is>
      </c>
    </row>
    <row r="1225">
      <c r="A1225" t="inlineStr">
        <is>
          <t>附表7!H17</t>
        </is>
      </c>
      <c r="B1225" t="inlineStr">
        <is>
          <t>annual.profit_distribution.period_5</t>
        </is>
      </c>
      <c r="C1225" t="inlineStr">
        <is>
          <t>engine_value</t>
        </is>
      </c>
    </row>
    <row r="1226">
      <c r="A1226" t="inlineStr">
        <is>
          <t>附表7!I17</t>
        </is>
      </c>
      <c r="B1226" t="inlineStr">
        <is>
          <t>annual.profit_distribution.period_6</t>
        </is>
      </c>
      <c r="C1226" t="inlineStr">
        <is>
          <t>engine_value</t>
        </is>
      </c>
    </row>
    <row r="1227">
      <c r="A1227" t="inlineStr">
        <is>
          <t>附表7!J17</t>
        </is>
      </c>
      <c r="B1227" t="inlineStr">
        <is>
          <t>annual.profit_distribution.period_7</t>
        </is>
      </c>
      <c r="C1227" t="inlineStr">
        <is>
          <t>engine_value</t>
        </is>
      </c>
    </row>
    <row r="1228">
      <c r="A1228" t="inlineStr">
        <is>
          <t>附表7!K17</t>
        </is>
      </c>
      <c r="B1228" t="inlineStr">
        <is>
          <t>annual.profit_distribution.period_8</t>
        </is>
      </c>
      <c r="C1228" t="inlineStr">
        <is>
          <t>engine_value</t>
        </is>
      </c>
    </row>
    <row r="1229">
      <c r="A1229" t="inlineStr">
        <is>
          <t>附表7!L17</t>
        </is>
      </c>
      <c r="B1229" t="inlineStr">
        <is>
          <t>annual.profit_distribution.period_9</t>
        </is>
      </c>
      <c r="C1229" t="inlineStr">
        <is>
          <t>engine_value</t>
        </is>
      </c>
    </row>
    <row r="1230">
      <c r="A1230" t="inlineStr">
        <is>
          <t>附表7!M17</t>
        </is>
      </c>
      <c r="B1230" t="inlineStr">
        <is>
          <t>annual.profit_distribution.period_10</t>
        </is>
      </c>
      <c r="C1230" t="inlineStr">
        <is>
          <t>engine_value</t>
        </is>
      </c>
    </row>
    <row r="1231">
      <c r="A1231" t="inlineStr">
        <is>
          <t>附表7!N17</t>
        </is>
      </c>
      <c r="B1231" t="inlineStr">
        <is>
          <t>annual.profit_distribution.period_11</t>
        </is>
      </c>
      <c r="C1231" t="inlineStr">
        <is>
          <t>engine_value</t>
        </is>
      </c>
    </row>
    <row r="1232">
      <c r="A1232" t="inlineStr">
        <is>
          <t>附表7!O17</t>
        </is>
      </c>
      <c r="B1232" t="inlineStr">
        <is>
          <t>annual.profit_distribution.period_12</t>
        </is>
      </c>
      <c r="C1232" t="inlineStr">
        <is>
          <t>engine_value</t>
        </is>
      </c>
    </row>
    <row r="1233">
      <c r="A1233" t="inlineStr">
        <is>
          <t>附表7!P17</t>
        </is>
      </c>
      <c r="B1233" t="inlineStr">
        <is>
          <t>annual.profit_distribution.period_13</t>
        </is>
      </c>
      <c r="C1233" t="inlineStr">
        <is>
          <t>engine_value</t>
        </is>
      </c>
    </row>
    <row r="1234">
      <c r="A1234" t="inlineStr">
        <is>
          <t>附表7!Q17</t>
        </is>
      </c>
      <c r="B1234" t="inlineStr">
        <is>
          <t>annual.profit_distribution.period_14</t>
        </is>
      </c>
      <c r="C1234" t="inlineStr">
        <is>
          <t>engine_value</t>
        </is>
      </c>
    </row>
    <row r="1235">
      <c r="A1235" t="inlineStr">
        <is>
          <t>附表7!R17</t>
        </is>
      </c>
      <c r="B1235" t="inlineStr">
        <is>
          <t>annual.profit_distribution.period_15</t>
        </is>
      </c>
      <c r="C1235" t="inlineStr">
        <is>
          <t>engine_value</t>
        </is>
      </c>
    </row>
    <row r="1236">
      <c r="A1236" t="inlineStr">
        <is>
          <t>附表7!S17</t>
        </is>
      </c>
      <c r="B1236" t="inlineStr">
        <is>
          <t>annual.profit_distribution.period_16</t>
        </is>
      </c>
      <c r="C1236" t="inlineStr">
        <is>
          <t>engine_value</t>
        </is>
      </c>
    </row>
    <row r="1237">
      <c r="A1237" t="inlineStr">
        <is>
          <t>附表7!T17</t>
        </is>
      </c>
      <c r="B1237" t="inlineStr">
        <is>
          <t>annual.profit_distribution.period_17</t>
        </is>
      </c>
      <c r="C1237" t="inlineStr">
        <is>
          <t>engine_value</t>
        </is>
      </c>
    </row>
    <row r="1238">
      <c r="A1238" t="inlineStr">
        <is>
          <t>附表7!U17</t>
        </is>
      </c>
      <c r="B1238" t="inlineStr">
        <is>
          <t>annual.profit_distribution.period_18</t>
        </is>
      </c>
      <c r="C1238" t="inlineStr">
        <is>
          <t>engine_value</t>
        </is>
      </c>
    </row>
    <row r="1239">
      <c r="A1239" t="inlineStr">
        <is>
          <t>附表7!V17</t>
        </is>
      </c>
      <c r="B1239" t="inlineStr">
        <is>
          <t>annual.profit_distribution.period_19</t>
        </is>
      </c>
      <c r="C1239" t="inlineStr">
        <is>
          <t>engine_value</t>
        </is>
      </c>
    </row>
    <row r="1240">
      <c r="A1240" t="inlineStr">
        <is>
          <t>附表7!W17</t>
        </is>
      </c>
      <c r="B1240" t="inlineStr">
        <is>
          <t>annual.profit_distribution.period_20</t>
        </is>
      </c>
      <c r="C1240" t="inlineStr">
        <is>
          <t>engine_value</t>
        </is>
      </c>
    </row>
    <row r="1241">
      <c r="A1241" t="inlineStr">
        <is>
          <t>附表7!X17</t>
        </is>
      </c>
      <c r="B1241" t="inlineStr">
        <is>
          <t>annual.profit_distribution.period_21</t>
        </is>
      </c>
      <c r="C1241" t="inlineStr">
        <is>
          <t>engine_value</t>
        </is>
      </c>
    </row>
    <row r="1242">
      <c r="A1242" t="inlineStr">
        <is>
          <t>附表7!Y17</t>
        </is>
      </c>
      <c r="B1242" t="inlineStr">
        <is>
          <t>annual.profit_distribution.period_22</t>
        </is>
      </c>
      <c r="C1242" t="inlineStr">
        <is>
          <t>engine_value</t>
        </is>
      </c>
    </row>
    <row r="1243">
      <c r="A1243" t="inlineStr">
        <is>
          <t>附表7!Z17</t>
        </is>
      </c>
      <c r="B1243" t="inlineStr">
        <is>
          <t>annual.profit_distribution.period_23</t>
        </is>
      </c>
      <c r="C1243" t="inlineStr">
        <is>
          <t>engine_value</t>
        </is>
      </c>
    </row>
    <row r="1244">
      <c r="A1244" t="inlineStr">
        <is>
          <t>附表7!AA17</t>
        </is>
      </c>
      <c r="B1244" t="inlineStr">
        <is>
          <t>annual.profit_distribution.period_24</t>
        </is>
      </c>
      <c r="C1244" t="inlineStr">
        <is>
          <t>engine_value</t>
        </is>
      </c>
    </row>
    <row r="1245">
      <c r="A1245" t="inlineStr">
        <is>
          <t>附表7!A18</t>
        </is>
      </c>
      <c r="B1245" t="inlineStr">
        <is>
          <t>annual.profit_distribution.no</t>
        </is>
      </c>
      <c r="C1245" t="inlineStr">
        <is>
          <t>engine_value</t>
        </is>
      </c>
    </row>
    <row r="1246">
      <c r="A1246" t="inlineStr">
        <is>
          <t>附表7!B18</t>
        </is>
      </c>
      <c r="B1246" t="inlineStr">
        <is>
          <t>annual.profit_distribution.item</t>
        </is>
      </c>
      <c r="C1246" t="inlineStr">
        <is>
          <t>engine_value</t>
        </is>
      </c>
    </row>
    <row r="1247">
      <c r="A1247" t="inlineStr">
        <is>
          <t>附表7!C18</t>
        </is>
      </c>
      <c r="B1247" t="inlineStr">
        <is>
          <t>annual.profit_distribution.total</t>
        </is>
      </c>
      <c r="C1247" t="inlineStr">
        <is>
          <t>engine_value</t>
        </is>
      </c>
    </row>
    <row r="1248">
      <c r="A1248" t="inlineStr">
        <is>
          <t>附表7!D18</t>
        </is>
      </c>
      <c r="B1248" t="inlineStr">
        <is>
          <t>annual.profit_distribution.period_1</t>
        </is>
      </c>
      <c r="C1248" t="inlineStr">
        <is>
          <t>engine_value</t>
        </is>
      </c>
    </row>
    <row r="1249">
      <c r="A1249" t="inlineStr">
        <is>
          <t>附表7!E18</t>
        </is>
      </c>
      <c r="B1249" t="inlineStr">
        <is>
          <t>annual.profit_distribution.period_2</t>
        </is>
      </c>
      <c r="C1249" t="inlineStr">
        <is>
          <t>engine_value</t>
        </is>
      </c>
    </row>
    <row r="1250">
      <c r="A1250" t="inlineStr">
        <is>
          <t>附表7!F18</t>
        </is>
      </c>
      <c r="B1250" t="inlineStr">
        <is>
          <t>annual.profit_distribution.period_3</t>
        </is>
      </c>
      <c r="C1250" t="inlineStr">
        <is>
          <t>engine_value</t>
        </is>
      </c>
    </row>
    <row r="1251">
      <c r="A1251" t="inlineStr">
        <is>
          <t>附表7!G18</t>
        </is>
      </c>
      <c r="B1251" t="inlineStr">
        <is>
          <t>annual.profit_distribution.period_4</t>
        </is>
      </c>
      <c r="C1251" t="inlineStr">
        <is>
          <t>engine_value</t>
        </is>
      </c>
    </row>
    <row r="1252">
      <c r="A1252" t="inlineStr">
        <is>
          <t>附表7!H18</t>
        </is>
      </c>
      <c r="B1252" t="inlineStr">
        <is>
          <t>annual.profit_distribution.period_5</t>
        </is>
      </c>
      <c r="C1252" t="inlineStr">
        <is>
          <t>engine_value</t>
        </is>
      </c>
    </row>
    <row r="1253">
      <c r="A1253" t="inlineStr">
        <is>
          <t>附表7!I18</t>
        </is>
      </c>
      <c r="B1253" t="inlineStr">
        <is>
          <t>annual.profit_distribution.period_6</t>
        </is>
      </c>
      <c r="C1253" t="inlineStr">
        <is>
          <t>engine_value</t>
        </is>
      </c>
    </row>
    <row r="1254">
      <c r="A1254" t="inlineStr">
        <is>
          <t>附表7!J18</t>
        </is>
      </c>
      <c r="B1254" t="inlineStr">
        <is>
          <t>annual.profit_distribution.period_7</t>
        </is>
      </c>
      <c r="C1254" t="inlineStr">
        <is>
          <t>engine_value</t>
        </is>
      </c>
    </row>
    <row r="1255">
      <c r="A1255" t="inlineStr">
        <is>
          <t>附表7!K18</t>
        </is>
      </c>
      <c r="B1255" t="inlineStr">
        <is>
          <t>annual.profit_distribution.period_8</t>
        </is>
      </c>
      <c r="C1255" t="inlineStr">
        <is>
          <t>engine_value</t>
        </is>
      </c>
    </row>
    <row r="1256">
      <c r="A1256" t="inlineStr">
        <is>
          <t>附表7!L18</t>
        </is>
      </c>
      <c r="B1256" t="inlineStr">
        <is>
          <t>annual.profit_distribution.period_9</t>
        </is>
      </c>
      <c r="C1256" t="inlineStr">
        <is>
          <t>engine_value</t>
        </is>
      </c>
    </row>
    <row r="1257">
      <c r="A1257" t="inlineStr">
        <is>
          <t>附表7!M18</t>
        </is>
      </c>
      <c r="B1257" t="inlineStr">
        <is>
          <t>annual.profit_distribution.period_10</t>
        </is>
      </c>
      <c r="C1257" t="inlineStr">
        <is>
          <t>engine_value</t>
        </is>
      </c>
    </row>
    <row r="1258">
      <c r="A1258" t="inlineStr">
        <is>
          <t>附表7!N18</t>
        </is>
      </c>
      <c r="B1258" t="inlineStr">
        <is>
          <t>annual.profit_distribution.period_11</t>
        </is>
      </c>
      <c r="C1258" t="inlineStr">
        <is>
          <t>engine_value</t>
        </is>
      </c>
    </row>
    <row r="1259">
      <c r="A1259" t="inlineStr">
        <is>
          <t>附表7!O18</t>
        </is>
      </c>
      <c r="B1259" t="inlineStr">
        <is>
          <t>annual.profit_distribution.period_12</t>
        </is>
      </c>
      <c r="C1259" t="inlineStr">
        <is>
          <t>engine_value</t>
        </is>
      </c>
    </row>
    <row r="1260">
      <c r="A1260" t="inlineStr">
        <is>
          <t>附表7!P18</t>
        </is>
      </c>
      <c r="B1260" t="inlineStr">
        <is>
          <t>annual.profit_distribution.period_13</t>
        </is>
      </c>
      <c r="C1260" t="inlineStr">
        <is>
          <t>engine_value</t>
        </is>
      </c>
    </row>
    <row r="1261">
      <c r="A1261" t="inlineStr">
        <is>
          <t>附表7!Q18</t>
        </is>
      </c>
      <c r="B1261" t="inlineStr">
        <is>
          <t>annual.profit_distribution.period_14</t>
        </is>
      </c>
      <c r="C1261" t="inlineStr">
        <is>
          <t>engine_value</t>
        </is>
      </c>
    </row>
    <row r="1262">
      <c r="A1262" t="inlineStr">
        <is>
          <t>附表7!R18</t>
        </is>
      </c>
      <c r="B1262" t="inlineStr">
        <is>
          <t>annual.profit_distribution.period_15</t>
        </is>
      </c>
      <c r="C1262" t="inlineStr">
        <is>
          <t>engine_value</t>
        </is>
      </c>
    </row>
    <row r="1263">
      <c r="A1263" t="inlineStr">
        <is>
          <t>附表7!S18</t>
        </is>
      </c>
      <c r="B1263" t="inlineStr">
        <is>
          <t>annual.profit_distribution.period_16</t>
        </is>
      </c>
      <c r="C1263" t="inlineStr">
        <is>
          <t>engine_value</t>
        </is>
      </c>
    </row>
    <row r="1264">
      <c r="A1264" t="inlineStr">
        <is>
          <t>附表7!T18</t>
        </is>
      </c>
      <c r="B1264" t="inlineStr">
        <is>
          <t>annual.profit_distribution.period_17</t>
        </is>
      </c>
      <c r="C1264" t="inlineStr">
        <is>
          <t>engine_value</t>
        </is>
      </c>
    </row>
    <row r="1265">
      <c r="A1265" t="inlineStr">
        <is>
          <t>附表7!U18</t>
        </is>
      </c>
      <c r="B1265" t="inlineStr">
        <is>
          <t>annual.profit_distribution.period_18</t>
        </is>
      </c>
      <c r="C1265" t="inlineStr">
        <is>
          <t>engine_value</t>
        </is>
      </c>
    </row>
    <row r="1266">
      <c r="A1266" t="inlineStr">
        <is>
          <t>附表7!V18</t>
        </is>
      </c>
      <c r="B1266" t="inlineStr">
        <is>
          <t>annual.profit_distribution.period_19</t>
        </is>
      </c>
      <c r="C1266" t="inlineStr">
        <is>
          <t>engine_value</t>
        </is>
      </c>
    </row>
    <row r="1267">
      <c r="A1267" t="inlineStr">
        <is>
          <t>附表7!W18</t>
        </is>
      </c>
      <c r="B1267" t="inlineStr">
        <is>
          <t>annual.profit_distribution.period_20</t>
        </is>
      </c>
      <c r="C1267" t="inlineStr">
        <is>
          <t>engine_value</t>
        </is>
      </c>
    </row>
    <row r="1268">
      <c r="A1268" t="inlineStr">
        <is>
          <t>附表7!X18</t>
        </is>
      </c>
      <c r="B1268" t="inlineStr">
        <is>
          <t>annual.profit_distribution.period_21</t>
        </is>
      </c>
      <c r="C1268" t="inlineStr">
        <is>
          <t>engine_value</t>
        </is>
      </c>
    </row>
    <row r="1269">
      <c r="A1269" t="inlineStr">
        <is>
          <t>附表7!Y18</t>
        </is>
      </c>
      <c r="B1269" t="inlineStr">
        <is>
          <t>annual.profit_distribution.period_22</t>
        </is>
      </c>
      <c r="C1269" t="inlineStr">
        <is>
          <t>engine_value</t>
        </is>
      </c>
    </row>
    <row r="1270">
      <c r="A1270" t="inlineStr">
        <is>
          <t>附表7!Z18</t>
        </is>
      </c>
      <c r="B1270" t="inlineStr">
        <is>
          <t>annual.profit_distribution.period_23</t>
        </is>
      </c>
      <c r="C1270" t="inlineStr">
        <is>
          <t>engine_value</t>
        </is>
      </c>
    </row>
    <row r="1271">
      <c r="A1271" t="inlineStr">
        <is>
          <t>附表7!AA18</t>
        </is>
      </c>
      <c r="B1271" t="inlineStr">
        <is>
          <t>annual.profit_distribution.period_24</t>
        </is>
      </c>
      <c r="C1271" t="inlineStr">
        <is>
          <t>engine_value</t>
        </is>
      </c>
    </row>
    <row r="1272">
      <c r="A1272" t="inlineStr">
        <is>
          <t>附表7!A19</t>
        </is>
      </c>
      <c r="B1272" t="inlineStr">
        <is>
          <t>annual.profit_distribution.no</t>
        </is>
      </c>
      <c r="C1272" t="inlineStr">
        <is>
          <t>engine_value</t>
        </is>
      </c>
    </row>
    <row r="1273">
      <c r="A1273" t="inlineStr">
        <is>
          <t>附表7!B19</t>
        </is>
      </c>
      <c r="B1273" t="inlineStr">
        <is>
          <t>annual.profit_distribution.item</t>
        </is>
      </c>
      <c r="C1273" t="inlineStr">
        <is>
          <t>engine_value</t>
        </is>
      </c>
    </row>
    <row r="1274">
      <c r="A1274" t="inlineStr">
        <is>
          <t>附表7!C19</t>
        </is>
      </c>
      <c r="B1274" t="inlineStr">
        <is>
          <t>annual.profit_distribution.total</t>
        </is>
      </c>
      <c r="C1274" t="inlineStr">
        <is>
          <t>engine_value</t>
        </is>
      </c>
    </row>
    <row r="1275">
      <c r="A1275" t="inlineStr">
        <is>
          <t>附表7!D19</t>
        </is>
      </c>
      <c r="B1275" t="inlineStr">
        <is>
          <t>annual.profit_distribution.period_1</t>
        </is>
      </c>
      <c r="C1275" t="inlineStr">
        <is>
          <t>engine_value</t>
        </is>
      </c>
    </row>
    <row r="1276">
      <c r="A1276" t="inlineStr">
        <is>
          <t>附表7!E19</t>
        </is>
      </c>
      <c r="B1276" t="inlineStr">
        <is>
          <t>annual.profit_distribution.period_2</t>
        </is>
      </c>
      <c r="C1276" t="inlineStr">
        <is>
          <t>engine_value</t>
        </is>
      </c>
    </row>
    <row r="1277">
      <c r="A1277" t="inlineStr">
        <is>
          <t>附表7!F19</t>
        </is>
      </c>
      <c r="B1277" t="inlineStr">
        <is>
          <t>annual.profit_distribution.period_3</t>
        </is>
      </c>
      <c r="C1277" t="inlineStr">
        <is>
          <t>engine_value</t>
        </is>
      </c>
    </row>
    <row r="1278">
      <c r="A1278" t="inlineStr">
        <is>
          <t>附表7!G19</t>
        </is>
      </c>
      <c r="B1278" t="inlineStr">
        <is>
          <t>annual.profit_distribution.period_4</t>
        </is>
      </c>
      <c r="C1278" t="inlineStr">
        <is>
          <t>engine_value</t>
        </is>
      </c>
    </row>
    <row r="1279">
      <c r="A1279" t="inlineStr">
        <is>
          <t>附表7!H19</t>
        </is>
      </c>
      <c r="B1279" t="inlineStr">
        <is>
          <t>annual.profit_distribution.period_5</t>
        </is>
      </c>
      <c r="C1279" t="inlineStr">
        <is>
          <t>engine_value</t>
        </is>
      </c>
    </row>
    <row r="1280">
      <c r="A1280" t="inlineStr">
        <is>
          <t>附表7!I19</t>
        </is>
      </c>
      <c r="B1280" t="inlineStr">
        <is>
          <t>annual.profit_distribution.period_6</t>
        </is>
      </c>
      <c r="C1280" t="inlineStr">
        <is>
          <t>engine_value</t>
        </is>
      </c>
    </row>
    <row r="1281">
      <c r="A1281" t="inlineStr">
        <is>
          <t>附表7!J19</t>
        </is>
      </c>
      <c r="B1281" t="inlineStr">
        <is>
          <t>annual.profit_distribution.period_7</t>
        </is>
      </c>
      <c r="C1281" t="inlineStr">
        <is>
          <t>engine_value</t>
        </is>
      </c>
    </row>
    <row r="1282">
      <c r="A1282" t="inlineStr">
        <is>
          <t>附表7!K19</t>
        </is>
      </c>
      <c r="B1282" t="inlineStr">
        <is>
          <t>annual.profit_distribution.period_8</t>
        </is>
      </c>
      <c r="C1282" t="inlineStr">
        <is>
          <t>engine_value</t>
        </is>
      </c>
    </row>
    <row r="1283">
      <c r="A1283" t="inlineStr">
        <is>
          <t>附表7!L19</t>
        </is>
      </c>
      <c r="B1283" t="inlineStr">
        <is>
          <t>annual.profit_distribution.period_9</t>
        </is>
      </c>
      <c r="C1283" t="inlineStr">
        <is>
          <t>engine_value</t>
        </is>
      </c>
    </row>
    <row r="1284">
      <c r="A1284" t="inlineStr">
        <is>
          <t>附表7!M19</t>
        </is>
      </c>
      <c r="B1284" t="inlineStr">
        <is>
          <t>annual.profit_distribution.period_10</t>
        </is>
      </c>
      <c r="C1284" t="inlineStr">
        <is>
          <t>engine_value</t>
        </is>
      </c>
    </row>
    <row r="1285">
      <c r="A1285" t="inlineStr">
        <is>
          <t>附表7!N19</t>
        </is>
      </c>
      <c r="B1285" t="inlineStr">
        <is>
          <t>annual.profit_distribution.period_11</t>
        </is>
      </c>
      <c r="C1285" t="inlineStr">
        <is>
          <t>engine_value</t>
        </is>
      </c>
    </row>
    <row r="1286">
      <c r="A1286" t="inlineStr">
        <is>
          <t>附表7!O19</t>
        </is>
      </c>
      <c r="B1286" t="inlineStr">
        <is>
          <t>annual.profit_distribution.period_12</t>
        </is>
      </c>
      <c r="C1286" t="inlineStr">
        <is>
          <t>engine_value</t>
        </is>
      </c>
    </row>
    <row r="1287">
      <c r="A1287" t="inlineStr">
        <is>
          <t>附表7!P19</t>
        </is>
      </c>
      <c r="B1287" t="inlineStr">
        <is>
          <t>annual.profit_distribution.period_13</t>
        </is>
      </c>
      <c r="C1287" t="inlineStr">
        <is>
          <t>engine_value</t>
        </is>
      </c>
    </row>
    <row r="1288">
      <c r="A1288" t="inlineStr">
        <is>
          <t>附表7!Q19</t>
        </is>
      </c>
      <c r="B1288" t="inlineStr">
        <is>
          <t>annual.profit_distribution.period_14</t>
        </is>
      </c>
      <c r="C1288" t="inlineStr">
        <is>
          <t>engine_value</t>
        </is>
      </c>
    </row>
    <row r="1289">
      <c r="A1289" t="inlineStr">
        <is>
          <t>附表7!R19</t>
        </is>
      </c>
      <c r="B1289" t="inlineStr">
        <is>
          <t>annual.profit_distribution.period_15</t>
        </is>
      </c>
      <c r="C1289" t="inlineStr">
        <is>
          <t>engine_value</t>
        </is>
      </c>
    </row>
    <row r="1290">
      <c r="A1290" t="inlineStr">
        <is>
          <t>附表7!S19</t>
        </is>
      </c>
      <c r="B1290" t="inlineStr">
        <is>
          <t>annual.profit_distribution.period_16</t>
        </is>
      </c>
      <c r="C1290" t="inlineStr">
        <is>
          <t>engine_value</t>
        </is>
      </c>
    </row>
    <row r="1291">
      <c r="A1291" t="inlineStr">
        <is>
          <t>附表7!T19</t>
        </is>
      </c>
      <c r="B1291" t="inlineStr">
        <is>
          <t>annual.profit_distribution.period_17</t>
        </is>
      </c>
      <c r="C1291" t="inlineStr">
        <is>
          <t>engine_value</t>
        </is>
      </c>
    </row>
    <row r="1292">
      <c r="A1292" t="inlineStr">
        <is>
          <t>附表7!U19</t>
        </is>
      </c>
      <c r="B1292" t="inlineStr">
        <is>
          <t>annual.profit_distribution.period_18</t>
        </is>
      </c>
      <c r="C1292" t="inlineStr">
        <is>
          <t>engine_value</t>
        </is>
      </c>
    </row>
    <row r="1293">
      <c r="A1293" t="inlineStr">
        <is>
          <t>附表7!V19</t>
        </is>
      </c>
      <c r="B1293" t="inlineStr">
        <is>
          <t>annual.profit_distribution.period_19</t>
        </is>
      </c>
      <c r="C1293" t="inlineStr">
        <is>
          <t>engine_value</t>
        </is>
      </c>
    </row>
    <row r="1294">
      <c r="A1294" t="inlineStr">
        <is>
          <t>附表7!W19</t>
        </is>
      </c>
      <c r="B1294" t="inlineStr">
        <is>
          <t>annual.profit_distribution.period_20</t>
        </is>
      </c>
      <c r="C1294" t="inlineStr">
        <is>
          <t>engine_value</t>
        </is>
      </c>
    </row>
    <row r="1295">
      <c r="A1295" t="inlineStr">
        <is>
          <t>附表7!X19</t>
        </is>
      </c>
      <c r="B1295" t="inlineStr">
        <is>
          <t>annual.profit_distribution.period_21</t>
        </is>
      </c>
      <c r="C1295" t="inlineStr">
        <is>
          <t>engine_value</t>
        </is>
      </c>
    </row>
    <row r="1296">
      <c r="A1296" t="inlineStr">
        <is>
          <t>附表7!Y19</t>
        </is>
      </c>
      <c r="B1296" t="inlineStr">
        <is>
          <t>annual.profit_distribution.period_22</t>
        </is>
      </c>
      <c r="C1296" t="inlineStr">
        <is>
          <t>engine_value</t>
        </is>
      </c>
    </row>
    <row r="1297">
      <c r="A1297" t="inlineStr">
        <is>
          <t>附表7!Z19</t>
        </is>
      </c>
      <c r="B1297" t="inlineStr">
        <is>
          <t>annual.profit_distribution.period_23</t>
        </is>
      </c>
      <c r="C1297" t="inlineStr">
        <is>
          <t>engine_value</t>
        </is>
      </c>
    </row>
    <row r="1298">
      <c r="A1298" t="inlineStr">
        <is>
          <t>附表7!AA19</t>
        </is>
      </c>
      <c r="B1298" t="inlineStr">
        <is>
          <t>annual.profit_distribution.period_24</t>
        </is>
      </c>
      <c r="C1298" t="inlineStr">
        <is>
          <t>engine_value</t>
        </is>
      </c>
    </row>
    <row r="1299">
      <c r="A1299" t="inlineStr">
        <is>
          <t>附表7!A20</t>
        </is>
      </c>
      <c r="B1299" t="inlineStr">
        <is>
          <t>annual.profit_distribution.no</t>
        </is>
      </c>
      <c r="C1299" t="inlineStr">
        <is>
          <t>engine_value</t>
        </is>
      </c>
    </row>
    <row r="1300">
      <c r="A1300" t="inlineStr">
        <is>
          <t>附表7!B20</t>
        </is>
      </c>
      <c r="B1300" t="inlineStr">
        <is>
          <t>annual.profit_distribution.item</t>
        </is>
      </c>
      <c r="C1300" t="inlineStr">
        <is>
          <t>engine_value</t>
        </is>
      </c>
    </row>
    <row r="1301">
      <c r="A1301" t="inlineStr">
        <is>
          <t>附表7!C20</t>
        </is>
      </c>
      <c r="B1301" t="inlineStr">
        <is>
          <t>annual.profit_distribution.total</t>
        </is>
      </c>
      <c r="C1301" t="inlineStr">
        <is>
          <t>engine_value</t>
        </is>
      </c>
    </row>
    <row r="1302">
      <c r="A1302" t="inlineStr">
        <is>
          <t>附表7!D20</t>
        </is>
      </c>
      <c r="B1302" t="inlineStr">
        <is>
          <t>annual.profit_distribution.period_1</t>
        </is>
      </c>
      <c r="C1302" t="inlineStr">
        <is>
          <t>engine_value</t>
        </is>
      </c>
    </row>
    <row r="1303">
      <c r="A1303" t="inlineStr">
        <is>
          <t>附表7!E20</t>
        </is>
      </c>
      <c r="B1303" t="inlineStr">
        <is>
          <t>annual.profit_distribution.period_2</t>
        </is>
      </c>
      <c r="C1303" t="inlineStr">
        <is>
          <t>engine_value</t>
        </is>
      </c>
    </row>
    <row r="1304">
      <c r="A1304" t="inlineStr">
        <is>
          <t>附表7!F20</t>
        </is>
      </c>
      <c r="B1304" t="inlineStr">
        <is>
          <t>annual.profit_distribution.period_3</t>
        </is>
      </c>
      <c r="C1304" t="inlineStr">
        <is>
          <t>engine_value</t>
        </is>
      </c>
    </row>
    <row r="1305">
      <c r="A1305" t="inlineStr">
        <is>
          <t>附表7!G20</t>
        </is>
      </c>
      <c r="B1305" t="inlineStr">
        <is>
          <t>annual.profit_distribution.period_4</t>
        </is>
      </c>
      <c r="C1305" t="inlineStr">
        <is>
          <t>engine_value</t>
        </is>
      </c>
    </row>
    <row r="1306">
      <c r="A1306" t="inlineStr">
        <is>
          <t>附表7!H20</t>
        </is>
      </c>
      <c r="B1306" t="inlineStr">
        <is>
          <t>annual.profit_distribution.period_5</t>
        </is>
      </c>
      <c r="C1306" t="inlineStr">
        <is>
          <t>engine_value</t>
        </is>
      </c>
    </row>
    <row r="1307">
      <c r="A1307" t="inlineStr">
        <is>
          <t>附表7!I20</t>
        </is>
      </c>
      <c r="B1307" t="inlineStr">
        <is>
          <t>annual.profit_distribution.period_6</t>
        </is>
      </c>
      <c r="C1307" t="inlineStr">
        <is>
          <t>engine_value</t>
        </is>
      </c>
    </row>
    <row r="1308">
      <c r="A1308" t="inlineStr">
        <is>
          <t>附表7!J20</t>
        </is>
      </c>
      <c r="B1308" t="inlineStr">
        <is>
          <t>annual.profit_distribution.period_7</t>
        </is>
      </c>
      <c r="C1308" t="inlineStr">
        <is>
          <t>engine_value</t>
        </is>
      </c>
    </row>
    <row r="1309">
      <c r="A1309" t="inlineStr">
        <is>
          <t>附表7!K20</t>
        </is>
      </c>
      <c r="B1309" t="inlineStr">
        <is>
          <t>annual.profit_distribution.period_8</t>
        </is>
      </c>
      <c r="C1309" t="inlineStr">
        <is>
          <t>engine_value</t>
        </is>
      </c>
    </row>
    <row r="1310">
      <c r="A1310" t="inlineStr">
        <is>
          <t>附表7!L20</t>
        </is>
      </c>
      <c r="B1310" t="inlineStr">
        <is>
          <t>annual.profit_distribution.period_9</t>
        </is>
      </c>
      <c r="C1310" t="inlineStr">
        <is>
          <t>engine_value</t>
        </is>
      </c>
    </row>
    <row r="1311">
      <c r="A1311" t="inlineStr">
        <is>
          <t>附表7!M20</t>
        </is>
      </c>
      <c r="B1311" t="inlineStr">
        <is>
          <t>annual.profit_distribution.period_10</t>
        </is>
      </c>
      <c r="C1311" t="inlineStr">
        <is>
          <t>engine_value</t>
        </is>
      </c>
    </row>
    <row r="1312">
      <c r="A1312" t="inlineStr">
        <is>
          <t>附表7!N20</t>
        </is>
      </c>
      <c r="B1312" t="inlineStr">
        <is>
          <t>annual.profit_distribution.period_11</t>
        </is>
      </c>
      <c r="C1312" t="inlineStr">
        <is>
          <t>engine_value</t>
        </is>
      </c>
    </row>
    <row r="1313">
      <c r="A1313" t="inlineStr">
        <is>
          <t>附表7!O20</t>
        </is>
      </c>
      <c r="B1313" t="inlineStr">
        <is>
          <t>annual.profit_distribution.period_12</t>
        </is>
      </c>
      <c r="C1313" t="inlineStr">
        <is>
          <t>engine_value</t>
        </is>
      </c>
    </row>
    <row r="1314">
      <c r="A1314" t="inlineStr">
        <is>
          <t>附表7!P20</t>
        </is>
      </c>
      <c r="B1314" t="inlineStr">
        <is>
          <t>annual.profit_distribution.period_13</t>
        </is>
      </c>
      <c r="C1314" t="inlineStr">
        <is>
          <t>engine_value</t>
        </is>
      </c>
    </row>
    <row r="1315">
      <c r="A1315" t="inlineStr">
        <is>
          <t>附表7!Q20</t>
        </is>
      </c>
      <c r="B1315" t="inlineStr">
        <is>
          <t>annual.profit_distribution.period_14</t>
        </is>
      </c>
      <c r="C1315" t="inlineStr">
        <is>
          <t>engine_value</t>
        </is>
      </c>
    </row>
    <row r="1316">
      <c r="A1316" t="inlineStr">
        <is>
          <t>附表7!R20</t>
        </is>
      </c>
      <c r="B1316" t="inlineStr">
        <is>
          <t>annual.profit_distribution.period_15</t>
        </is>
      </c>
      <c r="C1316" t="inlineStr">
        <is>
          <t>engine_value</t>
        </is>
      </c>
    </row>
    <row r="1317">
      <c r="A1317" t="inlineStr">
        <is>
          <t>附表7!S20</t>
        </is>
      </c>
      <c r="B1317" t="inlineStr">
        <is>
          <t>annual.profit_distribution.period_16</t>
        </is>
      </c>
      <c r="C1317" t="inlineStr">
        <is>
          <t>engine_value</t>
        </is>
      </c>
    </row>
    <row r="1318">
      <c r="A1318" t="inlineStr">
        <is>
          <t>附表7!T20</t>
        </is>
      </c>
      <c r="B1318" t="inlineStr">
        <is>
          <t>annual.profit_distribution.period_17</t>
        </is>
      </c>
      <c r="C1318" t="inlineStr">
        <is>
          <t>engine_value</t>
        </is>
      </c>
    </row>
    <row r="1319">
      <c r="A1319" t="inlineStr">
        <is>
          <t>附表7!U20</t>
        </is>
      </c>
      <c r="B1319" t="inlineStr">
        <is>
          <t>annual.profit_distribution.period_18</t>
        </is>
      </c>
      <c r="C1319" t="inlineStr">
        <is>
          <t>engine_value</t>
        </is>
      </c>
    </row>
    <row r="1320">
      <c r="A1320" t="inlineStr">
        <is>
          <t>附表7!V20</t>
        </is>
      </c>
      <c r="B1320" t="inlineStr">
        <is>
          <t>annual.profit_distribution.period_19</t>
        </is>
      </c>
      <c r="C1320" t="inlineStr">
        <is>
          <t>engine_value</t>
        </is>
      </c>
    </row>
    <row r="1321">
      <c r="A1321" t="inlineStr">
        <is>
          <t>附表7!W20</t>
        </is>
      </c>
      <c r="B1321" t="inlineStr">
        <is>
          <t>annual.profit_distribution.period_20</t>
        </is>
      </c>
      <c r="C1321" t="inlineStr">
        <is>
          <t>engine_value</t>
        </is>
      </c>
    </row>
    <row r="1322">
      <c r="A1322" t="inlineStr">
        <is>
          <t>附表7!X20</t>
        </is>
      </c>
      <c r="B1322" t="inlineStr">
        <is>
          <t>annual.profit_distribution.period_21</t>
        </is>
      </c>
      <c r="C1322" t="inlineStr">
        <is>
          <t>engine_value</t>
        </is>
      </c>
    </row>
    <row r="1323">
      <c r="A1323" t="inlineStr">
        <is>
          <t>附表7!Y20</t>
        </is>
      </c>
      <c r="B1323" t="inlineStr">
        <is>
          <t>annual.profit_distribution.period_22</t>
        </is>
      </c>
      <c r="C1323" t="inlineStr">
        <is>
          <t>engine_value</t>
        </is>
      </c>
    </row>
    <row r="1324">
      <c r="A1324" t="inlineStr">
        <is>
          <t>附表7!Z20</t>
        </is>
      </c>
      <c r="B1324" t="inlineStr">
        <is>
          <t>annual.profit_distribution.period_23</t>
        </is>
      </c>
      <c r="C1324" t="inlineStr">
        <is>
          <t>engine_value</t>
        </is>
      </c>
    </row>
    <row r="1325">
      <c r="A1325" t="inlineStr">
        <is>
          <t>附表7!AA20</t>
        </is>
      </c>
      <c r="B1325" t="inlineStr">
        <is>
          <t>annual.profit_distribution.period_24</t>
        </is>
      </c>
      <c r="C1325" t="inlineStr">
        <is>
          <t>engine_value</t>
        </is>
      </c>
    </row>
    <row r="1326">
      <c r="A1326" t="inlineStr">
        <is>
          <t>附表8!A4</t>
        </is>
      </c>
      <c r="B1326" t="inlineStr">
        <is>
          <t>annual.debt_service+finance_fact_pack.debt_schedule.no</t>
        </is>
      </c>
      <c r="C1326" t="inlineStr">
        <is>
          <t>engine_value</t>
        </is>
      </c>
    </row>
    <row r="1327">
      <c r="A1327" t="inlineStr">
        <is>
          <t>附表8!B4</t>
        </is>
      </c>
      <c r="B1327" t="inlineStr">
        <is>
          <t>annual.debt_service+finance_fact_pack.debt_schedule.item</t>
        </is>
      </c>
      <c r="C1327" t="inlineStr">
        <is>
          <t>engine_value</t>
        </is>
      </c>
    </row>
    <row r="1328">
      <c r="A1328" t="inlineStr">
        <is>
          <t>附表8!C4</t>
        </is>
      </c>
      <c r="B1328" t="inlineStr">
        <is>
          <t>annual.debt_service+finance_fact_pack.debt_schedule.total</t>
        </is>
      </c>
      <c r="C1328" t="inlineStr">
        <is>
          <t>engine_value</t>
        </is>
      </c>
    </row>
    <row r="1329">
      <c r="A1329" t="inlineStr">
        <is>
          <t>附表8!D4</t>
        </is>
      </c>
      <c r="B1329" t="inlineStr">
        <is>
          <t>annual.debt_service+finance_fact_pack.debt_schedule.period_1</t>
        </is>
      </c>
      <c r="C1329" t="inlineStr">
        <is>
          <t>engine_value</t>
        </is>
      </c>
    </row>
    <row r="1330">
      <c r="A1330" t="inlineStr">
        <is>
          <t>附表8!E4</t>
        </is>
      </c>
      <c r="B1330" t="inlineStr">
        <is>
          <t>annual.debt_service+finance_fact_pack.debt_schedule.period_2</t>
        </is>
      </c>
      <c r="C1330" t="inlineStr">
        <is>
          <t>engine_value</t>
        </is>
      </c>
    </row>
    <row r="1331">
      <c r="A1331" t="inlineStr">
        <is>
          <t>附表8!F4</t>
        </is>
      </c>
      <c r="B1331" t="inlineStr">
        <is>
          <t>annual.debt_service+finance_fact_pack.debt_schedule.period_3</t>
        </is>
      </c>
      <c r="C1331" t="inlineStr">
        <is>
          <t>engine_value</t>
        </is>
      </c>
    </row>
    <row r="1332">
      <c r="A1332" t="inlineStr">
        <is>
          <t>附表8!G4</t>
        </is>
      </c>
      <c r="B1332" t="inlineStr">
        <is>
          <t>annual.debt_service+finance_fact_pack.debt_schedule.period_4</t>
        </is>
      </c>
      <c r="C1332" t="inlineStr">
        <is>
          <t>engine_value</t>
        </is>
      </c>
    </row>
    <row r="1333">
      <c r="A1333" t="inlineStr">
        <is>
          <t>附表8!H4</t>
        </is>
      </c>
      <c r="B1333" t="inlineStr">
        <is>
          <t>annual.debt_service+finance_fact_pack.debt_schedule.period_5</t>
        </is>
      </c>
      <c r="C1333" t="inlineStr">
        <is>
          <t>engine_value</t>
        </is>
      </c>
    </row>
    <row r="1334">
      <c r="A1334" t="inlineStr">
        <is>
          <t>附表8!I4</t>
        </is>
      </c>
      <c r="B1334" t="inlineStr">
        <is>
          <t>annual.debt_service+finance_fact_pack.debt_schedule.period_6</t>
        </is>
      </c>
      <c r="C1334" t="inlineStr">
        <is>
          <t>engine_value</t>
        </is>
      </c>
    </row>
    <row r="1335">
      <c r="A1335" t="inlineStr">
        <is>
          <t>附表8!J4</t>
        </is>
      </c>
      <c r="B1335" t="inlineStr">
        <is>
          <t>annual.debt_service+finance_fact_pack.debt_schedule.period_7</t>
        </is>
      </c>
      <c r="C1335" t="inlineStr">
        <is>
          <t>engine_value</t>
        </is>
      </c>
    </row>
    <row r="1336">
      <c r="A1336" t="inlineStr">
        <is>
          <t>附表8!K4</t>
        </is>
      </c>
      <c r="B1336" t="inlineStr">
        <is>
          <t>annual.debt_service+finance_fact_pack.debt_schedule.period_8</t>
        </is>
      </c>
      <c r="C1336" t="inlineStr">
        <is>
          <t>engine_value</t>
        </is>
      </c>
    </row>
    <row r="1337">
      <c r="A1337" t="inlineStr">
        <is>
          <t>附表8!L4</t>
        </is>
      </c>
      <c r="B1337" t="inlineStr">
        <is>
          <t>annual.debt_service+finance_fact_pack.debt_schedule.period_9</t>
        </is>
      </c>
      <c r="C1337" t="inlineStr">
        <is>
          <t>engine_value</t>
        </is>
      </c>
    </row>
    <row r="1338">
      <c r="A1338" t="inlineStr">
        <is>
          <t>附表8!M4</t>
        </is>
      </c>
      <c r="B1338" t="inlineStr">
        <is>
          <t>annual.debt_service+finance_fact_pack.debt_schedule.period_10</t>
        </is>
      </c>
      <c r="C1338" t="inlineStr">
        <is>
          <t>engine_value</t>
        </is>
      </c>
    </row>
    <row r="1339">
      <c r="A1339" t="inlineStr">
        <is>
          <t>附表8!N4</t>
        </is>
      </c>
      <c r="B1339" t="inlineStr">
        <is>
          <t>annual.debt_service+finance_fact_pack.debt_schedule.period_11</t>
        </is>
      </c>
      <c r="C1339" t="inlineStr">
        <is>
          <t>engine_value</t>
        </is>
      </c>
    </row>
    <row r="1340">
      <c r="A1340" t="inlineStr">
        <is>
          <t>附表8!O4</t>
        </is>
      </c>
      <c r="B1340" t="inlineStr">
        <is>
          <t>annual.debt_service+finance_fact_pack.debt_schedule.period_12</t>
        </is>
      </c>
      <c r="C1340" t="inlineStr">
        <is>
          <t>engine_value</t>
        </is>
      </c>
    </row>
    <row r="1341">
      <c r="A1341" t="inlineStr">
        <is>
          <t>附表8!P4</t>
        </is>
      </c>
      <c r="B1341" t="inlineStr">
        <is>
          <t>annual.debt_service+finance_fact_pack.debt_schedule.period_13</t>
        </is>
      </c>
      <c r="C1341" t="inlineStr">
        <is>
          <t>engine_value</t>
        </is>
      </c>
    </row>
    <row r="1342">
      <c r="A1342" t="inlineStr">
        <is>
          <t>附表8!Q4</t>
        </is>
      </c>
      <c r="B1342" t="inlineStr">
        <is>
          <t>annual.debt_service+finance_fact_pack.debt_schedule.period_14</t>
        </is>
      </c>
      <c r="C1342" t="inlineStr">
        <is>
          <t>engine_value</t>
        </is>
      </c>
    </row>
    <row r="1343">
      <c r="A1343" t="inlineStr">
        <is>
          <t>附表8!R4</t>
        </is>
      </c>
      <c r="B1343" t="inlineStr">
        <is>
          <t>annual.debt_service+finance_fact_pack.debt_schedule.period_15</t>
        </is>
      </c>
      <c r="C1343" t="inlineStr">
        <is>
          <t>engine_value</t>
        </is>
      </c>
    </row>
    <row r="1344">
      <c r="A1344" t="inlineStr">
        <is>
          <t>附表8!S4</t>
        </is>
      </c>
      <c r="B1344" t="inlineStr">
        <is>
          <t>annual.debt_service+finance_fact_pack.debt_schedule.period_16</t>
        </is>
      </c>
      <c r="C1344" t="inlineStr">
        <is>
          <t>engine_value</t>
        </is>
      </c>
    </row>
    <row r="1345">
      <c r="A1345" t="inlineStr">
        <is>
          <t>附表8!T4</t>
        </is>
      </c>
      <c r="B1345" t="inlineStr">
        <is>
          <t>annual.debt_service+finance_fact_pack.debt_schedule.period_17</t>
        </is>
      </c>
      <c r="C1345" t="inlineStr">
        <is>
          <t>engine_value</t>
        </is>
      </c>
    </row>
    <row r="1346">
      <c r="A1346" t="inlineStr">
        <is>
          <t>附表8!U4</t>
        </is>
      </c>
      <c r="B1346" t="inlineStr">
        <is>
          <t>annual.debt_service+finance_fact_pack.debt_schedule.period_18</t>
        </is>
      </c>
      <c r="C1346" t="inlineStr">
        <is>
          <t>engine_value</t>
        </is>
      </c>
    </row>
    <row r="1347">
      <c r="A1347" t="inlineStr">
        <is>
          <t>附表8!V4</t>
        </is>
      </c>
      <c r="B1347" t="inlineStr">
        <is>
          <t>annual.debt_service+finance_fact_pack.debt_schedule.period_19</t>
        </is>
      </c>
      <c r="C1347" t="inlineStr">
        <is>
          <t>engine_value</t>
        </is>
      </c>
    </row>
    <row r="1348">
      <c r="A1348" t="inlineStr">
        <is>
          <t>附表8!W4</t>
        </is>
      </c>
      <c r="B1348" t="inlineStr">
        <is>
          <t>annual.debt_service+finance_fact_pack.debt_schedule.period_20</t>
        </is>
      </c>
      <c r="C1348" t="inlineStr">
        <is>
          <t>engine_value</t>
        </is>
      </c>
    </row>
    <row r="1349">
      <c r="A1349" t="inlineStr">
        <is>
          <t>附表8!X4</t>
        </is>
      </c>
      <c r="B1349" t="inlineStr">
        <is>
          <t>annual.debt_service+finance_fact_pack.debt_schedule.period_21</t>
        </is>
      </c>
      <c r="C1349" t="inlineStr">
        <is>
          <t>engine_value</t>
        </is>
      </c>
    </row>
    <row r="1350">
      <c r="A1350" t="inlineStr">
        <is>
          <t>附表8!Y4</t>
        </is>
      </c>
      <c r="B1350" t="inlineStr">
        <is>
          <t>annual.debt_service+finance_fact_pack.debt_schedule.period_22</t>
        </is>
      </c>
      <c r="C1350" t="inlineStr">
        <is>
          <t>engine_value</t>
        </is>
      </c>
    </row>
    <row r="1351">
      <c r="A1351" t="inlineStr">
        <is>
          <t>附表8!Z4</t>
        </is>
      </c>
      <c r="B1351" t="inlineStr">
        <is>
          <t>annual.debt_service+finance_fact_pack.debt_schedule.period_23</t>
        </is>
      </c>
      <c r="C1351" t="inlineStr">
        <is>
          <t>engine_value</t>
        </is>
      </c>
    </row>
    <row r="1352">
      <c r="A1352" t="inlineStr">
        <is>
          <t>附表8!AA4</t>
        </is>
      </c>
      <c r="B1352" t="inlineStr">
        <is>
          <t>annual.debt_service+finance_fact_pack.debt_schedule.period_24</t>
        </is>
      </c>
      <c r="C1352" t="inlineStr">
        <is>
          <t>engine_value</t>
        </is>
      </c>
    </row>
    <row r="1353">
      <c r="A1353" t="inlineStr">
        <is>
          <t>附表8!A5</t>
        </is>
      </c>
      <c r="B1353" t="inlineStr">
        <is>
          <t>annual.debt_service+finance_fact_pack.debt_schedule.no</t>
        </is>
      </c>
      <c r="C1353" t="inlineStr">
        <is>
          <t>engine_value</t>
        </is>
      </c>
    </row>
    <row r="1354">
      <c r="A1354" t="inlineStr">
        <is>
          <t>附表8!B5</t>
        </is>
      </c>
      <c r="B1354" t="inlineStr">
        <is>
          <t>annual.debt_service+finance_fact_pack.debt_schedule.item</t>
        </is>
      </c>
      <c r="C1354" t="inlineStr">
        <is>
          <t>engine_value</t>
        </is>
      </c>
    </row>
    <row r="1355">
      <c r="A1355" t="inlineStr">
        <is>
          <t>附表8!C5</t>
        </is>
      </c>
      <c r="B1355" t="inlineStr">
        <is>
          <t>annual.debt_service+finance_fact_pack.debt_schedule.total</t>
        </is>
      </c>
      <c r="C1355" t="inlineStr">
        <is>
          <t>engine_value</t>
        </is>
      </c>
    </row>
    <row r="1356">
      <c r="A1356" t="inlineStr">
        <is>
          <t>附表8!D5</t>
        </is>
      </c>
      <c r="B1356" t="inlineStr">
        <is>
          <t>annual.debt_service+finance_fact_pack.debt_schedule.period_1</t>
        </is>
      </c>
      <c r="C1356" t="inlineStr">
        <is>
          <t>engine_value</t>
        </is>
      </c>
    </row>
    <row r="1357">
      <c r="A1357" t="inlineStr">
        <is>
          <t>附表8!E5</t>
        </is>
      </c>
      <c r="B1357" t="inlineStr">
        <is>
          <t>annual.debt_service+finance_fact_pack.debt_schedule.period_2</t>
        </is>
      </c>
      <c r="C1357" t="inlineStr">
        <is>
          <t>engine_value</t>
        </is>
      </c>
    </row>
    <row r="1358">
      <c r="A1358" t="inlineStr">
        <is>
          <t>附表8!F5</t>
        </is>
      </c>
      <c r="B1358" t="inlineStr">
        <is>
          <t>annual.debt_service+finance_fact_pack.debt_schedule.period_3</t>
        </is>
      </c>
      <c r="C1358" t="inlineStr">
        <is>
          <t>engine_value</t>
        </is>
      </c>
    </row>
    <row r="1359">
      <c r="A1359" t="inlineStr">
        <is>
          <t>附表8!G5</t>
        </is>
      </c>
      <c r="B1359" t="inlineStr">
        <is>
          <t>annual.debt_service+finance_fact_pack.debt_schedule.period_4</t>
        </is>
      </c>
      <c r="C1359" t="inlineStr">
        <is>
          <t>engine_value</t>
        </is>
      </c>
    </row>
    <row r="1360">
      <c r="A1360" t="inlineStr">
        <is>
          <t>附表8!H5</t>
        </is>
      </c>
      <c r="B1360" t="inlineStr">
        <is>
          <t>annual.debt_service+finance_fact_pack.debt_schedule.period_5</t>
        </is>
      </c>
      <c r="C1360" t="inlineStr">
        <is>
          <t>engine_value</t>
        </is>
      </c>
    </row>
    <row r="1361">
      <c r="A1361" t="inlineStr">
        <is>
          <t>附表8!I5</t>
        </is>
      </c>
      <c r="B1361" t="inlineStr">
        <is>
          <t>annual.debt_service+finance_fact_pack.debt_schedule.period_6</t>
        </is>
      </c>
      <c r="C1361" t="inlineStr">
        <is>
          <t>engine_value</t>
        </is>
      </c>
    </row>
    <row r="1362">
      <c r="A1362" t="inlineStr">
        <is>
          <t>附表8!J5</t>
        </is>
      </c>
      <c r="B1362" t="inlineStr">
        <is>
          <t>annual.debt_service+finance_fact_pack.debt_schedule.period_7</t>
        </is>
      </c>
      <c r="C1362" t="inlineStr">
        <is>
          <t>engine_value</t>
        </is>
      </c>
    </row>
    <row r="1363">
      <c r="A1363" t="inlineStr">
        <is>
          <t>附表8!K5</t>
        </is>
      </c>
      <c r="B1363" t="inlineStr">
        <is>
          <t>annual.debt_service+finance_fact_pack.debt_schedule.period_8</t>
        </is>
      </c>
      <c r="C1363" t="inlineStr">
        <is>
          <t>engine_value</t>
        </is>
      </c>
    </row>
    <row r="1364">
      <c r="A1364" t="inlineStr">
        <is>
          <t>附表8!L5</t>
        </is>
      </c>
      <c r="B1364" t="inlineStr">
        <is>
          <t>annual.debt_service+finance_fact_pack.debt_schedule.period_9</t>
        </is>
      </c>
      <c r="C1364" t="inlineStr">
        <is>
          <t>engine_value</t>
        </is>
      </c>
    </row>
    <row r="1365">
      <c r="A1365" t="inlineStr">
        <is>
          <t>附表8!M5</t>
        </is>
      </c>
      <c r="B1365" t="inlineStr">
        <is>
          <t>annual.debt_service+finance_fact_pack.debt_schedule.period_10</t>
        </is>
      </c>
      <c r="C1365" t="inlineStr">
        <is>
          <t>engine_value</t>
        </is>
      </c>
    </row>
    <row r="1366">
      <c r="A1366" t="inlineStr">
        <is>
          <t>附表8!N5</t>
        </is>
      </c>
      <c r="B1366" t="inlineStr">
        <is>
          <t>annual.debt_service+finance_fact_pack.debt_schedule.period_11</t>
        </is>
      </c>
      <c r="C1366" t="inlineStr">
        <is>
          <t>engine_value</t>
        </is>
      </c>
    </row>
    <row r="1367">
      <c r="A1367" t="inlineStr">
        <is>
          <t>附表8!O5</t>
        </is>
      </c>
      <c r="B1367" t="inlineStr">
        <is>
          <t>annual.debt_service+finance_fact_pack.debt_schedule.period_12</t>
        </is>
      </c>
      <c r="C1367" t="inlineStr">
        <is>
          <t>engine_value</t>
        </is>
      </c>
    </row>
    <row r="1368">
      <c r="A1368" t="inlineStr">
        <is>
          <t>附表8!P5</t>
        </is>
      </c>
      <c r="B1368" t="inlineStr">
        <is>
          <t>annual.debt_service+finance_fact_pack.debt_schedule.period_13</t>
        </is>
      </c>
      <c r="C1368" t="inlineStr">
        <is>
          <t>engine_value</t>
        </is>
      </c>
    </row>
    <row r="1369">
      <c r="A1369" t="inlineStr">
        <is>
          <t>附表8!Q5</t>
        </is>
      </c>
      <c r="B1369" t="inlineStr">
        <is>
          <t>annual.debt_service+finance_fact_pack.debt_schedule.period_14</t>
        </is>
      </c>
      <c r="C1369" t="inlineStr">
        <is>
          <t>engine_value</t>
        </is>
      </c>
    </row>
    <row r="1370">
      <c r="A1370" t="inlineStr">
        <is>
          <t>附表8!R5</t>
        </is>
      </c>
      <c r="B1370" t="inlineStr">
        <is>
          <t>annual.debt_service+finance_fact_pack.debt_schedule.period_15</t>
        </is>
      </c>
      <c r="C1370" t="inlineStr">
        <is>
          <t>engine_value</t>
        </is>
      </c>
    </row>
    <row r="1371">
      <c r="A1371" t="inlineStr">
        <is>
          <t>附表8!S5</t>
        </is>
      </c>
      <c r="B1371" t="inlineStr">
        <is>
          <t>annual.debt_service+finance_fact_pack.debt_schedule.period_16</t>
        </is>
      </c>
      <c r="C1371" t="inlineStr">
        <is>
          <t>engine_value</t>
        </is>
      </c>
    </row>
    <row r="1372">
      <c r="A1372" t="inlineStr">
        <is>
          <t>附表8!T5</t>
        </is>
      </c>
      <c r="B1372" t="inlineStr">
        <is>
          <t>annual.debt_service+finance_fact_pack.debt_schedule.period_17</t>
        </is>
      </c>
      <c r="C1372" t="inlineStr">
        <is>
          <t>engine_value</t>
        </is>
      </c>
    </row>
    <row r="1373">
      <c r="A1373" t="inlineStr">
        <is>
          <t>附表8!U5</t>
        </is>
      </c>
      <c r="B1373" t="inlineStr">
        <is>
          <t>annual.debt_service+finance_fact_pack.debt_schedule.period_18</t>
        </is>
      </c>
      <c r="C1373" t="inlineStr">
        <is>
          <t>engine_value</t>
        </is>
      </c>
    </row>
    <row r="1374">
      <c r="A1374" t="inlineStr">
        <is>
          <t>附表8!V5</t>
        </is>
      </c>
      <c r="B1374" t="inlineStr">
        <is>
          <t>annual.debt_service+finance_fact_pack.debt_schedule.period_19</t>
        </is>
      </c>
      <c r="C1374" t="inlineStr">
        <is>
          <t>engine_value</t>
        </is>
      </c>
    </row>
    <row r="1375">
      <c r="A1375" t="inlineStr">
        <is>
          <t>附表8!W5</t>
        </is>
      </c>
      <c r="B1375" t="inlineStr">
        <is>
          <t>annual.debt_service+finance_fact_pack.debt_schedule.period_20</t>
        </is>
      </c>
      <c r="C1375" t="inlineStr">
        <is>
          <t>engine_value</t>
        </is>
      </c>
    </row>
    <row r="1376">
      <c r="A1376" t="inlineStr">
        <is>
          <t>附表8!X5</t>
        </is>
      </c>
      <c r="B1376" t="inlineStr">
        <is>
          <t>annual.debt_service+finance_fact_pack.debt_schedule.period_21</t>
        </is>
      </c>
      <c r="C1376" t="inlineStr">
        <is>
          <t>engine_value</t>
        </is>
      </c>
    </row>
    <row r="1377">
      <c r="A1377" t="inlineStr">
        <is>
          <t>附表8!Y5</t>
        </is>
      </c>
      <c r="B1377" t="inlineStr">
        <is>
          <t>annual.debt_service+finance_fact_pack.debt_schedule.period_22</t>
        </is>
      </c>
      <c r="C1377" t="inlineStr">
        <is>
          <t>engine_value</t>
        </is>
      </c>
    </row>
    <row r="1378">
      <c r="A1378" t="inlineStr">
        <is>
          <t>附表8!Z5</t>
        </is>
      </c>
      <c r="B1378" t="inlineStr">
        <is>
          <t>annual.debt_service+finance_fact_pack.debt_schedule.period_23</t>
        </is>
      </c>
      <c r="C1378" t="inlineStr">
        <is>
          <t>engine_value</t>
        </is>
      </c>
    </row>
    <row r="1379">
      <c r="A1379" t="inlineStr">
        <is>
          <t>附表8!AA5</t>
        </is>
      </c>
      <c r="B1379" t="inlineStr">
        <is>
          <t>annual.debt_service+finance_fact_pack.debt_schedule.period_24</t>
        </is>
      </c>
      <c r="C1379" t="inlineStr">
        <is>
          <t>engine_value</t>
        </is>
      </c>
    </row>
    <row r="1380">
      <c r="A1380" t="inlineStr">
        <is>
          <t>附表8!A6</t>
        </is>
      </c>
      <c r="B1380" t="inlineStr">
        <is>
          <t>annual.debt_service+finance_fact_pack.debt_schedule.no</t>
        </is>
      </c>
      <c r="C1380" t="inlineStr">
        <is>
          <t>engine_value</t>
        </is>
      </c>
    </row>
    <row r="1381">
      <c r="A1381" t="inlineStr">
        <is>
          <t>附表8!B6</t>
        </is>
      </c>
      <c r="B1381" t="inlineStr">
        <is>
          <t>annual.debt_service+finance_fact_pack.debt_schedule.item</t>
        </is>
      </c>
      <c r="C1381" t="inlineStr">
        <is>
          <t>engine_value</t>
        </is>
      </c>
    </row>
    <row r="1382">
      <c r="A1382" t="inlineStr">
        <is>
          <t>附表8!C6</t>
        </is>
      </c>
      <c r="B1382" t="inlineStr">
        <is>
          <t>annual.debt_service+finance_fact_pack.debt_schedule.total</t>
        </is>
      </c>
      <c r="C1382" t="inlineStr">
        <is>
          <t>engine_value</t>
        </is>
      </c>
    </row>
    <row r="1383">
      <c r="A1383" t="inlineStr">
        <is>
          <t>附表8!D6</t>
        </is>
      </c>
      <c r="B1383" t="inlineStr">
        <is>
          <t>annual.debt_service+finance_fact_pack.debt_schedule.period_1</t>
        </is>
      </c>
      <c r="C1383" t="inlineStr">
        <is>
          <t>engine_value</t>
        </is>
      </c>
    </row>
    <row r="1384">
      <c r="A1384" t="inlineStr">
        <is>
          <t>附表8!E6</t>
        </is>
      </c>
      <c r="B1384" t="inlineStr">
        <is>
          <t>annual.debt_service+finance_fact_pack.debt_schedule.period_2</t>
        </is>
      </c>
      <c r="C1384" t="inlineStr">
        <is>
          <t>engine_value</t>
        </is>
      </c>
    </row>
    <row r="1385">
      <c r="A1385" t="inlineStr">
        <is>
          <t>附表8!F6</t>
        </is>
      </c>
      <c r="B1385" t="inlineStr">
        <is>
          <t>annual.debt_service+finance_fact_pack.debt_schedule.period_3</t>
        </is>
      </c>
      <c r="C1385" t="inlineStr">
        <is>
          <t>engine_value</t>
        </is>
      </c>
    </row>
    <row r="1386">
      <c r="A1386" t="inlineStr">
        <is>
          <t>附表8!G6</t>
        </is>
      </c>
      <c r="B1386" t="inlineStr">
        <is>
          <t>annual.debt_service+finance_fact_pack.debt_schedule.period_4</t>
        </is>
      </c>
      <c r="C1386" t="inlineStr">
        <is>
          <t>engine_value</t>
        </is>
      </c>
    </row>
    <row r="1387">
      <c r="A1387" t="inlineStr">
        <is>
          <t>附表8!H6</t>
        </is>
      </c>
      <c r="B1387" t="inlineStr">
        <is>
          <t>annual.debt_service+finance_fact_pack.debt_schedule.period_5</t>
        </is>
      </c>
      <c r="C1387" t="inlineStr">
        <is>
          <t>engine_value</t>
        </is>
      </c>
    </row>
    <row r="1388">
      <c r="A1388" t="inlineStr">
        <is>
          <t>附表8!I6</t>
        </is>
      </c>
      <c r="B1388" t="inlineStr">
        <is>
          <t>annual.debt_service+finance_fact_pack.debt_schedule.period_6</t>
        </is>
      </c>
      <c r="C1388" t="inlineStr">
        <is>
          <t>engine_value</t>
        </is>
      </c>
    </row>
    <row r="1389">
      <c r="A1389" t="inlineStr">
        <is>
          <t>附表8!J6</t>
        </is>
      </c>
      <c r="B1389" t="inlineStr">
        <is>
          <t>annual.debt_service+finance_fact_pack.debt_schedule.period_7</t>
        </is>
      </c>
      <c r="C1389" t="inlineStr">
        <is>
          <t>engine_value</t>
        </is>
      </c>
    </row>
    <row r="1390">
      <c r="A1390" t="inlineStr">
        <is>
          <t>附表8!K6</t>
        </is>
      </c>
      <c r="B1390" t="inlineStr">
        <is>
          <t>annual.debt_service+finance_fact_pack.debt_schedule.period_8</t>
        </is>
      </c>
      <c r="C1390" t="inlineStr">
        <is>
          <t>engine_value</t>
        </is>
      </c>
    </row>
    <row r="1391">
      <c r="A1391" t="inlineStr">
        <is>
          <t>附表8!L6</t>
        </is>
      </c>
      <c r="B1391" t="inlineStr">
        <is>
          <t>annual.debt_service+finance_fact_pack.debt_schedule.period_9</t>
        </is>
      </c>
      <c r="C1391" t="inlineStr">
        <is>
          <t>engine_value</t>
        </is>
      </c>
    </row>
    <row r="1392">
      <c r="A1392" t="inlineStr">
        <is>
          <t>附表8!M6</t>
        </is>
      </c>
      <c r="B1392" t="inlineStr">
        <is>
          <t>annual.debt_service+finance_fact_pack.debt_schedule.period_10</t>
        </is>
      </c>
      <c r="C1392" t="inlineStr">
        <is>
          <t>engine_value</t>
        </is>
      </c>
    </row>
    <row r="1393">
      <c r="A1393" t="inlineStr">
        <is>
          <t>附表8!N6</t>
        </is>
      </c>
      <c r="B1393" t="inlineStr">
        <is>
          <t>annual.debt_service+finance_fact_pack.debt_schedule.period_11</t>
        </is>
      </c>
      <c r="C1393" t="inlineStr">
        <is>
          <t>engine_value</t>
        </is>
      </c>
    </row>
    <row r="1394">
      <c r="A1394" t="inlineStr">
        <is>
          <t>附表8!O6</t>
        </is>
      </c>
      <c r="B1394" t="inlineStr">
        <is>
          <t>annual.debt_service+finance_fact_pack.debt_schedule.period_12</t>
        </is>
      </c>
      <c r="C1394" t="inlineStr">
        <is>
          <t>engine_value</t>
        </is>
      </c>
    </row>
    <row r="1395">
      <c r="A1395" t="inlineStr">
        <is>
          <t>附表8!P6</t>
        </is>
      </c>
      <c r="B1395" t="inlineStr">
        <is>
          <t>annual.debt_service+finance_fact_pack.debt_schedule.period_13</t>
        </is>
      </c>
      <c r="C1395" t="inlineStr">
        <is>
          <t>engine_value</t>
        </is>
      </c>
    </row>
    <row r="1396">
      <c r="A1396" t="inlineStr">
        <is>
          <t>附表8!Q6</t>
        </is>
      </c>
      <c r="B1396" t="inlineStr">
        <is>
          <t>annual.debt_service+finance_fact_pack.debt_schedule.period_14</t>
        </is>
      </c>
      <c r="C1396" t="inlineStr">
        <is>
          <t>engine_value</t>
        </is>
      </c>
    </row>
    <row r="1397">
      <c r="A1397" t="inlineStr">
        <is>
          <t>附表8!R6</t>
        </is>
      </c>
      <c r="B1397" t="inlineStr">
        <is>
          <t>annual.debt_service+finance_fact_pack.debt_schedule.period_15</t>
        </is>
      </c>
      <c r="C1397" t="inlineStr">
        <is>
          <t>engine_value</t>
        </is>
      </c>
    </row>
    <row r="1398">
      <c r="A1398" t="inlineStr">
        <is>
          <t>附表8!S6</t>
        </is>
      </c>
      <c r="B1398" t="inlineStr">
        <is>
          <t>annual.debt_service+finance_fact_pack.debt_schedule.period_16</t>
        </is>
      </c>
      <c r="C1398" t="inlineStr">
        <is>
          <t>engine_value</t>
        </is>
      </c>
    </row>
    <row r="1399">
      <c r="A1399" t="inlineStr">
        <is>
          <t>附表8!T6</t>
        </is>
      </c>
      <c r="B1399" t="inlineStr">
        <is>
          <t>annual.debt_service+finance_fact_pack.debt_schedule.period_17</t>
        </is>
      </c>
      <c r="C1399" t="inlineStr">
        <is>
          <t>engine_value</t>
        </is>
      </c>
    </row>
    <row r="1400">
      <c r="A1400" t="inlineStr">
        <is>
          <t>附表8!U6</t>
        </is>
      </c>
      <c r="B1400" t="inlineStr">
        <is>
          <t>annual.debt_service+finance_fact_pack.debt_schedule.period_18</t>
        </is>
      </c>
      <c r="C1400" t="inlineStr">
        <is>
          <t>engine_value</t>
        </is>
      </c>
    </row>
    <row r="1401">
      <c r="A1401" t="inlineStr">
        <is>
          <t>附表8!V6</t>
        </is>
      </c>
      <c r="B1401" t="inlineStr">
        <is>
          <t>annual.debt_service+finance_fact_pack.debt_schedule.period_19</t>
        </is>
      </c>
      <c r="C1401" t="inlineStr">
        <is>
          <t>engine_value</t>
        </is>
      </c>
    </row>
    <row r="1402">
      <c r="A1402" t="inlineStr">
        <is>
          <t>附表8!W6</t>
        </is>
      </c>
      <c r="B1402" t="inlineStr">
        <is>
          <t>annual.debt_service+finance_fact_pack.debt_schedule.period_20</t>
        </is>
      </c>
      <c r="C1402" t="inlineStr">
        <is>
          <t>engine_value</t>
        </is>
      </c>
    </row>
    <row r="1403">
      <c r="A1403" t="inlineStr">
        <is>
          <t>附表8!X6</t>
        </is>
      </c>
      <c r="B1403" t="inlineStr">
        <is>
          <t>annual.debt_service+finance_fact_pack.debt_schedule.period_21</t>
        </is>
      </c>
      <c r="C1403" t="inlineStr">
        <is>
          <t>engine_value</t>
        </is>
      </c>
    </row>
    <row r="1404">
      <c r="A1404" t="inlineStr">
        <is>
          <t>附表8!Y6</t>
        </is>
      </c>
      <c r="B1404" t="inlineStr">
        <is>
          <t>annual.debt_service+finance_fact_pack.debt_schedule.period_22</t>
        </is>
      </c>
      <c r="C1404" t="inlineStr">
        <is>
          <t>engine_value</t>
        </is>
      </c>
    </row>
    <row r="1405">
      <c r="A1405" t="inlineStr">
        <is>
          <t>附表8!Z6</t>
        </is>
      </c>
      <c r="B1405" t="inlineStr">
        <is>
          <t>annual.debt_service+finance_fact_pack.debt_schedule.period_23</t>
        </is>
      </c>
      <c r="C1405" t="inlineStr">
        <is>
          <t>engine_value</t>
        </is>
      </c>
    </row>
    <row r="1406">
      <c r="A1406" t="inlineStr">
        <is>
          <t>附表8!AA6</t>
        </is>
      </c>
      <c r="B1406" t="inlineStr">
        <is>
          <t>annual.debt_service+finance_fact_pack.debt_schedule.period_24</t>
        </is>
      </c>
      <c r="C1406" t="inlineStr">
        <is>
          <t>engine_value</t>
        </is>
      </c>
    </row>
    <row r="1407">
      <c r="A1407" t="inlineStr">
        <is>
          <t>附表8!A7</t>
        </is>
      </c>
      <c r="B1407" t="inlineStr">
        <is>
          <t>annual.debt_service+finance_fact_pack.debt_schedule.no</t>
        </is>
      </c>
      <c r="C1407" t="inlineStr">
        <is>
          <t>engine_value</t>
        </is>
      </c>
    </row>
    <row r="1408">
      <c r="A1408" t="inlineStr">
        <is>
          <t>附表8!B7</t>
        </is>
      </c>
      <c r="B1408" t="inlineStr">
        <is>
          <t>annual.debt_service+finance_fact_pack.debt_schedule.item</t>
        </is>
      </c>
      <c r="C1408" t="inlineStr">
        <is>
          <t>engine_value</t>
        </is>
      </c>
    </row>
    <row r="1409">
      <c r="A1409" t="inlineStr">
        <is>
          <t>附表8!C7</t>
        </is>
      </c>
      <c r="B1409" t="inlineStr">
        <is>
          <t>annual.debt_service+finance_fact_pack.debt_schedule.total</t>
        </is>
      </c>
      <c r="C1409" t="inlineStr">
        <is>
          <t>engine_value</t>
        </is>
      </c>
    </row>
    <row r="1410">
      <c r="A1410" t="inlineStr">
        <is>
          <t>附表8!D7</t>
        </is>
      </c>
      <c r="B1410" t="inlineStr">
        <is>
          <t>annual.debt_service+finance_fact_pack.debt_schedule.period_1</t>
        </is>
      </c>
      <c r="C1410" t="inlineStr">
        <is>
          <t>engine_value</t>
        </is>
      </c>
    </row>
    <row r="1411">
      <c r="A1411" t="inlineStr">
        <is>
          <t>附表8!E7</t>
        </is>
      </c>
      <c r="B1411" t="inlineStr">
        <is>
          <t>annual.debt_service+finance_fact_pack.debt_schedule.period_2</t>
        </is>
      </c>
      <c r="C1411" t="inlineStr">
        <is>
          <t>engine_value</t>
        </is>
      </c>
    </row>
    <row r="1412">
      <c r="A1412" t="inlineStr">
        <is>
          <t>附表8!F7</t>
        </is>
      </c>
      <c r="B1412" t="inlineStr">
        <is>
          <t>annual.debt_service+finance_fact_pack.debt_schedule.period_3</t>
        </is>
      </c>
      <c r="C1412" t="inlineStr">
        <is>
          <t>engine_value</t>
        </is>
      </c>
    </row>
    <row r="1413">
      <c r="A1413" t="inlineStr">
        <is>
          <t>附表8!G7</t>
        </is>
      </c>
      <c r="B1413" t="inlineStr">
        <is>
          <t>annual.debt_service+finance_fact_pack.debt_schedule.period_4</t>
        </is>
      </c>
      <c r="C1413" t="inlineStr">
        <is>
          <t>engine_value</t>
        </is>
      </c>
    </row>
    <row r="1414">
      <c r="A1414" t="inlineStr">
        <is>
          <t>附表8!H7</t>
        </is>
      </c>
      <c r="B1414" t="inlineStr">
        <is>
          <t>annual.debt_service+finance_fact_pack.debt_schedule.period_5</t>
        </is>
      </c>
      <c r="C1414" t="inlineStr">
        <is>
          <t>engine_value</t>
        </is>
      </c>
    </row>
    <row r="1415">
      <c r="A1415" t="inlineStr">
        <is>
          <t>附表8!I7</t>
        </is>
      </c>
      <c r="B1415" t="inlineStr">
        <is>
          <t>annual.debt_service+finance_fact_pack.debt_schedule.period_6</t>
        </is>
      </c>
      <c r="C1415" t="inlineStr">
        <is>
          <t>engine_value</t>
        </is>
      </c>
    </row>
    <row r="1416">
      <c r="A1416" t="inlineStr">
        <is>
          <t>附表8!J7</t>
        </is>
      </c>
      <c r="B1416" t="inlineStr">
        <is>
          <t>annual.debt_service+finance_fact_pack.debt_schedule.period_7</t>
        </is>
      </c>
      <c r="C1416" t="inlineStr">
        <is>
          <t>engine_value</t>
        </is>
      </c>
    </row>
    <row r="1417">
      <c r="A1417" t="inlineStr">
        <is>
          <t>附表8!K7</t>
        </is>
      </c>
      <c r="B1417" t="inlineStr">
        <is>
          <t>annual.debt_service+finance_fact_pack.debt_schedule.period_8</t>
        </is>
      </c>
      <c r="C1417" t="inlineStr">
        <is>
          <t>engine_value</t>
        </is>
      </c>
    </row>
    <row r="1418">
      <c r="A1418" t="inlineStr">
        <is>
          <t>附表8!L7</t>
        </is>
      </c>
      <c r="B1418" t="inlineStr">
        <is>
          <t>annual.debt_service+finance_fact_pack.debt_schedule.period_9</t>
        </is>
      </c>
      <c r="C1418" t="inlineStr">
        <is>
          <t>engine_value</t>
        </is>
      </c>
    </row>
    <row r="1419">
      <c r="A1419" t="inlineStr">
        <is>
          <t>附表8!M7</t>
        </is>
      </c>
      <c r="B1419" t="inlineStr">
        <is>
          <t>annual.debt_service+finance_fact_pack.debt_schedule.period_10</t>
        </is>
      </c>
      <c r="C1419" t="inlineStr">
        <is>
          <t>engine_value</t>
        </is>
      </c>
    </row>
    <row r="1420">
      <c r="A1420" t="inlineStr">
        <is>
          <t>附表8!N7</t>
        </is>
      </c>
      <c r="B1420" t="inlineStr">
        <is>
          <t>annual.debt_service+finance_fact_pack.debt_schedule.period_11</t>
        </is>
      </c>
      <c r="C1420" t="inlineStr">
        <is>
          <t>engine_value</t>
        </is>
      </c>
    </row>
    <row r="1421">
      <c r="A1421" t="inlineStr">
        <is>
          <t>附表8!O7</t>
        </is>
      </c>
      <c r="B1421" t="inlineStr">
        <is>
          <t>annual.debt_service+finance_fact_pack.debt_schedule.period_12</t>
        </is>
      </c>
      <c r="C1421" t="inlineStr">
        <is>
          <t>engine_value</t>
        </is>
      </c>
    </row>
    <row r="1422">
      <c r="A1422" t="inlineStr">
        <is>
          <t>附表8!P7</t>
        </is>
      </c>
      <c r="B1422" t="inlineStr">
        <is>
          <t>annual.debt_service+finance_fact_pack.debt_schedule.period_13</t>
        </is>
      </c>
      <c r="C1422" t="inlineStr">
        <is>
          <t>engine_value</t>
        </is>
      </c>
    </row>
    <row r="1423">
      <c r="A1423" t="inlineStr">
        <is>
          <t>附表8!Q7</t>
        </is>
      </c>
      <c r="B1423" t="inlineStr">
        <is>
          <t>annual.debt_service+finance_fact_pack.debt_schedule.period_14</t>
        </is>
      </c>
      <c r="C1423" t="inlineStr">
        <is>
          <t>engine_value</t>
        </is>
      </c>
    </row>
    <row r="1424">
      <c r="A1424" t="inlineStr">
        <is>
          <t>附表8!R7</t>
        </is>
      </c>
      <c r="B1424" t="inlineStr">
        <is>
          <t>annual.debt_service+finance_fact_pack.debt_schedule.period_15</t>
        </is>
      </c>
      <c r="C1424" t="inlineStr">
        <is>
          <t>engine_value</t>
        </is>
      </c>
    </row>
    <row r="1425">
      <c r="A1425" t="inlineStr">
        <is>
          <t>附表8!S7</t>
        </is>
      </c>
      <c r="B1425" t="inlineStr">
        <is>
          <t>annual.debt_service+finance_fact_pack.debt_schedule.period_16</t>
        </is>
      </c>
      <c r="C1425" t="inlineStr">
        <is>
          <t>engine_value</t>
        </is>
      </c>
    </row>
    <row r="1426">
      <c r="A1426" t="inlineStr">
        <is>
          <t>附表8!T7</t>
        </is>
      </c>
      <c r="B1426" t="inlineStr">
        <is>
          <t>annual.debt_service+finance_fact_pack.debt_schedule.period_17</t>
        </is>
      </c>
      <c r="C1426" t="inlineStr">
        <is>
          <t>engine_value</t>
        </is>
      </c>
    </row>
    <row r="1427">
      <c r="A1427" t="inlineStr">
        <is>
          <t>附表8!U7</t>
        </is>
      </c>
      <c r="B1427" t="inlineStr">
        <is>
          <t>annual.debt_service+finance_fact_pack.debt_schedule.period_18</t>
        </is>
      </c>
      <c r="C1427" t="inlineStr">
        <is>
          <t>engine_value</t>
        </is>
      </c>
    </row>
    <row r="1428">
      <c r="A1428" t="inlineStr">
        <is>
          <t>附表8!V7</t>
        </is>
      </c>
      <c r="B1428" t="inlineStr">
        <is>
          <t>annual.debt_service+finance_fact_pack.debt_schedule.period_19</t>
        </is>
      </c>
      <c r="C1428" t="inlineStr">
        <is>
          <t>engine_value</t>
        </is>
      </c>
    </row>
    <row r="1429">
      <c r="A1429" t="inlineStr">
        <is>
          <t>附表8!W7</t>
        </is>
      </c>
      <c r="B1429" t="inlineStr">
        <is>
          <t>annual.debt_service+finance_fact_pack.debt_schedule.period_20</t>
        </is>
      </c>
      <c r="C1429" t="inlineStr">
        <is>
          <t>engine_value</t>
        </is>
      </c>
    </row>
    <row r="1430">
      <c r="A1430" t="inlineStr">
        <is>
          <t>附表8!X7</t>
        </is>
      </c>
      <c r="B1430" t="inlineStr">
        <is>
          <t>annual.debt_service+finance_fact_pack.debt_schedule.period_21</t>
        </is>
      </c>
      <c r="C1430" t="inlineStr">
        <is>
          <t>engine_value</t>
        </is>
      </c>
    </row>
    <row r="1431">
      <c r="A1431" t="inlineStr">
        <is>
          <t>附表8!Y7</t>
        </is>
      </c>
      <c r="B1431" t="inlineStr">
        <is>
          <t>annual.debt_service+finance_fact_pack.debt_schedule.period_22</t>
        </is>
      </c>
      <c r="C1431" t="inlineStr">
        <is>
          <t>engine_value</t>
        </is>
      </c>
    </row>
    <row r="1432">
      <c r="A1432" t="inlineStr">
        <is>
          <t>附表8!Z7</t>
        </is>
      </c>
      <c r="B1432" t="inlineStr">
        <is>
          <t>annual.debt_service+finance_fact_pack.debt_schedule.period_23</t>
        </is>
      </c>
      <c r="C1432" t="inlineStr">
        <is>
          <t>engine_value</t>
        </is>
      </c>
    </row>
    <row r="1433">
      <c r="A1433" t="inlineStr">
        <is>
          <t>附表8!AA7</t>
        </is>
      </c>
      <c r="B1433" t="inlineStr">
        <is>
          <t>annual.debt_service+finance_fact_pack.debt_schedule.period_24</t>
        </is>
      </c>
      <c r="C1433" t="inlineStr">
        <is>
          <t>engine_value</t>
        </is>
      </c>
    </row>
    <row r="1434">
      <c r="A1434" t="inlineStr">
        <is>
          <t>附表8!A8</t>
        </is>
      </c>
      <c r="B1434" t="inlineStr">
        <is>
          <t>annual.debt_service+finance_fact_pack.debt_schedule.no</t>
        </is>
      </c>
      <c r="C1434" t="inlineStr">
        <is>
          <t>engine_value</t>
        </is>
      </c>
    </row>
    <row r="1435">
      <c r="A1435" t="inlineStr">
        <is>
          <t>附表8!B8</t>
        </is>
      </c>
      <c r="B1435" t="inlineStr">
        <is>
          <t>annual.debt_service+finance_fact_pack.debt_schedule.item</t>
        </is>
      </c>
      <c r="C1435" t="inlineStr">
        <is>
          <t>engine_value</t>
        </is>
      </c>
    </row>
    <row r="1436">
      <c r="A1436" t="inlineStr">
        <is>
          <t>附表8!C8</t>
        </is>
      </c>
      <c r="B1436" t="inlineStr">
        <is>
          <t>annual.debt_service+finance_fact_pack.debt_schedule.total</t>
        </is>
      </c>
      <c r="C1436" t="inlineStr">
        <is>
          <t>engine_value</t>
        </is>
      </c>
    </row>
    <row r="1437">
      <c r="A1437" t="inlineStr">
        <is>
          <t>附表8!D8</t>
        </is>
      </c>
      <c r="B1437" t="inlineStr">
        <is>
          <t>annual.debt_service+finance_fact_pack.debt_schedule.period_1</t>
        </is>
      </c>
      <c r="C1437" t="inlineStr">
        <is>
          <t>engine_value</t>
        </is>
      </c>
    </row>
    <row r="1438">
      <c r="A1438" t="inlineStr">
        <is>
          <t>附表8!E8</t>
        </is>
      </c>
      <c r="B1438" t="inlineStr">
        <is>
          <t>annual.debt_service+finance_fact_pack.debt_schedule.period_2</t>
        </is>
      </c>
      <c r="C1438" t="inlineStr">
        <is>
          <t>engine_value</t>
        </is>
      </c>
    </row>
    <row r="1439">
      <c r="A1439" t="inlineStr">
        <is>
          <t>附表8!F8</t>
        </is>
      </c>
      <c r="B1439" t="inlineStr">
        <is>
          <t>annual.debt_service+finance_fact_pack.debt_schedule.period_3</t>
        </is>
      </c>
      <c r="C1439" t="inlineStr">
        <is>
          <t>engine_value</t>
        </is>
      </c>
    </row>
    <row r="1440">
      <c r="A1440" t="inlineStr">
        <is>
          <t>附表8!G8</t>
        </is>
      </c>
      <c r="B1440" t="inlineStr">
        <is>
          <t>annual.debt_service+finance_fact_pack.debt_schedule.period_4</t>
        </is>
      </c>
      <c r="C1440" t="inlineStr">
        <is>
          <t>engine_value</t>
        </is>
      </c>
    </row>
    <row r="1441">
      <c r="A1441" t="inlineStr">
        <is>
          <t>附表8!H8</t>
        </is>
      </c>
      <c r="B1441" t="inlineStr">
        <is>
          <t>annual.debt_service+finance_fact_pack.debt_schedule.period_5</t>
        </is>
      </c>
      <c r="C1441" t="inlineStr">
        <is>
          <t>engine_value</t>
        </is>
      </c>
    </row>
    <row r="1442">
      <c r="A1442" t="inlineStr">
        <is>
          <t>附表8!I8</t>
        </is>
      </c>
      <c r="B1442" t="inlineStr">
        <is>
          <t>annual.debt_service+finance_fact_pack.debt_schedule.period_6</t>
        </is>
      </c>
      <c r="C1442" t="inlineStr">
        <is>
          <t>engine_value</t>
        </is>
      </c>
    </row>
    <row r="1443">
      <c r="A1443" t="inlineStr">
        <is>
          <t>附表8!J8</t>
        </is>
      </c>
      <c r="B1443" t="inlineStr">
        <is>
          <t>annual.debt_service+finance_fact_pack.debt_schedule.period_7</t>
        </is>
      </c>
      <c r="C1443" t="inlineStr">
        <is>
          <t>engine_value</t>
        </is>
      </c>
    </row>
    <row r="1444">
      <c r="A1444" t="inlineStr">
        <is>
          <t>附表8!K8</t>
        </is>
      </c>
      <c r="B1444" t="inlineStr">
        <is>
          <t>annual.debt_service+finance_fact_pack.debt_schedule.period_8</t>
        </is>
      </c>
      <c r="C1444" t="inlineStr">
        <is>
          <t>engine_value</t>
        </is>
      </c>
    </row>
    <row r="1445">
      <c r="A1445" t="inlineStr">
        <is>
          <t>附表8!L8</t>
        </is>
      </c>
      <c r="B1445" t="inlineStr">
        <is>
          <t>annual.debt_service+finance_fact_pack.debt_schedule.period_9</t>
        </is>
      </c>
      <c r="C1445" t="inlineStr">
        <is>
          <t>engine_value</t>
        </is>
      </c>
    </row>
    <row r="1446">
      <c r="A1446" t="inlineStr">
        <is>
          <t>附表8!M8</t>
        </is>
      </c>
      <c r="B1446" t="inlineStr">
        <is>
          <t>annual.debt_service+finance_fact_pack.debt_schedule.period_10</t>
        </is>
      </c>
      <c r="C1446" t="inlineStr">
        <is>
          <t>engine_value</t>
        </is>
      </c>
    </row>
    <row r="1447">
      <c r="A1447" t="inlineStr">
        <is>
          <t>附表8!N8</t>
        </is>
      </c>
      <c r="B1447" t="inlineStr">
        <is>
          <t>annual.debt_service+finance_fact_pack.debt_schedule.period_11</t>
        </is>
      </c>
      <c r="C1447" t="inlineStr">
        <is>
          <t>engine_value</t>
        </is>
      </c>
    </row>
    <row r="1448">
      <c r="A1448" t="inlineStr">
        <is>
          <t>附表8!O8</t>
        </is>
      </c>
      <c r="B1448" t="inlineStr">
        <is>
          <t>annual.debt_service+finance_fact_pack.debt_schedule.period_12</t>
        </is>
      </c>
      <c r="C1448" t="inlineStr">
        <is>
          <t>engine_value</t>
        </is>
      </c>
    </row>
    <row r="1449">
      <c r="A1449" t="inlineStr">
        <is>
          <t>附表8!P8</t>
        </is>
      </c>
      <c r="B1449" t="inlineStr">
        <is>
          <t>annual.debt_service+finance_fact_pack.debt_schedule.period_13</t>
        </is>
      </c>
      <c r="C1449" t="inlineStr">
        <is>
          <t>engine_value</t>
        </is>
      </c>
    </row>
    <row r="1450">
      <c r="A1450" t="inlineStr">
        <is>
          <t>附表8!Q8</t>
        </is>
      </c>
      <c r="B1450" t="inlineStr">
        <is>
          <t>annual.debt_service+finance_fact_pack.debt_schedule.period_14</t>
        </is>
      </c>
      <c r="C1450" t="inlineStr">
        <is>
          <t>engine_value</t>
        </is>
      </c>
    </row>
    <row r="1451">
      <c r="A1451" t="inlineStr">
        <is>
          <t>附表8!R8</t>
        </is>
      </c>
      <c r="B1451" t="inlineStr">
        <is>
          <t>annual.debt_service+finance_fact_pack.debt_schedule.period_15</t>
        </is>
      </c>
      <c r="C1451" t="inlineStr">
        <is>
          <t>engine_value</t>
        </is>
      </c>
    </row>
    <row r="1452">
      <c r="A1452" t="inlineStr">
        <is>
          <t>附表8!S8</t>
        </is>
      </c>
      <c r="B1452" t="inlineStr">
        <is>
          <t>annual.debt_service+finance_fact_pack.debt_schedule.period_16</t>
        </is>
      </c>
      <c r="C1452" t="inlineStr">
        <is>
          <t>engine_value</t>
        </is>
      </c>
    </row>
    <row r="1453">
      <c r="A1453" t="inlineStr">
        <is>
          <t>附表8!T8</t>
        </is>
      </c>
      <c r="B1453" t="inlineStr">
        <is>
          <t>annual.debt_service+finance_fact_pack.debt_schedule.period_17</t>
        </is>
      </c>
      <c r="C1453" t="inlineStr">
        <is>
          <t>engine_value</t>
        </is>
      </c>
    </row>
    <row r="1454">
      <c r="A1454" t="inlineStr">
        <is>
          <t>附表8!U8</t>
        </is>
      </c>
      <c r="B1454" t="inlineStr">
        <is>
          <t>annual.debt_service+finance_fact_pack.debt_schedule.period_18</t>
        </is>
      </c>
      <c r="C1454" t="inlineStr">
        <is>
          <t>engine_value</t>
        </is>
      </c>
    </row>
    <row r="1455">
      <c r="A1455" t="inlineStr">
        <is>
          <t>附表8!V8</t>
        </is>
      </c>
      <c r="B1455" t="inlineStr">
        <is>
          <t>annual.debt_service+finance_fact_pack.debt_schedule.period_19</t>
        </is>
      </c>
      <c r="C1455" t="inlineStr">
        <is>
          <t>engine_value</t>
        </is>
      </c>
    </row>
    <row r="1456">
      <c r="A1456" t="inlineStr">
        <is>
          <t>附表8!W8</t>
        </is>
      </c>
      <c r="B1456" t="inlineStr">
        <is>
          <t>annual.debt_service+finance_fact_pack.debt_schedule.period_20</t>
        </is>
      </c>
      <c r="C1456" t="inlineStr">
        <is>
          <t>engine_value</t>
        </is>
      </c>
    </row>
    <row r="1457">
      <c r="A1457" t="inlineStr">
        <is>
          <t>附表8!X8</t>
        </is>
      </c>
      <c r="B1457" t="inlineStr">
        <is>
          <t>annual.debt_service+finance_fact_pack.debt_schedule.period_21</t>
        </is>
      </c>
      <c r="C1457" t="inlineStr">
        <is>
          <t>engine_value</t>
        </is>
      </c>
    </row>
    <row r="1458">
      <c r="A1458" t="inlineStr">
        <is>
          <t>附表8!Y8</t>
        </is>
      </c>
      <c r="B1458" t="inlineStr">
        <is>
          <t>annual.debt_service+finance_fact_pack.debt_schedule.period_22</t>
        </is>
      </c>
      <c r="C1458" t="inlineStr">
        <is>
          <t>engine_value</t>
        </is>
      </c>
    </row>
    <row r="1459">
      <c r="A1459" t="inlineStr">
        <is>
          <t>附表8!Z8</t>
        </is>
      </c>
      <c r="B1459" t="inlineStr">
        <is>
          <t>annual.debt_service+finance_fact_pack.debt_schedule.period_23</t>
        </is>
      </c>
      <c r="C1459" t="inlineStr">
        <is>
          <t>engine_value</t>
        </is>
      </c>
    </row>
    <row r="1460">
      <c r="A1460" t="inlineStr">
        <is>
          <t>附表8!AA8</t>
        </is>
      </c>
      <c r="B1460" t="inlineStr">
        <is>
          <t>annual.debt_service+finance_fact_pack.debt_schedule.period_24</t>
        </is>
      </c>
      <c r="C1460" t="inlineStr">
        <is>
          <t>engine_value</t>
        </is>
      </c>
    </row>
    <row r="1461">
      <c r="A1461" t="inlineStr">
        <is>
          <t>附表8!A9</t>
        </is>
      </c>
      <c r="B1461" t="inlineStr">
        <is>
          <t>annual.debt_service+finance_fact_pack.debt_schedule.no</t>
        </is>
      </c>
      <c r="C1461" t="inlineStr">
        <is>
          <t>engine_value</t>
        </is>
      </c>
    </row>
    <row r="1462">
      <c r="A1462" t="inlineStr">
        <is>
          <t>附表8!B9</t>
        </is>
      </c>
      <c r="B1462" t="inlineStr">
        <is>
          <t>annual.debt_service+finance_fact_pack.debt_schedule.item</t>
        </is>
      </c>
      <c r="C1462" t="inlineStr">
        <is>
          <t>engine_value</t>
        </is>
      </c>
    </row>
    <row r="1463">
      <c r="A1463" t="inlineStr">
        <is>
          <t>附表8!C9</t>
        </is>
      </c>
      <c r="B1463" t="inlineStr">
        <is>
          <t>annual.debt_service+finance_fact_pack.debt_schedule.total</t>
        </is>
      </c>
      <c r="C1463" t="inlineStr">
        <is>
          <t>engine_value</t>
        </is>
      </c>
    </row>
    <row r="1464">
      <c r="A1464" t="inlineStr">
        <is>
          <t>附表8!D9</t>
        </is>
      </c>
      <c r="B1464" t="inlineStr">
        <is>
          <t>annual.debt_service+finance_fact_pack.debt_schedule.period_1</t>
        </is>
      </c>
      <c r="C1464" t="inlineStr">
        <is>
          <t>engine_value</t>
        </is>
      </c>
    </row>
    <row r="1465">
      <c r="A1465" t="inlineStr">
        <is>
          <t>附表8!E9</t>
        </is>
      </c>
      <c r="B1465" t="inlineStr">
        <is>
          <t>annual.debt_service+finance_fact_pack.debt_schedule.period_2</t>
        </is>
      </c>
      <c r="C1465" t="inlineStr">
        <is>
          <t>engine_value</t>
        </is>
      </c>
    </row>
    <row r="1466">
      <c r="A1466" t="inlineStr">
        <is>
          <t>附表8!F9</t>
        </is>
      </c>
      <c r="B1466" t="inlineStr">
        <is>
          <t>annual.debt_service+finance_fact_pack.debt_schedule.period_3</t>
        </is>
      </c>
      <c r="C1466" t="inlineStr">
        <is>
          <t>engine_value</t>
        </is>
      </c>
    </row>
    <row r="1467">
      <c r="A1467" t="inlineStr">
        <is>
          <t>附表8!G9</t>
        </is>
      </c>
      <c r="B1467" t="inlineStr">
        <is>
          <t>annual.debt_service+finance_fact_pack.debt_schedule.period_4</t>
        </is>
      </c>
      <c r="C1467" t="inlineStr">
        <is>
          <t>engine_value</t>
        </is>
      </c>
    </row>
    <row r="1468">
      <c r="A1468" t="inlineStr">
        <is>
          <t>附表8!H9</t>
        </is>
      </c>
      <c r="B1468" t="inlineStr">
        <is>
          <t>annual.debt_service+finance_fact_pack.debt_schedule.period_5</t>
        </is>
      </c>
      <c r="C1468" t="inlineStr">
        <is>
          <t>engine_value</t>
        </is>
      </c>
    </row>
    <row r="1469">
      <c r="A1469" t="inlineStr">
        <is>
          <t>附表8!I9</t>
        </is>
      </c>
      <c r="B1469" t="inlineStr">
        <is>
          <t>annual.debt_service+finance_fact_pack.debt_schedule.period_6</t>
        </is>
      </c>
      <c r="C1469" t="inlineStr">
        <is>
          <t>engine_value</t>
        </is>
      </c>
    </row>
    <row r="1470">
      <c r="A1470" t="inlineStr">
        <is>
          <t>附表8!J9</t>
        </is>
      </c>
      <c r="B1470" t="inlineStr">
        <is>
          <t>annual.debt_service+finance_fact_pack.debt_schedule.period_7</t>
        </is>
      </c>
      <c r="C1470" t="inlineStr">
        <is>
          <t>engine_value</t>
        </is>
      </c>
    </row>
    <row r="1471">
      <c r="A1471" t="inlineStr">
        <is>
          <t>附表8!K9</t>
        </is>
      </c>
      <c r="B1471" t="inlineStr">
        <is>
          <t>annual.debt_service+finance_fact_pack.debt_schedule.period_8</t>
        </is>
      </c>
      <c r="C1471" t="inlineStr">
        <is>
          <t>engine_value</t>
        </is>
      </c>
    </row>
    <row r="1472">
      <c r="A1472" t="inlineStr">
        <is>
          <t>附表8!L9</t>
        </is>
      </c>
      <c r="B1472" t="inlineStr">
        <is>
          <t>annual.debt_service+finance_fact_pack.debt_schedule.period_9</t>
        </is>
      </c>
      <c r="C1472" t="inlineStr">
        <is>
          <t>engine_value</t>
        </is>
      </c>
    </row>
    <row r="1473">
      <c r="A1473" t="inlineStr">
        <is>
          <t>附表8!M9</t>
        </is>
      </c>
      <c r="B1473" t="inlineStr">
        <is>
          <t>annual.debt_service+finance_fact_pack.debt_schedule.period_10</t>
        </is>
      </c>
      <c r="C1473" t="inlineStr">
        <is>
          <t>engine_value</t>
        </is>
      </c>
    </row>
    <row r="1474">
      <c r="A1474" t="inlineStr">
        <is>
          <t>附表8!N9</t>
        </is>
      </c>
      <c r="B1474" t="inlineStr">
        <is>
          <t>annual.debt_service+finance_fact_pack.debt_schedule.period_11</t>
        </is>
      </c>
      <c r="C1474" t="inlineStr">
        <is>
          <t>engine_value</t>
        </is>
      </c>
    </row>
    <row r="1475">
      <c r="A1475" t="inlineStr">
        <is>
          <t>附表8!O9</t>
        </is>
      </c>
      <c r="B1475" t="inlineStr">
        <is>
          <t>annual.debt_service+finance_fact_pack.debt_schedule.period_12</t>
        </is>
      </c>
      <c r="C1475" t="inlineStr">
        <is>
          <t>engine_value</t>
        </is>
      </c>
    </row>
    <row r="1476">
      <c r="A1476" t="inlineStr">
        <is>
          <t>附表8!P9</t>
        </is>
      </c>
      <c r="B1476" t="inlineStr">
        <is>
          <t>annual.debt_service+finance_fact_pack.debt_schedule.period_13</t>
        </is>
      </c>
      <c r="C1476" t="inlineStr">
        <is>
          <t>engine_value</t>
        </is>
      </c>
    </row>
    <row r="1477">
      <c r="A1477" t="inlineStr">
        <is>
          <t>附表8!Q9</t>
        </is>
      </c>
      <c r="B1477" t="inlineStr">
        <is>
          <t>annual.debt_service+finance_fact_pack.debt_schedule.period_14</t>
        </is>
      </c>
      <c r="C1477" t="inlineStr">
        <is>
          <t>engine_value</t>
        </is>
      </c>
    </row>
    <row r="1478">
      <c r="A1478" t="inlineStr">
        <is>
          <t>附表8!R9</t>
        </is>
      </c>
      <c r="B1478" t="inlineStr">
        <is>
          <t>annual.debt_service+finance_fact_pack.debt_schedule.period_15</t>
        </is>
      </c>
      <c r="C1478" t="inlineStr">
        <is>
          <t>engine_value</t>
        </is>
      </c>
    </row>
    <row r="1479">
      <c r="A1479" t="inlineStr">
        <is>
          <t>附表8!S9</t>
        </is>
      </c>
      <c r="B1479" t="inlineStr">
        <is>
          <t>annual.debt_service+finance_fact_pack.debt_schedule.period_16</t>
        </is>
      </c>
      <c r="C1479" t="inlineStr">
        <is>
          <t>engine_value</t>
        </is>
      </c>
    </row>
    <row r="1480">
      <c r="A1480" t="inlineStr">
        <is>
          <t>附表8!T9</t>
        </is>
      </c>
      <c r="B1480" t="inlineStr">
        <is>
          <t>annual.debt_service+finance_fact_pack.debt_schedule.period_17</t>
        </is>
      </c>
      <c r="C1480" t="inlineStr">
        <is>
          <t>engine_value</t>
        </is>
      </c>
    </row>
    <row r="1481">
      <c r="A1481" t="inlineStr">
        <is>
          <t>附表8!U9</t>
        </is>
      </c>
      <c r="B1481" t="inlineStr">
        <is>
          <t>annual.debt_service+finance_fact_pack.debt_schedule.period_18</t>
        </is>
      </c>
      <c r="C1481" t="inlineStr">
        <is>
          <t>engine_value</t>
        </is>
      </c>
    </row>
    <row r="1482">
      <c r="A1482" t="inlineStr">
        <is>
          <t>附表8!V9</t>
        </is>
      </c>
      <c r="B1482" t="inlineStr">
        <is>
          <t>annual.debt_service+finance_fact_pack.debt_schedule.period_19</t>
        </is>
      </c>
      <c r="C1482" t="inlineStr">
        <is>
          <t>engine_value</t>
        </is>
      </c>
    </row>
    <row r="1483">
      <c r="A1483" t="inlineStr">
        <is>
          <t>附表8!W9</t>
        </is>
      </c>
      <c r="B1483" t="inlineStr">
        <is>
          <t>annual.debt_service+finance_fact_pack.debt_schedule.period_20</t>
        </is>
      </c>
      <c r="C1483" t="inlineStr">
        <is>
          <t>engine_value</t>
        </is>
      </c>
    </row>
    <row r="1484">
      <c r="A1484" t="inlineStr">
        <is>
          <t>附表8!X9</t>
        </is>
      </c>
      <c r="B1484" t="inlineStr">
        <is>
          <t>annual.debt_service+finance_fact_pack.debt_schedule.period_21</t>
        </is>
      </c>
      <c r="C1484" t="inlineStr">
        <is>
          <t>engine_value</t>
        </is>
      </c>
    </row>
    <row r="1485">
      <c r="A1485" t="inlineStr">
        <is>
          <t>附表8!Y9</t>
        </is>
      </c>
      <c r="B1485" t="inlineStr">
        <is>
          <t>annual.debt_service+finance_fact_pack.debt_schedule.period_22</t>
        </is>
      </c>
      <c r="C1485" t="inlineStr">
        <is>
          <t>engine_value</t>
        </is>
      </c>
    </row>
    <row r="1486">
      <c r="A1486" t="inlineStr">
        <is>
          <t>附表8!Z9</t>
        </is>
      </c>
      <c r="B1486" t="inlineStr">
        <is>
          <t>annual.debt_service+finance_fact_pack.debt_schedule.period_23</t>
        </is>
      </c>
      <c r="C1486" t="inlineStr">
        <is>
          <t>engine_value</t>
        </is>
      </c>
    </row>
    <row r="1487">
      <c r="A1487" t="inlineStr">
        <is>
          <t>附表8!AA9</t>
        </is>
      </c>
      <c r="B1487" t="inlineStr">
        <is>
          <t>annual.debt_service+finance_fact_pack.debt_schedule.period_24</t>
        </is>
      </c>
      <c r="C1487" t="inlineStr">
        <is>
          <t>engine_value</t>
        </is>
      </c>
    </row>
    <row r="1488">
      <c r="A1488" t="inlineStr">
        <is>
          <t>附表8!A10</t>
        </is>
      </c>
      <c r="B1488" t="inlineStr">
        <is>
          <t>annual.debt_service+finance_fact_pack.debt_schedule.no</t>
        </is>
      </c>
      <c r="C1488" t="inlineStr">
        <is>
          <t>engine_value</t>
        </is>
      </c>
    </row>
    <row r="1489">
      <c r="A1489" t="inlineStr">
        <is>
          <t>附表8!B10</t>
        </is>
      </c>
      <c r="B1489" t="inlineStr">
        <is>
          <t>annual.debt_service+finance_fact_pack.debt_schedule.item</t>
        </is>
      </c>
      <c r="C1489" t="inlineStr">
        <is>
          <t>engine_value</t>
        </is>
      </c>
    </row>
    <row r="1490">
      <c r="A1490" t="inlineStr">
        <is>
          <t>附表8!C10</t>
        </is>
      </c>
      <c r="B1490" t="inlineStr">
        <is>
          <t>annual.debt_service+finance_fact_pack.debt_schedule.total</t>
        </is>
      </c>
      <c r="C1490" t="inlineStr">
        <is>
          <t>engine_value</t>
        </is>
      </c>
    </row>
    <row r="1491">
      <c r="A1491" t="inlineStr">
        <is>
          <t>附表8!D10</t>
        </is>
      </c>
      <c r="B1491" t="inlineStr">
        <is>
          <t>annual.debt_service+finance_fact_pack.debt_schedule.period_1</t>
        </is>
      </c>
      <c r="C1491" t="inlineStr">
        <is>
          <t>engine_value</t>
        </is>
      </c>
    </row>
    <row r="1492">
      <c r="A1492" t="inlineStr">
        <is>
          <t>附表8!E10</t>
        </is>
      </c>
      <c r="B1492" t="inlineStr">
        <is>
          <t>annual.debt_service+finance_fact_pack.debt_schedule.period_2</t>
        </is>
      </c>
      <c r="C1492" t="inlineStr">
        <is>
          <t>engine_value</t>
        </is>
      </c>
    </row>
    <row r="1493">
      <c r="A1493" t="inlineStr">
        <is>
          <t>附表8!F10</t>
        </is>
      </c>
      <c r="B1493" t="inlineStr">
        <is>
          <t>annual.debt_service+finance_fact_pack.debt_schedule.period_3</t>
        </is>
      </c>
      <c r="C1493" t="inlineStr">
        <is>
          <t>engine_value</t>
        </is>
      </c>
    </row>
    <row r="1494">
      <c r="A1494" t="inlineStr">
        <is>
          <t>附表8!G10</t>
        </is>
      </c>
      <c r="B1494" t="inlineStr">
        <is>
          <t>annual.debt_service+finance_fact_pack.debt_schedule.period_4</t>
        </is>
      </c>
      <c r="C1494" t="inlineStr">
        <is>
          <t>engine_value</t>
        </is>
      </c>
    </row>
    <row r="1495">
      <c r="A1495" t="inlineStr">
        <is>
          <t>附表8!H10</t>
        </is>
      </c>
      <c r="B1495" t="inlineStr">
        <is>
          <t>annual.debt_service+finance_fact_pack.debt_schedule.period_5</t>
        </is>
      </c>
      <c r="C1495" t="inlineStr">
        <is>
          <t>engine_value</t>
        </is>
      </c>
    </row>
    <row r="1496">
      <c r="A1496" t="inlineStr">
        <is>
          <t>附表8!I10</t>
        </is>
      </c>
      <c r="B1496" t="inlineStr">
        <is>
          <t>annual.debt_service+finance_fact_pack.debt_schedule.period_6</t>
        </is>
      </c>
      <c r="C1496" t="inlineStr">
        <is>
          <t>engine_value</t>
        </is>
      </c>
    </row>
    <row r="1497">
      <c r="A1497" t="inlineStr">
        <is>
          <t>附表8!J10</t>
        </is>
      </c>
      <c r="B1497" t="inlineStr">
        <is>
          <t>annual.debt_service+finance_fact_pack.debt_schedule.period_7</t>
        </is>
      </c>
      <c r="C1497" t="inlineStr">
        <is>
          <t>engine_value</t>
        </is>
      </c>
    </row>
    <row r="1498">
      <c r="A1498" t="inlineStr">
        <is>
          <t>附表8!K10</t>
        </is>
      </c>
      <c r="B1498" t="inlineStr">
        <is>
          <t>annual.debt_service+finance_fact_pack.debt_schedule.period_8</t>
        </is>
      </c>
      <c r="C1498" t="inlineStr">
        <is>
          <t>engine_value</t>
        </is>
      </c>
    </row>
    <row r="1499">
      <c r="A1499" t="inlineStr">
        <is>
          <t>附表8!L10</t>
        </is>
      </c>
      <c r="B1499" t="inlineStr">
        <is>
          <t>annual.debt_service+finance_fact_pack.debt_schedule.period_9</t>
        </is>
      </c>
      <c r="C1499" t="inlineStr">
        <is>
          <t>engine_value</t>
        </is>
      </c>
    </row>
    <row r="1500">
      <c r="A1500" t="inlineStr">
        <is>
          <t>附表8!M10</t>
        </is>
      </c>
      <c r="B1500" t="inlineStr">
        <is>
          <t>annual.debt_service+finance_fact_pack.debt_schedule.period_10</t>
        </is>
      </c>
      <c r="C1500" t="inlineStr">
        <is>
          <t>engine_value</t>
        </is>
      </c>
    </row>
    <row r="1501">
      <c r="A1501" t="inlineStr">
        <is>
          <t>附表8!N10</t>
        </is>
      </c>
      <c r="B1501" t="inlineStr">
        <is>
          <t>annual.debt_service+finance_fact_pack.debt_schedule.period_11</t>
        </is>
      </c>
      <c r="C1501" t="inlineStr">
        <is>
          <t>engine_value</t>
        </is>
      </c>
    </row>
    <row r="1502">
      <c r="A1502" t="inlineStr">
        <is>
          <t>附表8!O10</t>
        </is>
      </c>
      <c r="B1502" t="inlineStr">
        <is>
          <t>annual.debt_service+finance_fact_pack.debt_schedule.period_12</t>
        </is>
      </c>
      <c r="C1502" t="inlineStr">
        <is>
          <t>engine_value</t>
        </is>
      </c>
    </row>
    <row r="1503">
      <c r="A1503" t="inlineStr">
        <is>
          <t>附表8!P10</t>
        </is>
      </c>
      <c r="B1503" t="inlineStr">
        <is>
          <t>annual.debt_service+finance_fact_pack.debt_schedule.period_13</t>
        </is>
      </c>
      <c r="C1503" t="inlineStr">
        <is>
          <t>engine_value</t>
        </is>
      </c>
    </row>
    <row r="1504">
      <c r="A1504" t="inlineStr">
        <is>
          <t>附表8!Q10</t>
        </is>
      </c>
      <c r="B1504" t="inlineStr">
        <is>
          <t>annual.debt_service+finance_fact_pack.debt_schedule.period_14</t>
        </is>
      </c>
      <c r="C1504" t="inlineStr">
        <is>
          <t>engine_value</t>
        </is>
      </c>
    </row>
    <row r="1505">
      <c r="A1505" t="inlineStr">
        <is>
          <t>附表8!R10</t>
        </is>
      </c>
      <c r="B1505" t="inlineStr">
        <is>
          <t>annual.debt_service+finance_fact_pack.debt_schedule.period_15</t>
        </is>
      </c>
      <c r="C1505" t="inlineStr">
        <is>
          <t>engine_value</t>
        </is>
      </c>
    </row>
    <row r="1506">
      <c r="A1506" t="inlineStr">
        <is>
          <t>附表8!S10</t>
        </is>
      </c>
      <c r="B1506" t="inlineStr">
        <is>
          <t>annual.debt_service+finance_fact_pack.debt_schedule.period_16</t>
        </is>
      </c>
      <c r="C1506" t="inlineStr">
        <is>
          <t>engine_value</t>
        </is>
      </c>
    </row>
    <row r="1507">
      <c r="A1507" t="inlineStr">
        <is>
          <t>附表8!T10</t>
        </is>
      </c>
      <c r="B1507" t="inlineStr">
        <is>
          <t>annual.debt_service+finance_fact_pack.debt_schedule.period_17</t>
        </is>
      </c>
      <c r="C1507" t="inlineStr">
        <is>
          <t>engine_value</t>
        </is>
      </c>
    </row>
    <row r="1508">
      <c r="A1508" t="inlineStr">
        <is>
          <t>附表8!U10</t>
        </is>
      </c>
      <c r="B1508" t="inlineStr">
        <is>
          <t>annual.debt_service+finance_fact_pack.debt_schedule.period_18</t>
        </is>
      </c>
      <c r="C1508" t="inlineStr">
        <is>
          <t>engine_value</t>
        </is>
      </c>
    </row>
    <row r="1509">
      <c r="A1509" t="inlineStr">
        <is>
          <t>附表8!V10</t>
        </is>
      </c>
      <c r="B1509" t="inlineStr">
        <is>
          <t>annual.debt_service+finance_fact_pack.debt_schedule.period_19</t>
        </is>
      </c>
      <c r="C1509" t="inlineStr">
        <is>
          <t>engine_value</t>
        </is>
      </c>
    </row>
    <row r="1510">
      <c r="A1510" t="inlineStr">
        <is>
          <t>附表8!W10</t>
        </is>
      </c>
      <c r="B1510" t="inlineStr">
        <is>
          <t>annual.debt_service+finance_fact_pack.debt_schedule.period_20</t>
        </is>
      </c>
      <c r="C1510" t="inlineStr">
        <is>
          <t>engine_value</t>
        </is>
      </c>
    </row>
    <row r="1511">
      <c r="A1511" t="inlineStr">
        <is>
          <t>附表8!X10</t>
        </is>
      </c>
      <c r="B1511" t="inlineStr">
        <is>
          <t>annual.debt_service+finance_fact_pack.debt_schedule.period_21</t>
        </is>
      </c>
      <c r="C1511" t="inlineStr">
        <is>
          <t>engine_value</t>
        </is>
      </c>
    </row>
    <row r="1512">
      <c r="A1512" t="inlineStr">
        <is>
          <t>附表8!Y10</t>
        </is>
      </c>
      <c r="B1512" t="inlineStr">
        <is>
          <t>annual.debt_service+finance_fact_pack.debt_schedule.period_22</t>
        </is>
      </c>
      <c r="C1512" t="inlineStr">
        <is>
          <t>engine_value</t>
        </is>
      </c>
    </row>
    <row r="1513">
      <c r="A1513" t="inlineStr">
        <is>
          <t>附表8!Z10</t>
        </is>
      </c>
      <c r="B1513" t="inlineStr">
        <is>
          <t>annual.debt_service+finance_fact_pack.debt_schedule.period_23</t>
        </is>
      </c>
      <c r="C1513" t="inlineStr">
        <is>
          <t>engine_value</t>
        </is>
      </c>
    </row>
    <row r="1514">
      <c r="A1514" t="inlineStr">
        <is>
          <t>附表8!AA10</t>
        </is>
      </c>
      <c r="B1514" t="inlineStr">
        <is>
          <t>annual.debt_service+finance_fact_pack.debt_schedule.period_24</t>
        </is>
      </c>
      <c r="C1514" t="inlineStr">
        <is>
          <t>engine_value</t>
        </is>
      </c>
    </row>
    <row r="1515">
      <c r="A1515" t="inlineStr">
        <is>
          <t>附表8!A11</t>
        </is>
      </c>
      <c r="B1515" t="inlineStr">
        <is>
          <t>annual.debt_service+finance_fact_pack.debt_schedule.no</t>
        </is>
      </c>
      <c r="C1515" t="inlineStr">
        <is>
          <t>engine_value</t>
        </is>
      </c>
    </row>
    <row r="1516">
      <c r="A1516" t="inlineStr">
        <is>
          <t>附表8!B11</t>
        </is>
      </c>
      <c r="B1516" t="inlineStr">
        <is>
          <t>annual.debt_service+finance_fact_pack.debt_schedule.item</t>
        </is>
      </c>
      <c r="C1516" t="inlineStr">
        <is>
          <t>engine_value</t>
        </is>
      </c>
    </row>
    <row r="1517">
      <c r="A1517" t="inlineStr">
        <is>
          <t>附表8!C11</t>
        </is>
      </c>
      <c r="B1517" t="inlineStr">
        <is>
          <t>annual.debt_service+finance_fact_pack.debt_schedule.total</t>
        </is>
      </c>
      <c r="C1517" t="inlineStr">
        <is>
          <t>engine_value</t>
        </is>
      </c>
    </row>
    <row r="1518">
      <c r="A1518" t="inlineStr">
        <is>
          <t>附表8!D11</t>
        </is>
      </c>
      <c r="B1518" t="inlineStr">
        <is>
          <t>annual.debt_service+finance_fact_pack.debt_schedule.period_1</t>
        </is>
      </c>
      <c r="C1518" t="inlineStr">
        <is>
          <t>engine_value</t>
        </is>
      </c>
    </row>
    <row r="1519">
      <c r="A1519" t="inlineStr">
        <is>
          <t>附表8!E11</t>
        </is>
      </c>
      <c r="B1519" t="inlineStr">
        <is>
          <t>annual.debt_service+finance_fact_pack.debt_schedule.period_2</t>
        </is>
      </c>
      <c r="C1519" t="inlineStr">
        <is>
          <t>engine_value</t>
        </is>
      </c>
    </row>
    <row r="1520">
      <c r="A1520" t="inlineStr">
        <is>
          <t>附表8!F11</t>
        </is>
      </c>
      <c r="B1520" t="inlineStr">
        <is>
          <t>annual.debt_service+finance_fact_pack.debt_schedule.period_3</t>
        </is>
      </c>
      <c r="C1520" t="inlineStr">
        <is>
          <t>engine_value</t>
        </is>
      </c>
    </row>
    <row r="1521">
      <c r="A1521" t="inlineStr">
        <is>
          <t>附表8!G11</t>
        </is>
      </c>
      <c r="B1521" t="inlineStr">
        <is>
          <t>annual.debt_service+finance_fact_pack.debt_schedule.period_4</t>
        </is>
      </c>
      <c r="C1521" t="inlineStr">
        <is>
          <t>engine_value</t>
        </is>
      </c>
    </row>
    <row r="1522">
      <c r="A1522" t="inlineStr">
        <is>
          <t>附表8!H11</t>
        </is>
      </c>
      <c r="B1522" t="inlineStr">
        <is>
          <t>annual.debt_service+finance_fact_pack.debt_schedule.period_5</t>
        </is>
      </c>
      <c r="C1522" t="inlineStr">
        <is>
          <t>engine_value</t>
        </is>
      </c>
    </row>
    <row r="1523">
      <c r="A1523" t="inlineStr">
        <is>
          <t>附表8!I11</t>
        </is>
      </c>
      <c r="B1523" t="inlineStr">
        <is>
          <t>annual.debt_service+finance_fact_pack.debt_schedule.period_6</t>
        </is>
      </c>
      <c r="C1523" t="inlineStr">
        <is>
          <t>engine_value</t>
        </is>
      </c>
    </row>
    <row r="1524">
      <c r="A1524" t="inlineStr">
        <is>
          <t>附表8!J11</t>
        </is>
      </c>
      <c r="B1524" t="inlineStr">
        <is>
          <t>annual.debt_service+finance_fact_pack.debt_schedule.period_7</t>
        </is>
      </c>
      <c r="C1524" t="inlineStr">
        <is>
          <t>engine_value</t>
        </is>
      </c>
    </row>
    <row r="1525">
      <c r="A1525" t="inlineStr">
        <is>
          <t>附表8!K11</t>
        </is>
      </c>
      <c r="B1525" t="inlineStr">
        <is>
          <t>annual.debt_service+finance_fact_pack.debt_schedule.period_8</t>
        </is>
      </c>
      <c r="C1525" t="inlineStr">
        <is>
          <t>engine_value</t>
        </is>
      </c>
    </row>
    <row r="1526">
      <c r="A1526" t="inlineStr">
        <is>
          <t>附表8!L11</t>
        </is>
      </c>
      <c r="B1526" t="inlineStr">
        <is>
          <t>annual.debt_service+finance_fact_pack.debt_schedule.period_9</t>
        </is>
      </c>
      <c r="C1526" t="inlineStr">
        <is>
          <t>engine_value</t>
        </is>
      </c>
    </row>
    <row r="1527">
      <c r="A1527" t="inlineStr">
        <is>
          <t>附表8!M11</t>
        </is>
      </c>
      <c r="B1527" t="inlineStr">
        <is>
          <t>annual.debt_service+finance_fact_pack.debt_schedule.period_10</t>
        </is>
      </c>
      <c r="C1527" t="inlineStr">
        <is>
          <t>engine_value</t>
        </is>
      </c>
    </row>
    <row r="1528">
      <c r="A1528" t="inlineStr">
        <is>
          <t>附表8!N11</t>
        </is>
      </c>
      <c r="B1528" t="inlineStr">
        <is>
          <t>annual.debt_service+finance_fact_pack.debt_schedule.period_11</t>
        </is>
      </c>
      <c r="C1528" t="inlineStr">
        <is>
          <t>engine_value</t>
        </is>
      </c>
    </row>
    <row r="1529">
      <c r="A1529" t="inlineStr">
        <is>
          <t>附表8!O11</t>
        </is>
      </c>
      <c r="B1529" t="inlineStr">
        <is>
          <t>annual.debt_service+finance_fact_pack.debt_schedule.period_12</t>
        </is>
      </c>
      <c r="C1529" t="inlineStr">
        <is>
          <t>engine_value</t>
        </is>
      </c>
    </row>
    <row r="1530">
      <c r="A1530" t="inlineStr">
        <is>
          <t>附表8!P11</t>
        </is>
      </c>
      <c r="B1530" t="inlineStr">
        <is>
          <t>annual.debt_service+finance_fact_pack.debt_schedule.period_13</t>
        </is>
      </c>
      <c r="C1530" t="inlineStr">
        <is>
          <t>engine_value</t>
        </is>
      </c>
    </row>
    <row r="1531">
      <c r="A1531" t="inlineStr">
        <is>
          <t>附表8!Q11</t>
        </is>
      </c>
      <c r="B1531" t="inlineStr">
        <is>
          <t>annual.debt_service+finance_fact_pack.debt_schedule.period_14</t>
        </is>
      </c>
      <c r="C1531" t="inlineStr">
        <is>
          <t>engine_value</t>
        </is>
      </c>
    </row>
    <row r="1532">
      <c r="A1532" t="inlineStr">
        <is>
          <t>附表8!R11</t>
        </is>
      </c>
      <c r="B1532" t="inlineStr">
        <is>
          <t>annual.debt_service+finance_fact_pack.debt_schedule.period_15</t>
        </is>
      </c>
      <c r="C1532" t="inlineStr">
        <is>
          <t>engine_value</t>
        </is>
      </c>
    </row>
    <row r="1533">
      <c r="A1533" t="inlineStr">
        <is>
          <t>附表8!S11</t>
        </is>
      </c>
      <c r="B1533" t="inlineStr">
        <is>
          <t>annual.debt_service+finance_fact_pack.debt_schedule.period_16</t>
        </is>
      </c>
      <c r="C1533" t="inlineStr">
        <is>
          <t>engine_value</t>
        </is>
      </c>
    </row>
    <row r="1534">
      <c r="A1534" t="inlineStr">
        <is>
          <t>附表8!T11</t>
        </is>
      </c>
      <c r="B1534" t="inlineStr">
        <is>
          <t>annual.debt_service+finance_fact_pack.debt_schedule.period_17</t>
        </is>
      </c>
      <c r="C1534" t="inlineStr">
        <is>
          <t>engine_value</t>
        </is>
      </c>
    </row>
    <row r="1535">
      <c r="A1535" t="inlineStr">
        <is>
          <t>附表8!U11</t>
        </is>
      </c>
      <c r="B1535" t="inlineStr">
        <is>
          <t>annual.debt_service+finance_fact_pack.debt_schedule.period_18</t>
        </is>
      </c>
      <c r="C1535" t="inlineStr">
        <is>
          <t>engine_value</t>
        </is>
      </c>
    </row>
    <row r="1536">
      <c r="A1536" t="inlineStr">
        <is>
          <t>附表8!V11</t>
        </is>
      </c>
      <c r="B1536" t="inlineStr">
        <is>
          <t>annual.debt_service+finance_fact_pack.debt_schedule.period_19</t>
        </is>
      </c>
      <c r="C1536" t="inlineStr">
        <is>
          <t>engine_value</t>
        </is>
      </c>
    </row>
    <row r="1537">
      <c r="A1537" t="inlineStr">
        <is>
          <t>附表8!W11</t>
        </is>
      </c>
      <c r="B1537" t="inlineStr">
        <is>
          <t>annual.debt_service+finance_fact_pack.debt_schedule.period_20</t>
        </is>
      </c>
      <c r="C1537" t="inlineStr">
        <is>
          <t>engine_value</t>
        </is>
      </c>
    </row>
    <row r="1538">
      <c r="A1538" t="inlineStr">
        <is>
          <t>附表8!X11</t>
        </is>
      </c>
      <c r="B1538" t="inlineStr">
        <is>
          <t>annual.debt_service+finance_fact_pack.debt_schedule.period_21</t>
        </is>
      </c>
      <c r="C1538" t="inlineStr">
        <is>
          <t>engine_value</t>
        </is>
      </c>
    </row>
    <row r="1539">
      <c r="A1539" t="inlineStr">
        <is>
          <t>附表8!Y11</t>
        </is>
      </c>
      <c r="B1539" t="inlineStr">
        <is>
          <t>annual.debt_service+finance_fact_pack.debt_schedule.period_22</t>
        </is>
      </c>
      <c r="C1539" t="inlineStr">
        <is>
          <t>engine_value</t>
        </is>
      </c>
    </row>
    <row r="1540">
      <c r="A1540" t="inlineStr">
        <is>
          <t>附表8!Z11</t>
        </is>
      </c>
      <c r="B1540" t="inlineStr">
        <is>
          <t>annual.debt_service+finance_fact_pack.debt_schedule.period_23</t>
        </is>
      </c>
      <c r="C1540" t="inlineStr">
        <is>
          <t>engine_value</t>
        </is>
      </c>
    </row>
    <row r="1541">
      <c r="A1541" t="inlineStr">
        <is>
          <t>附表8!AA11</t>
        </is>
      </c>
      <c r="B1541" t="inlineStr">
        <is>
          <t>annual.debt_service+finance_fact_pack.debt_schedule.period_24</t>
        </is>
      </c>
      <c r="C1541" t="inlineStr">
        <is>
          <t>engine_value</t>
        </is>
      </c>
    </row>
    <row r="1542">
      <c r="A1542" t="inlineStr">
        <is>
          <t>附表8!A12</t>
        </is>
      </c>
      <c r="B1542" t="inlineStr">
        <is>
          <t>annual.debt_service+finance_fact_pack.debt_schedule.no</t>
        </is>
      </c>
      <c r="C1542" t="inlineStr">
        <is>
          <t>engine_value</t>
        </is>
      </c>
    </row>
    <row r="1543">
      <c r="A1543" t="inlineStr">
        <is>
          <t>附表8!B12</t>
        </is>
      </c>
      <c r="B1543" t="inlineStr">
        <is>
          <t>annual.debt_service+finance_fact_pack.debt_schedule.item</t>
        </is>
      </c>
      <c r="C1543" t="inlineStr">
        <is>
          <t>engine_value</t>
        </is>
      </c>
    </row>
    <row r="1544">
      <c r="A1544" t="inlineStr">
        <is>
          <t>附表8!C12</t>
        </is>
      </c>
      <c r="B1544" t="inlineStr">
        <is>
          <t>annual.debt_service+finance_fact_pack.debt_schedule.total</t>
        </is>
      </c>
      <c r="C1544" t="inlineStr">
        <is>
          <t>engine_value</t>
        </is>
      </c>
    </row>
    <row r="1545">
      <c r="A1545" t="inlineStr">
        <is>
          <t>附表8!D12</t>
        </is>
      </c>
      <c r="B1545" t="inlineStr">
        <is>
          <t>annual.debt_service+finance_fact_pack.debt_schedule.period_1</t>
        </is>
      </c>
      <c r="C1545" t="inlineStr">
        <is>
          <t>engine_value</t>
        </is>
      </c>
    </row>
    <row r="1546">
      <c r="A1546" t="inlineStr">
        <is>
          <t>附表8!E12</t>
        </is>
      </c>
      <c r="B1546" t="inlineStr">
        <is>
          <t>annual.debt_service+finance_fact_pack.debt_schedule.period_2</t>
        </is>
      </c>
      <c r="C1546" t="inlineStr">
        <is>
          <t>engine_value</t>
        </is>
      </c>
    </row>
    <row r="1547">
      <c r="A1547" t="inlineStr">
        <is>
          <t>附表8!F12</t>
        </is>
      </c>
      <c r="B1547" t="inlineStr">
        <is>
          <t>annual.debt_service+finance_fact_pack.debt_schedule.period_3</t>
        </is>
      </c>
      <c r="C1547" t="inlineStr">
        <is>
          <t>engine_value</t>
        </is>
      </c>
    </row>
    <row r="1548">
      <c r="A1548" t="inlineStr">
        <is>
          <t>附表8!G12</t>
        </is>
      </c>
      <c r="B1548" t="inlineStr">
        <is>
          <t>annual.debt_service+finance_fact_pack.debt_schedule.period_4</t>
        </is>
      </c>
      <c r="C1548" t="inlineStr">
        <is>
          <t>engine_value</t>
        </is>
      </c>
    </row>
    <row r="1549">
      <c r="A1549" t="inlineStr">
        <is>
          <t>附表8!H12</t>
        </is>
      </c>
      <c r="B1549" t="inlineStr">
        <is>
          <t>annual.debt_service+finance_fact_pack.debt_schedule.period_5</t>
        </is>
      </c>
      <c r="C1549" t="inlineStr">
        <is>
          <t>engine_value</t>
        </is>
      </c>
    </row>
    <row r="1550">
      <c r="A1550" t="inlineStr">
        <is>
          <t>附表8!I12</t>
        </is>
      </c>
      <c r="B1550" t="inlineStr">
        <is>
          <t>annual.debt_service+finance_fact_pack.debt_schedule.period_6</t>
        </is>
      </c>
      <c r="C1550" t="inlineStr">
        <is>
          <t>engine_value</t>
        </is>
      </c>
    </row>
    <row r="1551">
      <c r="A1551" t="inlineStr">
        <is>
          <t>附表8!J12</t>
        </is>
      </c>
      <c r="B1551" t="inlineStr">
        <is>
          <t>annual.debt_service+finance_fact_pack.debt_schedule.period_7</t>
        </is>
      </c>
      <c r="C1551" t="inlineStr">
        <is>
          <t>engine_value</t>
        </is>
      </c>
    </row>
    <row r="1552">
      <c r="A1552" t="inlineStr">
        <is>
          <t>附表8!K12</t>
        </is>
      </c>
      <c r="B1552" t="inlineStr">
        <is>
          <t>annual.debt_service+finance_fact_pack.debt_schedule.period_8</t>
        </is>
      </c>
      <c r="C1552" t="inlineStr">
        <is>
          <t>engine_value</t>
        </is>
      </c>
    </row>
    <row r="1553">
      <c r="A1553" t="inlineStr">
        <is>
          <t>附表8!L12</t>
        </is>
      </c>
      <c r="B1553" t="inlineStr">
        <is>
          <t>annual.debt_service+finance_fact_pack.debt_schedule.period_9</t>
        </is>
      </c>
      <c r="C1553" t="inlineStr">
        <is>
          <t>engine_value</t>
        </is>
      </c>
    </row>
    <row r="1554">
      <c r="A1554" t="inlineStr">
        <is>
          <t>附表8!M12</t>
        </is>
      </c>
      <c r="B1554" t="inlineStr">
        <is>
          <t>annual.debt_service+finance_fact_pack.debt_schedule.period_10</t>
        </is>
      </c>
      <c r="C1554" t="inlineStr">
        <is>
          <t>engine_value</t>
        </is>
      </c>
    </row>
    <row r="1555">
      <c r="A1555" t="inlineStr">
        <is>
          <t>附表8!N12</t>
        </is>
      </c>
      <c r="B1555" t="inlineStr">
        <is>
          <t>annual.debt_service+finance_fact_pack.debt_schedule.period_11</t>
        </is>
      </c>
      <c r="C1555" t="inlineStr">
        <is>
          <t>engine_value</t>
        </is>
      </c>
    </row>
    <row r="1556">
      <c r="A1556" t="inlineStr">
        <is>
          <t>附表8!O12</t>
        </is>
      </c>
      <c r="B1556" t="inlineStr">
        <is>
          <t>annual.debt_service+finance_fact_pack.debt_schedule.period_12</t>
        </is>
      </c>
      <c r="C1556" t="inlineStr">
        <is>
          <t>engine_value</t>
        </is>
      </c>
    </row>
    <row r="1557">
      <c r="A1557" t="inlineStr">
        <is>
          <t>附表8!P12</t>
        </is>
      </c>
      <c r="B1557" t="inlineStr">
        <is>
          <t>annual.debt_service+finance_fact_pack.debt_schedule.period_13</t>
        </is>
      </c>
      <c r="C1557" t="inlineStr">
        <is>
          <t>engine_value</t>
        </is>
      </c>
    </row>
    <row r="1558">
      <c r="A1558" t="inlineStr">
        <is>
          <t>附表8!Q12</t>
        </is>
      </c>
      <c r="B1558" t="inlineStr">
        <is>
          <t>annual.debt_service+finance_fact_pack.debt_schedule.period_14</t>
        </is>
      </c>
      <c r="C1558" t="inlineStr">
        <is>
          <t>engine_value</t>
        </is>
      </c>
    </row>
    <row r="1559">
      <c r="A1559" t="inlineStr">
        <is>
          <t>附表8!R12</t>
        </is>
      </c>
      <c r="B1559" t="inlineStr">
        <is>
          <t>annual.debt_service+finance_fact_pack.debt_schedule.period_15</t>
        </is>
      </c>
      <c r="C1559" t="inlineStr">
        <is>
          <t>engine_value</t>
        </is>
      </c>
    </row>
    <row r="1560">
      <c r="A1560" t="inlineStr">
        <is>
          <t>附表8!S12</t>
        </is>
      </c>
      <c r="B1560" t="inlineStr">
        <is>
          <t>annual.debt_service+finance_fact_pack.debt_schedule.period_16</t>
        </is>
      </c>
      <c r="C1560" t="inlineStr">
        <is>
          <t>engine_value</t>
        </is>
      </c>
    </row>
    <row r="1561">
      <c r="A1561" t="inlineStr">
        <is>
          <t>附表8!T12</t>
        </is>
      </c>
      <c r="B1561" t="inlineStr">
        <is>
          <t>annual.debt_service+finance_fact_pack.debt_schedule.period_17</t>
        </is>
      </c>
      <c r="C1561" t="inlineStr">
        <is>
          <t>engine_value</t>
        </is>
      </c>
    </row>
    <row r="1562">
      <c r="A1562" t="inlineStr">
        <is>
          <t>附表8!U12</t>
        </is>
      </c>
      <c r="B1562" t="inlineStr">
        <is>
          <t>annual.debt_service+finance_fact_pack.debt_schedule.period_18</t>
        </is>
      </c>
      <c r="C1562" t="inlineStr">
        <is>
          <t>engine_value</t>
        </is>
      </c>
    </row>
    <row r="1563">
      <c r="A1563" t="inlineStr">
        <is>
          <t>附表8!V12</t>
        </is>
      </c>
      <c r="B1563" t="inlineStr">
        <is>
          <t>annual.debt_service+finance_fact_pack.debt_schedule.period_19</t>
        </is>
      </c>
      <c r="C1563" t="inlineStr">
        <is>
          <t>engine_value</t>
        </is>
      </c>
    </row>
    <row r="1564">
      <c r="A1564" t="inlineStr">
        <is>
          <t>附表8!W12</t>
        </is>
      </c>
      <c r="B1564" t="inlineStr">
        <is>
          <t>annual.debt_service+finance_fact_pack.debt_schedule.period_20</t>
        </is>
      </c>
      <c r="C1564" t="inlineStr">
        <is>
          <t>engine_value</t>
        </is>
      </c>
    </row>
    <row r="1565">
      <c r="A1565" t="inlineStr">
        <is>
          <t>附表8!X12</t>
        </is>
      </c>
      <c r="B1565" t="inlineStr">
        <is>
          <t>annual.debt_service+finance_fact_pack.debt_schedule.period_21</t>
        </is>
      </c>
      <c r="C1565" t="inlineStr">
        <is>
          <t>engine_value</t>
        </is>
      </c>
    </row>
    <row r="1566">
      <c r="A1566" t="inlineStr">
        <is>
          <t>附表8!Y12</t>
        </is>
      </c>
      <c r="B1566" t="inlineStr">
        <is>
          <t>annual.debt_service+finance_fact_pack.debt_schedule.period_22</t>
        </is>
      </c>
      <c r="C1566" t="inlineStr">
        <is>
          <t>engine_value</t>
        </is>
      </c>
    </row>
    <row r="1567">
      <c r="A1567" t="inlineStr">
        <is>
          <t>附表8!Z12</t>
        </is>
      </c>
      <c r="B1567" t="inlineStr">
        <is>
          <t>annual.debt_service+finance_fact_pack.debt_schedule.period_23</t>
        </is>
      </c>
      <c r="C1567" t="inlineStr">
        <is>
          <t>engine_value</t>
        </is>
      </c>
    </row>
    <row r="1568">
      <c r="A1568" t="inlineStr">
        <is>
          <t>附表8!AA12</t>
        </is>
      </c>
      <c r="B1568" t="inlineStr">
        <is>
          <t>annual.debt_service+finance_fact_pack.debt_schedule.period_24</t>
        </is>
      </c>
      <c r="C1568" t="inlineStr">
        <is>
          <t>engine_value</t>
        </is>
      </c>
    </row>
    <row r="1569">
      <c r="A1569" t="inlineStr">
        <is>
          <t>附表8!A13</t>
        </is>
      </c>
      <c r="B1569" t="inlineStr">
        <is>
          <t>annual.debt_service+finance_fact_pack.debt_schedule.no</t>
        </is>
      </c>
      <c r="C1569" t="inlineStr">
        <is>
          <t>engine_value</t>
        </is>
      </c>
    </row>
    <row r="1570">
      <c r="A1570" t="inlineStr">
        <is>
          <t>附表8!B13</t>
        </is>
      </c>
      <c r="B1570" t="inlineStr">
        <is>
          <t>annual.debt_service+finance_fact_pack.debt_schedule.item</t>
        </is>
      </c>
      <c r="C1570" t="inlineStr">
        <is>
          <t>engine_value</t>
        </is>
      </c>
    </row>
    <row r="1571">
      <c r="A1571" t="inlineStr">
        <is>
          <t>附表8!C13</t>
        </is>
      </c>
      <c r="B1571" t="inlineStr">
        <is>
          <t>annual.debt_service+finance_fact_pack.debt_schedule.total</t>
        </is>
      </c>
      <c r="C1571" t="inlineStr">
        <is>
          <t>engine_value</t>
        </is>
      </c>
    </row>
    <row r="1572">
      <c r="A1572" t="inlineStr">
        <is>
          <t>附表8!D13</t>
        </is>
      </c>
      <c r="B1572" t="inlineStr">
        <is>
          <t>annual.debt_service+finance_fact_pack.debt_schedule.period_1</t>
        </is>
      </c>
      <c r="C1572" t="inlineStr">
        <is>
          <t>engine_value</t>
        </is>
      </c>
    </row>
    <row r="1573">
      <c r="A1573" t="inlineStr">
        <is>
          <t>附表8!E13</t>
        </is>
      </c>
      <c r="B1573" t="inlineStr">
        <is>
          <t>annual.debt_service+finance_fact_pack.debt_schedule.period_2</t>
        </is>
      </c>
      <c r="C1573" t="inlineStr">
        <is>
          <t>engine_value</t>
        </is>
      </c>
    </row>
    <row r="1574">
      <c r="A1574" t="inlineStr">
        <is>
          <t>附表8!F13</t>
        </is>
      </c>
      <c r="B1574" t="inlineStr">
        <is>
          <t>annual.debt_service+finance_fact_pack.debt_schedule.period_3</t>
        </is>
      </c>
      <c r="C1574" t="inlineStr">
        <is>
          <t>engine_value</t>
        </is>
      </c>
    </row>
    <row r="1575">
      <c r="A1575" t="inlineStr">
        <is>
          <t>附表8!G13</t>
        </is>
      </c>
      <c r="B1575" t="inlineStr">
        <is>
          <t>annual.debt_service+finance_fact_pack.debt_schedule.period_4</t>
        </is>
      </c>
      <c r="C1575" t="inlineStr">
        <is>
          <t>engine_value</t>
        </is>
      </c>
    </row>
    <row r="1576">
      <c r="A1576" t="inlineStr">
        <is>
          <t>附表8!H13</t>
        </is>
      </c>
      <c r="B1576" t="inlineStr">
        <is>
          <t>annual.debt_service+finance_fact_pack.debt_schedule.period_5</t>
        </is>
      </c>
      <c r="C1576" t="inlineStr">
        <is>
          <t>engine_value</t>
        </is>
      </c>
    </row>
    <row r="1577">
      <c r="A1577" t="inlineStr">
        <is>
          <t>附表8!I13</t>
        </is>
      </c>
      <c r="B1577" t="inlineStr">
        <is>
          <t>annual.debt_service+finance_fact_pack.debt_schedule.period_6</t>
        </is>
      </c>
      <c r="C1577" t="inlineStr">
        <is>
          <t>engine_value</t>
        </is>
      </c>
    </row>
    <row r="1578">
      <c r="A1578" t="inlineStr">
        <is>
          <t>附表8!J13</t>
        </is>
      </c>
      <c r="B1578" t="inlineStr">
        <is>
          <t>annual.debt_service+finance_fact_pack.debt_schedule.period_7</t>
        </is>
      </c>
      <c r="C1578" t="inlineStr">
        <is>
          <t>engine_value</t>
        </is>
      </c>
    </row>
    <row r="1579">
      <c r="A1579" t="inlineStr">
        <is>
          <t>附表8!K13</t>
        </is>
      </c>
      <c r="B1579" t="inlineStr">
        <is>
          <t>annual.debt_service+finance_fact_pack.debt_schedule.period_8</t>
        </is>
      </c>
      <c r="C1579" t="inlineStr">
        <is>
          <t>engine_value</t>
        </is>
      </c>
    </row>
    <row r="1580">
      <c r="A1580" t="inlineStr">
        <is>
          <t>附表8!L13</t>
        </is>
      </c>
      <c r="B1580" t="inlineStr">
        <is>
          <t>annual.debt_service+finance_fact_pack.debt_schedule.period_9</t>
        </is>
      </c>
      <c r="C1580" t="inlineStr">
        <is>
          <t>engine_value</t>
        </is>
      </c>
    </row>
    <row r="1581">
      <c r="A1581" t="inlineStr">
        <is>
          <t>附表8!M13</t>
        </is>
      </c>
      <c r="B1581" t="inlineStr">
        <is>
          <t>annual.debt_service+finance_fact_pack.debt_schedule.period_10</t>
        </is>
      </c>
      <c r="C1581" t="inlineStr">
        <is>
          <t>engine_value</t>
        </is>
      </c>
    </row>
    <row r="1582">
      <c r="A1582" t="inlineStr">
        <is>
          <t>附表8!N13</t>
        </is>
      </c>
      <c r="B1582" t="inlineStr">
        <is>
          <t>annual.debt_service+finance_fact_pack.debt_schedule.period_11</t>
        </is>
      </c>
      <c r="C1582" t="inlineStr">
        <is>
          <t>engine_value</t>
        </is>
      </c>
    </row>
    <row r="1583">
      <c r="A1583" t="inlineStr">
        <is>
          <t>附表8!O13</t>
        </is>
      </c>
      <c r="B1583" t="inlineStr">
        <is>
          <t>annual.debt_service+finance_fact_pack.debt_schedule.period_12</t>
        </is>
      </c>
      <c r="C1583" t="inlineStr">
        <is>
          <t>engine_value</t>
        </is>
      </c>
    </row>
    <row r="1584">
      <c r="A1584" t="inlineStr">
        <is>
          <t>附表8!P13</t>
        </is>
      </c>
      <c r="B1584" t="inlineStr">
        <is>
          <t>annual.debt_service+finance_fact_pack.debt_schedule.period_13</t>
        </is>
      </c>
      <c r="C1584" t="inlineStr">
        <is>
          <t>engine_value</t>
        </is>
      </c>
    </row>
    <row r="1585">
      <c r="A1585" t="inlineStr">
        <is>
          <t>附表8!Q13</t>
        </is>
      </c>
      <c r="B1585" t="inlineStr">
        <is>
          <t>annual.debt_service+finance_fact_pack.debt_schedule.period_14</t>
        </is>
      </c>
      <c r="C1585" t="inlineStr">
        <is>
          <t>engine_value</t>
        </is>
      </c>
    </row>
    <row r="1586">
      <c r="A1586" t="inlineStr">
        <is>
          <t>附表8!R13</t>
        </is>
      </c>
      <c r="B1586" t="inlineStr">
        <is>
          <t>annual.debt_service+finance_fact_pack.debt_schedule.period_15</t>
        </is>
      </c>
      <c r="C1586" t="inlineStr">
        <is>
          <t>engine_value</t>
        </is>
      </c>
    </row>
    <row r="1587">
      <c r="A1587" t="inlineStr">
        <is>
          <t>附表8!S13</t>
        </is>
      </c>
      <c r="B1587" t="inlineStr">
        <is>
          <t>annual.debt_service+finance_fact_pack.debt_schedule.period_16</t>
        </is>
      </c>
      <c r="C1587" t="inlineStr">
        <is>
          <t>engine_value</t>
        </is>
      </c>
    </row>
    <row r="1588">
      <c r="A1588" t="inlineStr">
        <is>
          <t>附表8!T13</t>
        </is>
      </c>
      <c r="B1588" t="inlineStr">
        <is>
          <t>annual.debt_service+finance_fact_pack.debt_schedule.period_17</t>
        </is>
      </c>
      <c r="C1588" t="inlineStr">
        <is>
          <t>engine_value</t>
        </is>
      </c>
    </row>
    <row r="1589">
      <c r="A1589" t="inlineStr">
        <is>
          <t>附表8!U13</t>
        </is>
      </c>
      <c r="B1589" t="inlineStr">
        <is>
          <t>annual.debt_service+finance_fact_pack.debt_schedule.period_18</t>
        </is>
      </c>
      <c r="C1589" t="inlineStr">
        <is>
          <t>engine_value</t>
        </is>
      </c>
    </row>
    <row r="1590">
      <c r="A1590" t="inlineStr">
        <is>
          <t>附表8!V13</t>
        </is>
      </c>
      <c r="B1590" t="inlineStr">
        <is>
          <t>annual.debt_service+finance_fact_pack.debt_schedule.period_19</t>
        </is>
      </c>
      <c r="C1590" t="inlineStr">
        <is>
          <t>engine_value</t>
        </is>
      </c>
    </row>
    <row r="1591">
      <c r="A1591" t="inlineStr">
        <is>
          <t>附表8!W13</t>
        </is>
      </c>
      <c r="B1591" t="inlineStr">
        <is>
          <t>annual.debt_service+finance_fact_pack.debt_schedule.period_20</t>
        </is>
      </c>
      <c r="C1591" t="inlineStr">
        <is>
          <t>engine_value</t>
        </is>
      </c>
    </row>
    <row r="1592">
      <c r="A1592" t="inlineStr">
        <is>
          <t>附表8!X13</t>
        </is>
      </c>
      <c r="B1592" t="inlineStr">
        <is>
          <t>annual.debt_service+finance_fact_pack.debt_schedule.period_21</t>
        </is>
      </c>
      <c r="C1592" t="inlineStr">
        <is>
          <t>engine_value</t>
        </is>
      </c>
    </row>
    <row r="1593">
      <c r="A1593" t="inlineStr">
        <is>
          <t>附表8!Y13</t>
        </is>
      </c>
      <c r="B1593" t="inlineStr">
        <is>
          <t>annual.debt_service+finance_fact_pack.debt_schedule.period_22</t>
        </is>
      </c>
      <c r="C1593" t="inlineStr">
        <is>
          <t>engine_value</t>
        </is>
      </c>
    </row>
    <row r="1594">
      <c r="A1594" t="inlineStr">
        <is>
          <t>附表8!Z13</t>
        </is>
      </c>
      <c r="B1594" t="inlineStr">
        <is>
          <t>annual.debt_service+finance_fact_pack.debt_schedule.period_23</t>
        </is>
      </c>
      <c r="C1594" t="inlineStr">
        <is>
          <t>engine_value</t>
        </is>
      </c>
    </row>
    <row r="1595">
      <c r="A1595" t="inlineStr">
        <is>
          <t>附表8!AA13</t>
        </is>
      </c>
      <c r="B1595" t="inlineStr">
        <is>
          <t>annual.debt_service+finance_fact_pack.debt_schedule.period_24</t>
        </is>
      </c>
      <c r="C1595" t="inlineStr">
        <is>
          <t>engine_value</t>
        </is>
      </c>
    </row>
    <row r="1596">
      <c r="A1596" t="inlineStr">
        <is>
          <t>附表8!A14</t>
        </is>
      </c>
      <c r="B1596" t="inlineStr">
        <is>
          <t>annual.debt_service+finance_fact_pack.debt_schedule.no</t>
        </is>
      </c>
      <c r="C1596" t="inlineStr">
        <is>
          <t>engine_value</t>
        </is>
      </c>
    </row>
    <row r="1597">
      <c r="A1597" t="inlineStr">
        <is>
          <t>附表8!B14</t>
        </is>
      </c>
      <c r="B1597" t="inlineStr">
        <is>
          <t>annual.debt_service+finance_fact_pack.debt_schedule.item</t>
        </is>
      </c>
      <c r="C1597" t="inlineStr">
        <is>
          <t>engine_value</t>
        </is>
      </c>
    </row>
    <row r="1598">
      <c r="A1598" t="inlineStr">
        <is>
          <t>附表8!C14</t>
        </is>
      </c>
      <c r="B1598" t="inlineStr">
        <is>
          <t>annual.debt_service+finance_fact_pack.debt_schedule.total</t>
        </is>
      </c>
      <c r="C1598" t="inlineStr">
        <is>
          <t>engine_value</t>
        </is>
      </c>
    </row>
    <row r="1599">
      <c r="A1599" t="inlineStr">
        <is>
          <t>附表8!D14</t>
        </is>
      </c>
      <c r="B1599" t="inlineStr">
        <is>
          <t>annual.debt_service+finance_fact_pack.debt_schedule.period_1</t>
        </is>
      </c>
      <c r="C1599" t="inlineStr">
        <is>
          <t>engine_value</t>
        </is>
      </c>
    </row>
    <row r="1600">
      <c r="A1600" t="inlineStr">
        <is>
          <t>附表8!E14</t>
        </is>
      </c>
      <c r="B1600" t="inlineStr">
        <is>
          <t>annual.debt_service+finance_fact_pack.debt_schedule.period_2</t>
        </is>
      </c>
      <c r="C1600" t="inlineStr">
        <is>
          <t>engine_value</t>
        </is>
      </c>
    </row>
    <row r="1601">
      <c r="A1601" t="inlineStr">
        <is>
          <t>附表8!F14</t>
        </is>
      </c>
      <c r="B1601" t="inlineStr">
        <is>
          <t>annual.debt_service+finance_fact_pack.debt_schedule.period_3</t>
        </is>
      </c>
      <c r="C1601" t="inlineStr">
        <is>
          <t>engine_value</t>
        </is>
      </c>
    </row>
    <row r="1602">
      <c r="A1602" t="inlineStr">
        <is>
          <t>附表8!G14</t>
        </is>
      </c>
      <c r="B1602" t="inlineStr">
        <is>
          <t>annual.debt_service+finance_fact_pack.debt_schedule.period_4</t>
        </is>
      </c>
      <c r="C1602" t="inlineStr">
        <is>
          <t>engine_value</t>
        </is>
      </c>
    </row>
    <row r="1603">
      <c r="A1603" t="inlineStr">
        <is>
          <t>附表8!H14</t>
        </is>
      </c>
      <c r="B1603" t="inlineStr">
        <is>
          <t>annual.debt_service+finance_fact_pack.debt_schedule.period_5</t>
        </is>
      </c>
      <c r="C1603" t="inlineStr">
        <is>
          <t>engine_value</t>
        </is>
      </c>
    </row>
    <row r="1604">
      <c r="A1604" t="inlineStr">
        <is>
          <t>附表8!I14</t>
        </is>
      </c>
      <c r="B1604" t="inlineStr">
        <is>
          <t>annual.debt_service+finance_fact_pack.debt_schedule.period_6</t>
        </is>
      </c>
      <c r="C1604" t="inlineStr">
        <is>
          <t>engine_value</t>
        </is>
      </c>
    </row>
    <row r="1605">
      <c r="A1605" t="inlineStr">
        <is>
          <t>附表8!J14</t>
        </is>
      </c>
      <c r="B1605" t="inlineStr">
        <is>
          <t>annual.debt_service+finance_fact_pack.debt_schedule.period_7</t>
        </is>
      </c>
      <c r="C1605" t="inlineStr">
        <is>
          <t>engine_value</t>
        </is>
      </c>
    </row>
    <row r="1606">
      <c r="A1606" t="inlineStr">
        <is>
          <t>附表8!K14</t>
        </is>
      </c>
      <c r="B1606" t="inlineStr">
        <is>
          <t>annual.debt_service+finance_fact_pack.debt_schedule.period_8</t>
        </is>
      </c>
      <c r="C1606" t="inlineStr">
        <is>
          <t>engine_value</t>
        </is>
      </c>
    </row>
    <row r="1607">
      <c r="A1607" t="inlineStr">
        <is>
          <t>附表8!L14</t>
        </is>
      </c>
      <c r="B1607" t="inlineStr">
        <is>
          <t>annual.debt_service+finance_fact_pack.debt_schedule.period_9</t>
        </is>
      </c>
      <c r="C1607" t="inlineStr">
        <is>
          <t>engine_value</t>
        </is>
      </c>
    </row>
    <row r="1608">
      <c r="A1608" t="inlineStr">
        <is>
          <t>附表8!M14</t>
        </is>
      </c>
      <c r="B1608" t="inlineStr">
        <is>
          <t>annual.debt_service+finance_fact_pack.debt_schedule.period_10</t>
        </is>
      </c>
      <c r="C1608" t="inlineStr">
        <is>
          <t>engine_value</t>
        </is>
      </c>
    </row>
    <row r="1609">
      <c r="A1609" t="inlineStr">
        <is>
          <t>附表8!N14</t>
        </is>
      </c>
      <c r="B1609" t="inlineStr">
        <is>
          <t>annual.debt_service+finance_fact_pack.debt_schedule.period_11</t>
        </is>
      </c>
      <c r="C1609" t="inlineStr">
        <is>
          <t>engine_value</t>
        </is>
      </c>
    </row>
    <row r="1610">
      <c r="A1610" t="inlineStr">
        <is>
          <t>附表8!O14</t>
        </is>
      </c>
      <c r="B1610" t="inlineStr">
        <is>
          <t>annual.debt_service+finance_fact_pack.debt_schedule.period_12</t>
        </is>
      </c>
      <c r="C1610" t="inlineStr">
        <is>
          <t>engine_value</t>
        </is>
      </c>
    </row>
    <row r="1611">
      <c r="A1611" t="inlineStr">
        <is>
          <t>附表8!P14</t>
        </is>
      </c>
      <c r="B1611" t="inlineStr">
        <is>
          <t>annual.debt_service+finance_fact_pack.debt_schedule.period_13</t>
        </is>
      </c>
      <c r="C1611" t="inlineStr">
        <is>
          <t>engine_value</t>
        </is>
      </c>
    </row>
    <row r="1612">
      <c r="A1612" t="inlineStr">
        <is>
          <t>附表8!Q14</t>
        </is>
      </c>
      <c r="B1612" t="inlineStr">
        <is>
          <t>annual.debt_service+finance_fact_pack.debt_schedule.period_14</t>
        </is>
      </c>
      <c r="C1612" t="inlineStr">
        <is>
          <t>engine_value</t>
        </is>
      </c>
    </row>
    <row r="1613">
      <c r="A1613" t="inlineStr">
        <is>
          <t>附表8!R14</t>
        </is>
      </c>
      <c r="B1613" t="inlineStr">
        <is>
          <t>annual.debt_service+finance_fact_pack.debt_schedule.period_15</t>
        </is>
      </c>
      <c r="C1613" t="inlineStr">
        <is>
          <t>engine_value</t>
        </is>
      </c>
    </row>
    <row r="1614">
      <c r="A1614" t="inlineStr">
        <is>
          <t>附表8!S14</t>
        </is>
      </c>
      <c r="B1614" t="inlineStr">
        <is>
          <t>annual.debt_service+finance_fact_pack.debt_schedule.period_16</t>
        </is>
      </c>
      <c r="C1614" t="inlineStr">
        <is>
          <t>engine_value</t>
        </is>
      </c>
    </row>
    <row r="1615">
      <c r="A1615" t="inlineStr">
        <is>
          <t>附表8!T14</t>
        </is>
      </c>
      <c r="B1615" t="inlineStr">
        <is>
          <t>annual.debt_service+finance_fact_pack.debt_schedule.period_17</t>
        </is>
      </c>
      <c r="C1615" t="inlineStr">
        <is>
          <t>engine_value</t>
        </is>
      </c>
    </row>
    <row r="1616">
      <c r="A1616" t="inlineStr">
        <is>
          <t>附表8!U14</t>
        </is>
      </c>
      <c r="B1616" t="inlineStr">
        <is>
          <t>annual.debt_service+finance_fact_pack.debt_schedule.period_18</t>
        </is>
      </c>
      <c r="C1616" t="inlineStr">
        <is>
          <t>engine_value</t>
        </is>
      </c>
    </row>
    <row r="1617">
      <c r="A1617" t="inlineStr">
        <is>
          <t>附表8!V14</t>
        </is>
      </c>
      <c r="B1617" t="inlineStr">
        <is>
          <t>annual.debt_service+finance_fact_pack.debt_schedule.period_19</t>
        </is>
      </c>
      <c r="C1617" t="inlineStr">
        <is>
          <t>engine_value</t>
        </is>
      </c>
    </row>
    <row r="1618">
      <c r="A1618" t="inlineStr">
        <is>
          <t>附表8!W14</t>
        </is>
      </c>
      <c r="B1618" t="inlineStr">
        <is>
          <t>annual.debt_service+finance_fact_pack.debt_schedule.period_20</t>
        </is>
      </c>
      <c r="C1618" t="inlineStr">
        <is>
          <t>engine_value</t>
        </is>
      </c>
    </row>
    <row r="1619">
      <c r="A1619" t="inlineStr">
        <is>
          <t>附表8!X14</t>
        </is>
      </c>
      <c r="B1619" t="inlineStr">
        <is>
          <t>annual.debt_service+finance_fact_pack.debt_schedule.period_21</t>
        </is>
      </c>
      <c r="C1619" t="inlineStr">
        <is>
          <t>engine_value</t>
        </is>
      </c>
    </row>
    <row r="1620">
      <c r="A1620" t="inlineStr">
        <is>
          <t>附表8!Y14</t>
        </is>
      </c>
      <c r="B1620" t="inlineStr">
        <is>
          <t>annual.debt_service+finance_fact_pack.debt_schedule.period_22</t>
        </is>
      </c>
      <c r="C1620" t="inlineStr">
        <is>
          <t>engine_value</t>
        </is>
      </c>
    </row>
    <row r="1621">
      <c r="A1621" t="inlineStr">
        <is>
          <t>附表8!Z14</t>
        </is>
      </c>
      <c r="B1621" t="inlineStr">
        <is>
          <t>annual.debt_service+finance_fact_pack.debt_schedule.period_23</t>
        </is>
      </c>
      <c r="C1621" t="inlineStr">
        <is>
          <t>engine_value</t>
        </is>
      </c>
    </row>
    <row r="1622">
      <c r="A1622" t="inlineStr">
        <is>
          <t>附表8!AA14</t>
        </is>
      </c>
      <c r="B1622" t="inlineStr">
        <is>
          <t>annual.debt_service+finance_fact_pack.debt_schedule.period_24</t>
        </is>
      </c>
      <c r="C1622" t="inlineStr">
        <is>
          <t>engine_value</t>
        </is>
      </c>
    </row>
    <row r="1623">
      <c r="A1623" t="inlineStr">
        <is>
          <t>附表8!A15</t>
        </is>
      </c>
      <c r="B1623" t="inlineStr">
        <is>
          <t>annual.debt_service+finance_fact_pack.debt_schedule.no</t>
        </is>
      </c>
      <c r="C1623" t="inlineStr">
        <is>
          <t>engine_value</t>
        </is>
      </c>
    </row>
    <row r="1624">
      <c r="A1624" t="inlineStr">
        <is>
          <t>附表8!B15</t>
        </is>
      </c>
      <c r="B1624" t="inlineStr">
        <is>
          <t>annual.debt_service+finance_fact_pack.debt_schedule.item</t>
        </is>
      </c>
      <c r="C1624" t="inlineStr">
        <is>
          <t>engine_value</t>
        </is>
      </c>
    </row>
    <row r="1625">
      <c r="A1625" t="inlineStr">
        <is>
          <t>附表8!C15</t>
        </is>
      </c>
      <c r="B1625" t="inlineStr">
        <is>
          <t>annual.debt_service+finance_fact_pack.debt_schedule.total</t>
        </is>
      </c>
      <c r="C1625" t="inlineStr">
        <is>
          <t>engine_value</t>
        </is>
      </c>
    </row>
    <row r="1626">
      <c r="A1626" t="inlineStr">
        <is>
          <t>附表8!D15</t>
        </is>
      </c>
      <c r="B1626" t="inlineStr">
        <is>
          <t>annual.debt_service+finance_fact_pack.debt_schedule.period_1</t>
        </is>
      </c>
      <c r="C1626" t="inlineStr">
        <is>
          <t>engine_value</t>
        </is>
      </c>
    </row>
    <row r="1627">
      <c r="A1627" t="inlineStr">
        <is>
          <t>附表8!E15</t>
        </is>
      </c>
      <c r="B1627" t="inlineStr">
        <is>
          <t>annual.debt_service+finance_fact_pack.debt_schedule.period_2</t>
        </is>
      </c>
      <c r="C1627" t="inlineStr">
        <is>
          <t>engine_value</t>
        </is>
      </c>
    </row>
    <row r="1628">
      <c r="A1628" t="inlineStr">
        <is>
          <t>附表8!F15</t>
        </is>
      </c>
      <c r="B1628" t="inlineStr">
        <is>
          <t>annual.debt_service+finance_fact_pack.debt_schedule.period_3</t>
        </is>
      </c>
      <c r="C1628" t="inlineStr">
        <is>
          <t>engine_value</t>
        </is>
      </c>
    </row>
    <row r="1629">
      <c r="A1629" t="inlineStr">
        <is>
          <t>附表8!G15</t>
        </is>
      </c>
      <c r="B1629" t="inlineStr">
        <is>
          <t>annual.debt_service+finance_fact_pack.debt_schedule.period_4</t>
        </is>
      </c>
      <c r="C1629" t="inlineStr">
        <is>
          <t>engine_value</t>
        </is>
      </c>
    </row>
    <row r="1630">
      <c r="A1630" t="inlineStr">
        <is>
          <t>附表8!H15</t>
        </is>
      </c>
      <c r="B1630" t="inlineStr">
        <is>
          <t>annual.debt_service+finance_fact_pack.debt_schedule.period_5</t>
        </is>
      </c>
      <c r="C1630" t="inlineStr">
        <is>
          <t>engine_value</t>
        </is>
      </c>
    </row>
    <row r="1631">
      <c r="A1631" t="inlineStr">
        <is>
          <t>附表8!I15</t>
        </is>
      </c>
      <c r="B1631" t="inlineStr">
        <is>
          <t>annual.debt_service+finance_fact_pack.debt_schedule.period_6</t>
        </is>
      </c>
      <c r="C1631" t="inlineStr">
        <is>
          <t>engine_value</t>
        </is>
      </c>
    </row>
    <row r="1632">
      <c r="A1632" t="inlineStr">
        <is>
          <t>附表8!J15</t>
        </is>
      </c>
      <c r="B1632" t="inlineStr">
        <is>
          <t>annual.debt_service+finance_fact_pack.debt_schedule.period_7</t>
        </is>
      </c>
      <c r="C1632" t="inlineStr">
        <is>
          <t>engine_value</t>
        </is>
      </c>
    </row>
    <row r="1633">
      <c r="A1633" t="inlineStr">
        <is>
          <t>附表8!K15</t>
        </is>
      </c>
      <c r="B1633" t="inlineStr">
        <is>
          <t>annual.debt_service+finance_fact_pack.debt_schedule.period_8</t>
        </is>
      </c>
      <c r="C1633" t="inlineStr">
        <is>
          <t>engine_value</t>
        </is>
      </c>
    </row>
    <row r="1634">
      <c r="A1634" t="inlineStr">
        <is>
          <t>附表8!L15</t>
        </is>
      </c>
      <c r="B1634" t="inlineStr">
        <is>
          <t>annual.debt_service+finance_fact_pack.debt_schedule.period_9</t>
        </is>
      </c>
      <c r="C1634" t="inlineStr">
        <is>
          <t>engine_value</t>
        </is>
      </c>
    </row>
    <row r="1635">
      <c r="A1635" t="inlineStr">
        <is>
          <t>附表8!M15</t>
        </is>
      </c>
      <c r="B1635" t="inlineStr">
        <is>
          <t>annual.debt_service+finance_fact_pack.debt_schedule.period_10</t>
        </is>
      </c>
      <c r="C1635" t="inlineStr">
        <is>
          <t>engine_value</t>
        </is>
      </c>
    </row>
    <row r="1636">
      <c r="A1636" t="inlineStr">
        <is>
          <t>附表8!N15</t>
        </is>
      </c>
      <c r="B1636" t="inlineStr">
        <is>
          <t>annual.debt_service+finance_fact_pack.debt_schedule.period_11</t>
        </is>
      </c>
      <c r="C1636" t="inlineStr">
        <is>
          <t>engine_value</t>
        </is>
      </c>
    </row>
    <row r="1637">
      <c r="A1637" t="inlineStr">
        <is>
          <t>附表8!O15</t>
        </is>
      </c>
      <c r="B1637" t="inlineStr">
        <is>
          <t>annual.debt_service+finance_fact_pack.debt_schedule.period_12</t>
        </is>
      </c>
      <c r="C1637" t="inlineStr">
        <is>
          <t>engine_value</t>
        </is>
      </c>
    </row>
    <row r="1638">
      <c r="A1638" t="inlineStr">
        <is>
          <t>附表8!P15</t>
        </is>
      </c>
      <c r="B1638" t="inlineStr">
        <is>
          <t>annual.debt_service+finance_fact_pack.debt_schedule.period_13</t>
        </is>
      </c>
      <c r="C1638" t="inlineStr">
        <is>
          <t>engine_value</t>
        </is>
      </c>
    </row>
    <row r="1639">
      <c r="A1639" t="inlineStr">
        <is>
          <t>附表8!Q15</t>
        </is>
      </c>
      <c r="B1639" t="inlineStr">
        <is>
          <t>annual.debt_service+finance_fact_pack.debt_schedule.period_14</t>
        </is>
      </c>
      <c r="C1639" t="inlineStr">
        <is>
          <t>engine_value</t>
        </is>
      </c>
    </row>
    <row r="1640">
      <c r="A1640" t="inlineStr">
        <is>
          <t>附表8!R15</t>
        </is>
      </c>
      <c r="B1640" t="inlineStr">
        <is>
          <t>annual.debt_service+finance_fact_pack.debt_schedule.period_15</t>
        </is>
      </c>
      <c r="C1640" t="inlineStr">
        <is>
          <t>engine_value</t>
        </is>
      </c>
    </row>
    <row r="1641">
      <c r="A1641" t="inlineStr">
        <is>
          <t>附表8!S15</t>
        </is>
      </c>
      <c r="B1641" t="inlineStr">
        <is>
          <t>annual.debt_service+finance_fact_pack.debt_schedule.period_16</t>
        </is>
      </c>
      <c r="C1641" t="inlineStr">
        <is>
          <t>engine_value</t>
        </is>
      </c>
    </row>
    <row r="1642">
      <c r="A1642" t="inlineStr">
        <is>
          <t>附表8!T15</t>
        </is>
      </c>
      <c r="B1642" t="inlineStr">
        <is>
          <t>annual.debt_service+finance_fact_pack.debt_schedule.period_17</t>
        </is>
      </c>
      <c r="C1642" t="inlineStr">
        <is>
          <t>engine_value</t>
        </is>
      </c>
    </row>
    <row r="1643">
      <c r="A1643" t="inlineStr">
        <is>
          <t>附表8!U15</t>
        </is>
      </c>
      <c r="B1643" t="inlineStr">
        <is>
          <t>annual.debt_service+finance_fact_pack.debt_schedule.period_18</t>
        </is>
      </c>
      <c r="C1643" t="inlineStr">
        <is>
          <t>engine_value</t>
        </is>
      </c>
    </row>
    <row r="1644">
      <c r="A1644" t="inlineStr">
        <is>
          <t>附表8!V15</t>
        </is>
      </c>
      <c r="B1644" t="inlineStr">
        <is>
          <t>annual.debt_service+finance_fact_pack.debt_schedule.period_19</t>
        </is>
      </c>
      <c r="C1644" t="inlineStr">
        <is>
          <t>engine_value</t>
        </is>
      </c>
    </row>
    <row r="1645">
      <c r="A1645" t="inlineStr">
        <is>
          <t>附表8!W15</t>
        </is>
      </c>
      <c r="B1645" t="inlineStr">
        <is>
          <t>annual.debt_service+finance_fact_pack.debt_schedule.period_20</t>
        </is>
      </c>
      <c r="C1645" t="inlineStr">
        <is>
          <t>engine_value</t>
        </is>
      </c>
    </row>
    <row r="1646">
      <c r="A1646" t="inlineStr">
        <is>
          <t>附表8!X15</t>
        </is>
      </c>
      <c r="B1646" t="inlineStr">
        <is>
          <t>annual.debt_service+finance_fact_pack.debt_schedule.period_21</t>
        </is>
      </c>
      <c r="C1646" t="inlineStr">
        <is>
          <t>engine_value</t>
        </is>
      </c>
    </row>
    <row r="1647">
      <c r="A1647" t="inlineStr">
        <is>
          <t>附表8!Y15</t>
        </is>
      </c>
      <c r="B1647" t="inlineStr">
        <is>
          <t>annual.debt_service+finance_fact_pack.debt_schedule.period_22</t>
        </is>
      </c>
      <c r="C1647" t="inlineStr">
        <is>
          <t>engine_value</t>
        </is>
      </c>
    </row>
    <row r="1648">
      <c r="A1648" t="inlineStr">
        <is>
          <t>附表8!Z15</t>
        </is>
      </c>
      <c r="B1648" t="inlineStr">
        <is>
          <t>annual.debt_service+finance_fact_pack.debt_schedule.period_23</t>
        </is>
      </c>
      <c r="C1648" t="inlineStr">
        <is>
          <t>engine_value</t>
        </is>
      </c>
    </row>
    <row r="1649">
      <c r="A1649" t="inlineStr">
        <is>
          <t>附表8!AA15</t>
        </is>
      </c>
      <c r="B1649" t="inlineStr">
        <is>
          <t>annual.debt_service+finance_fact_pack.debt_schedule.period_24</t>
        </is>
      </c>
      <c r="C1649" t="inlineStr">
        <is>
          <t>engine_value</t>
        </is>
      </c>
    </row>
    <row r="1650">
      <c r="A1650" t="inlineStr">
        <is>
          <t>附表8!A16</t>
        </is>
      </c>
      <c r="B1650" t="inlineStr">
        <is>
          <t>annual.debt_service+finance_fact_pack.debt_schedule.no</t>
        </is>
      </c>
      <c r="C1650" t="inlineStr">
        <is>
          <t>engine_value</t>
        </is>
      </c>
    </row>
    <row r="1651">
      <c r="A1651" t="inlineStr">
        <is>
          <t>附表8!B16</t>
        </is>
      </c>
      <c r="B1651" t="inlineStr">
        <is>
          <t>annual.debt_service+finance_fact_pack.debt_schedule.item</t>
        </is>
      </c>
      <c r="C1651" t="inlineStr">
        <is>
          <t>engine_value</t>
        </is>
      </c>
    </row>
    <row r="1652">
      <c r="A1652" t="inlineStr">
        <is>
          <t>附表8!C16</t>
        </is>
      </c>
      <c r="B1652" t="inlineStr">
        <is>
          <t>annual.debt_service+finance_fact_pack.debt_schedule.total</t>
        </is>
      </c>
      <c r="C1652" t="inlineStr">
        <is>
          <t>engine_value</t>
        </is>
      </c>
    </row>
    <row r="1653">
      <c r="A1653" t="inlineStr">
        <is>
          <t>附表8!D16</t>
        </is>
      </c>
      <c r="B1653" t="inlineStr">
        <is>
          <t>annual.debt_service+finance_fact_pack.debt_schedule.period_1</t>
        </is>
      </c>
      <c r="C1653" t="inlineStr">
        <is>
          <t>engine_value</t>
        </is>
      </c>
    </row>
    <row r="1654">
      <c r="A1654" t="inlineStr">
        <is>
          <t>附表8!E16</t>
        </is>
      </c>
      <c r="B1654" t="inlineStr">
        <is>
          <t>annual.debt_service+finance_fact_pack.debt_schedule.period_2</t>
        </is>
      </c>
      <c r="C1654" t="inlineStr">
        <is>
          <t>engine_value</t>
        </is>
      </c>
    </row>
    <row r="1655">
      <c r="A1655" t="inlineStr">
        <is>
          <t>附表8!F16</t>
        </is>
      </c>
      <c r="B1655" t="inlineStr">
        <is>
          <t>annual.debt_service+finance_fact_pack.debt_schedule.period_3</t>
        </is>
      </c>
      <c r="C1655" t="inlineStr">
        <is>
          <t>engine_value</t>
        </is>
      </c>
    </row>
    <row r="1656">
      <c r="A1656" t="inlineStr">
        <is>
          <t>附表8!G16</t>
        </is>
      </c>
      <c r="B1656" t="inlineStr">
        <is>
          <t>annual.debt_service+finance_fact_pack.debt_schedule.period_4</t>
        </is>
      </c>
      <c r="C1656" t="inlineStr">
        <is>
          <t>engine_value</t>
        </is>
      </c>
    </row>
    <row r="1657">
      <c r="A1657" t="inlineStr">
        <is>
          <t>附表8!H16</t>
        </is>
      </c>
      <c r="B1657" t="inlineStr">
        <is>
          <t>annual.debt_service+finance_fact_pack.debt_schedule.period_5</t>
        </is>
      </c>
      <c r="C1657" t="inlineStr">
        <is>
          <t>engine_value</t>
        </is>
      </c>
    </row>
    <row r="1658">
      <c r="A1658" t="inlineStr">
        <is>
          <t>附表8!I16</t>
        </is>
      </c>
      <c r="B1658" t="inlineStr">
        <is>
          <t>annual.debt_service+finance_fact_pack.debt_schedule.period_6</t>
        </is>
      </c>
      <c r="C1658" t="inlineStr">
        <is>
          <t>engine_value</t>
        </is>
      </c>
    </row>
    <row r="1659">
      <c r="A1659" t="inlineStr">
        <is>
          <t>附表8!J16</t>
        </is>
      </c>
      <c r="B1659" t="inlineStr">
        <is>
          <t>annual.debt_service+finance_fact_pack.debt_schedule.period_7</t>
        </is>
      </c>
      <c r="C1659" t="inlineStr">
        <is>
          <t>engine_value</t>
        </is>
      </c>
    </row>
    <row r="1660">
      <c r="A1660" t="inlineStr">
        <is>
          <t>附表8!K16</t>
        </is>
      </c>
      <c r="B1660" t="inlineStr">
        <is>
          <t>annual.debt_service+finance_fact_pack.debt_schedule.period_8</t>
        </is>
      </c>
      <c r="C1660" t="inlineStr">
        <is>
          <t>engine_value</t>
        </is>
      </c>
    </row>
    <row r="1661">
      <c r="A1661" t="inlineStr">
        <is>
          <t>附表8!L16</t>
        </is>
      </c>
      <c r="B1661" t="inlineStr">
        <is>
          <t>annual.debt_service+finance_fact_pack.debt_schedule.period_9</t>
        </is>
      </c>
      <c r="C1661" t="inlineStr">
        <is>
          <t>engine_value</t>
        </is>
      </c>
    </row>
    <row r="1662">
      <c r="A1662" t="inlineStr">
        <is>
          <t>附表8!M16</t>
        </is>
      </c>
      <c r="B1662" t="inlineStr">
        <is>
          <t>annual.debt_service+finance_fact_pack.debt_schedule.period_10</t>
        </is>
      </c>
      <c r="C1662" t="inlineStr">
        <is>
          <t>engine_value</t>
        </is>
      </c>
    </row>
    <row r="1663">
      <c r="A1663" t="inlineStr">
        <is>
          <t>附表8!N16</t>
        </is>
      </c>
      <c r="B1663" t="inlineStr">
        <is>
          <t>annual.debt_service+finance_fact_pack.debt_schedule.period_11</t>
        </is>
      </c>
      <c r="C1663" t="inlineStr">
        <is>
          <t>engine_value</t>
        </is>
      </c>
    </row>
    <row r="1664">
      <c r="A1664" t="inlineStr">
        <is>
          <t>附表8!O16</t>
        </is>
      </c>
      <c r="B1664" t="inlineStr">
        <is>
          <t>annual.debt_service+finance_fact_pack.debt_schedule.period_12</t>
        </is>
      </c>
      <c r="C1664" t="inlineStr">
        <is>
          <t>engine_value</t>
        </is>
      </c>
    </row>
    <row r="1665">
      <c r="A1665" t="inlineStr">
        <is>
          <t>附表8!P16</t>
        </is>
      </c>
      <c r="B1665" t="inlineStr">
        <is>
          <t>annual.debt_service+finance_fact_pack.debt_schedule.period_13</t>
        </is>
      </c>
      <c r="C1665" t="inlineStr">
        <is>
          <t>engine_value</t>
        </is>
      </c>
    </row>
    <row r="1666">
      <c r="A1666" t="inlineStr">
        <is>
          <t>附表8!Q16</t>
        </is>
      </c>
      <c r="B1666" t="inlineStr">
        <is>
          <t>annual.debt_service+finance_fact_pack.debt_schedule.period_14</t>
        </is>
      </c>
      <c r="C1666" t="inlineStr">
        <is>
          <t>engine_value</t>
        </is>
      </c>
    </row>
    <row r="1667">
      <c r="A1667" t="inlineStr">
        <is>
          <t>附表8!R16</t>
        </is>
      </c>
      <c r="B1667" t="inlineStr">
        <is>
          <t>annual.debt_service+finance_fact_pack.debt_schedule.period_15</t>
        </is>
      </c>
      <c r="C1667" t="inlineStr">
        <is>
          <t>engine_value</t>
        </is>
      </c>
    </row>
    <row r="1668">
      <c r="A1668" t="inlineStr">
        <is>
          <t>附表8!S16</t>
        </is>
      </c>
      <c r="B1668" t="inlineStr">
        <is>
          <t>annual.debt_service+finance_fact_pack.debt_schedule.period_16</t>
        </is>
      </c>
      <c r="C1668" t="inlineStr">
        <is>
          <t>engine_value</t>
        </is>
      </c>
    </row>
    <row r="1669">
      <c r="A1669" t="inlineStr">
        <is>
          <t>附表8!T16</t>
        </is>
      </c>
      <c r="B1669" t="inlineStr">
        <is>
          <t>annual.debt_service+finance_fact_pack.debt_schedule.period_17</t>
        </is>
      </c>
      <c r="C1669" t="inlineStr">
        <is>
          <t>engine_value</t>
        </is>
      </c>
    </row>
    <row r="1670">
      <c r="A1670" t="inlineStr">
        <is>
          <t>附表8!U16</t>
        </is>
      </c>
      <c r="B1670" t="inlineStr">
        <is>
          <t>annual.debt_service+finance_fact_pack.debt_schedule.period_18</t>
        </is>
      </c>
      <c r="C1670" t="inlineStr">
        <is>
          <t>engine_value</t>
        </is>
      </c>
    </row>
    <row r="1671">
      <c r="A1671" t="inlineStr">
        <is>
          <t>附表8!V16</t>
        </is>
      </c>
      <c r="B1671" t="inlineStr">
        <is>
          <t>annual.debt_service+finance_fact_pack.debt_schedule.period_19</t>
        </is>
      </c>
      <c r="C1671" t="inlineStr">
        <is>
          <t>engine_value</t>
        </is>
      </c>
    </row>
    <row r="1672">
      <c r="A1672" t="inlineStr">
        <is>
          <t>附表8!W16</t>
        </is>
      </c>
      <c r="B1672" t="inlineStr">
        <is>
          <t>annual.debt_service+finance_fact_pack.debt_schedule.period_20</t>
        </is>
      </c>
      <c r="C1672" t="inlineStr">
        <is>
          <t>engine_value</t>
        </is>
      </c>
    </row>
    <row r="1673">
      <c r="A1673" t="inlineStr">
        <is>
          <t>附表8!X16</t>
        </is>
      </c>
      <c r="B1673" t="inlineStr">
        <is>
          <t>annual.debt_service+finance_fact_pack.debt_schedule.period_21</t>
        </is>
      </c>
      <c r="C1673" t="inlineStr">
        <is>
          <t>engine_value</t>
        </is>
      </c>
    </row>
    <row r="1674">
      <c r="A1674" t="inlineStr">
        <is>
          <t>附表8!Y16</t>
        </is>
      </c>
      <c r="B1674" t="inlineStr">
        <is>
          <t>annual.debt_service+finance_fact_pack.debt_schedule.period_22</t>
        </is>
      </c>
      <c r="C1674" t="inlineStr">
        <is>
          <t>engine_value</t>
        </is>
      </c>
    </row>
    <row r="1675">
      <c r="A1675" t="inlineStr">
        <is>
          <t>附表8!Z16</t>
        </is>
      </c>
      <c r="B1675" t="inlineStr">
        <is>
          <t>annual.debt_service+finance_fact_pack.debt_schedule.period_23</t>
        </is>
      </c>
      <c r="C1675" t="inlineStr">
        <is>
          <t>engine_value</t>
        </is>
      </c>
    </row>
    <row r="1676">
      <c r="A1676" t="inlineStr">
        <is>
          <t>附表8!AA16</t>
        </is>
      </c>
      <c r="B1676" t="inlineStr">
        <is>
          <t>annual.debt_service+finance_fact_pack.debt_schedule.period_24</t>
        </is>
      </c>
      <c r="C1676" t="inlineStr">
        <is>
          <t>engine_value</t>
        </is>
      </c>
    </row>
    <row r="1677">
      <c r="A1677" t="inlineStr">
        <is>
          <t>附表8!A17</t>
        </is>
      </c>
      <c r="B1677" t="inlineStr">
        <is>
          <t>annual.debt_service+finance_fact_pack.debt_schedule.no</t>
        </is>
      </c>
      <c r="C1677" t="inlineStr">
        <is>
          <t>engine_value</t>
        </is>
      </c>
    </row>
    <row r="1678">
      <c r="A1678" t="inlineStr">
        <is>
          <t>附表8!B17</t>
        </is>
      </c>
      <c r="B1678" t="inlineStr">
        <is>
          <t>annual.debt_service+finance_fact_pack.debt_schedule.item</t>
        </is>
      </c>
      <c r="C1678" t="inlineStr">
        <is>
          <t>engine_value</t>
        </is>
      </c>
    </row>
    <row r="1679">
      <c r="A1679" t="inlineStr">
        <is>
          <t>附表8!C17</t>
        </is>
      </c>
      <c r="B1679" t="inlineStr">
        <is>
          <t>annual.debt_service+finance_fact_pack.debt_schedule.total</t>
        </is>
      </c>
      <c r="C1679" t="inlineStr">
        <is>
          <t>engine_value</t>
        </is>
      </c>
    </row>
    <row r="1680">
      <c r="A1680" t="inlineStr">
        <is>
          <t>附表8!D17</t>
        </is>
      </c>
      <c r="B1680" t="inlineStr">
        <is>
          <t>annual.debt_service+finance_fact_pack.debt_schedule.period_1</t>
        </is>
      </c>
      <c r="C1680" t="inlineStr">
        <is>
          <t>engine_value</t>
        </is>
      </c>
    </row>
    <row r="1681">
      <c r="A1681" t="inlineStr">
        <is>
          <t>附表8!E17</t>
        </is>
      </c>
      <c r="B1681" t="inlineStr">
        <is>
          <t>annual.debt_service+finance_fact_pack.debt_schedule.period_2</t>
        </is>
      </c>
      <c r="C1681" t="inlineStr">
        <is>
          <t>engine_value</t>
        </is>
      </c>
    </row>
    <row r="1682">
      <c r="A1682" t="inlineStr">
        <is>
          <t>附表8!F17</t>
        </is>
      </c>
      <c r="B1682" t="inlineStr">
        <is>
          <t>annual.debt_service+finance_fact_pack.debt_schedule.period_3</t>
        </is>
      </c>
      <c r="C1682" t="inlineStr">
        <is>
          <t>engine_value</t>
        </is>
      </c>
    </row>
    <row r="1683">
      <c r="A1683" t="inlineStr">
        <is>
          <t>附表8!G17</t>
        </is>
      </c>
      <c r="B1683" t="inlineStr">
        <is>
          <t>annual.debt_service+finance_fact_pack.debt_schedule.period_4</t>
        </is>
      </c>
      <c r="C1683" t="inlineStr">
        <is>
          <t>engine_value</t>
        </is>
      </c>
    </row>
    <row r="1684">
      <c r="A1684" t="inlineStr">
        <is>
          <t>附表8!H17</t>
        </is>
      </c>
      <c r="B1684" t="inlineStr">
        <is>
          <t>annual.debt_service+finance_fact_pack.debt_schedule.period_5</t>
        </is>
      </c>
      <c r="C1684" t="inlineStr">
        <is>
          <t>engine_value</t>
        </is>
      </c>
    </row>
    <row r="1685">
      <c r="A1685" t="inlineStr">
        <is>
          <t>附表8!I17</t>
        </is>
      </c>
      <c r="B1685" t="inlineStr">
        <is>
          <t>annual.debt_service+finance_fact_pack.debt_schedule.period_6</t>
        </is>
      </c>
      <c r="C1685" t="inlineStr">
        <is>
          <t>engine_value</t>
        </is>
      </c>
    </row>
    <row r="1686">
      <c r="A1686" t="inlineStr">
        <is>
          <t>附表8!J17</t>
        </is>
      </c>
      <c r="B1686" t="inlineStr">
        <is>
          <t>annual.debt_service+finance_fact_pack.debt_schedule.period_7</t>
        </is>
      </c>
      <c r="C1686" t="inlineStr">
        <is>
          <t>engine_value</t>
        </is>
      </c>
    </row>
    <row r="1687">
      <c r="A1687" t="inlineStr">
        <is>
          <t>附表8!K17</t>
        </is>
      </c>
      <c r="B1687" t="inlineStr">
        <is>
          <t>annual.debt_service+finance_fact_pack.debt_schedule.period_8</t>
        </is>
      </c>
      <c r="C1687" t="inlineStr">
        <is>
          <t>engine_value</t>
        </is>
      </c>
    </row>
    <row r="1688">
      <c r="A1688" t="inlineStr">
        <is>
          <t>附表8!L17</t>
        </is>
      </c>
      <c r="B1688" t="inlineStr">
        <is>
          <t>annual.debt_service+finance_fact_pack.debt_schedule.period_9</t>
        </is>
      </c>
      <c r="C1688" t="inlineStr">
        <is>
          <t>engine_value</t>
        </is>
      </c>
    </row>
    <row r="1689">
      <c r="A1689" t="inlineStr">
        <is>
          <t>附表8!M17</t>
        </is>
      </c>
      <c r="B1689" t="inlineStr">
        <is>
          <t>annual.debt_service+finance_fact_pack.debt_schedule.period_10</t>
        </is>
      </c>
      <c r="C1689" t="inlineStr">
        <is>
          <t>engine_value</t>
        </is>
      </c>
    </row>
    <row r="1690">
      <c r="A1690" t="inlineStr">
        <is>
          <t>附表8!N17</t>
        </is>
      </c>
      <c r="B1690" t="inlineStr">
        <is>
          <t>annual.debt_service+finance_fact_pack.debt_schedule.period_11</t>
        </is>
      </c>
      <c r="C1690" t="inlineStr">
        <is>
          <t>engine_value</t>
        </is>
      </c>
    </row>
    <row r="1691">
      <c r="A1691" t="inlineStr">
        <is>
          <t>附表8!O17</t>
        </is>
      </c>
      <c r="B1691" t="inlineStr">
        <is>
          <t>annual.debt_service+finance_fact_pack.debt_schedule.period_12</t>
        </is>
      </c>
      <c r="C1691" t="inlineStr">
        <is>
          <t>engine_value</t>
        </is>
      </c>
    </row>
    <row r="1692">
      <c r="A1692" t="inlineStr">
        <is>
          <t>附表8!P17</t>
        </is>
      </c>
      <c r="B1692" t="inlineStr">
        <is>
          <t>annual.debt_service+finance_fact_pack.debt_schedule.period_13</t>
        </is>
      </c>
      <c r="C1692" t="inlineStr">
        <is>
          <t>engine_value</t>
        </is>
      </c>
    </row>
    <row r="1693">
      <c r="A1693" t="inlineStr">
        <is>
          <t>附表8!Q17</t>
        </is>
      </c>
      <c r="B1693" t="inlineStr">
        <is>
          <t>annual.debt_service+finance_fact_pack.debt_schedule.period_14</t>
        </is>
      </c>
      <c r="C1693" t="inlineStr">
        <is>
          <t>engine_value</t>
        </is>
      </c>
    </row>
    <row r="1694">
      <c r="A1694" t="inlineStr">
        <is>
          <t>附表8!R17</t>
        </is>
      </c>
      <c r="B1694" t="inlineStr">
        <is>
          <t>annual.debt_service+finance_fact_pack.debt_schedule.period_15</t>
        </is>
      </c>
      <c r="C1694" t="inlineStr">
        <is>
          <t>engine_value</t>
        </is>
      </c>
    </row>
    <row r="1695">
      <c r="A1695" t="inlineStr">
        <is>
          <t>附表8!S17</t>
        </is>
      </c>
      <c r="B1695" t="inlineStr">
        <is>
          <t>annual.debt_service+finance_fact_pack.debt_schedule.period_16</t>
        </is>
      </c>
      <c r="C1695" t="inlineStr">
        <is>
          <t>engine_value</t>
        </is>
      </c>
    </row>
    <row r="1696">
      <c r="A1696" t="inlineStr">
        <is>
          <t>附表8!T17</t>
        </is>
      </c>
      <c r="B1696" t="inlineStr">
        <is>
          <t>annual.debt_service+finance_fact_pack.debt_schedule.period_17</t>
        </is>
      </c>
      <c r="C1696" t="inlineStr">
        <is>
          <t>engine_value</t>
        </is>
      </c>
    </row>
    <row r="1697">
      <c r="A1697" t="inlineStr">
        <is>
          <t>附表8!U17</t>
        </is>
      </c>
      <c r="B1697" t="inlineStr">
        <is>
          <t>annual.debt_service+finance_fact_pack.debt_schedule.period_18</t>
        </is>
      </c>
      <c r="C1697" t="inlineStr">
        <is>
          <t>engine_value</t>
        </is>
      </c>
    </row>
    <row r="1698">
      <c r="A1698" t="inlineStr">
        <is>
          <t>附表8!V17</t>
        </is>
      </c>
      <c r="B1698" t="inlineStr">
        <is>
          <t>annual.debt_service+finance_fact_pack.debt_schedule.period_19</t>
        </is>
      </c>
      <c r="C1698" t="inlineStr">
        <is>
          <t>engine_value</t>
        </is>
      </c>
    </row>
    <row r="1699">
      <c r="A1699" t="inlineStr">
        <is>
          <t>附表8!W17</t>
        </is>
      </c>
      <c r="B1699" t="inlineStr">
        <is>
          <t>annual.debt_service+finance_fact_pack.debt_schedule.period_20</t>
        </is>
      </c>
      <c r="C1699" t="inlineStr">
        <is>
          <t>engine_value</t>
        </is>
      </c>
    </row>
    <row r="1700">
      <c r="A1700" t="inlineStr">
        <is>
          <t>附表8!X17</t>
        </is>
      </c>
      <c r="B1700" t="inlineStr">
        <is>
          <t>annual.debt_service+finance_fact_pack.debt_schedule.period_21</t>
        </is>
      </c>
      <c r="C1700" t="inlineStr">
        <is>
          <t>engine_value</t>
        </is>
      </c>
    </row>
    <row r="1701">
      <c r="A1701" t="inlineStr">
        <is>
          <t>附表8!Y17</t>
        </is>
      </c>
      <c r="B1701" t="inlineStr">
        <is>
          <t>annual.debt_service+finance_fact_pack.debt_schedule.period_22</t>
        </is>
      </c>
      <c r="C1701" t="inlineStr">
        <is>
          <t>engine_value</t>
        </is>
      </c>
    </row>
    <row r="1702">
      <c r="A1702" t="inlineStr">
        <is>
          <t>附表8!Z17</t>
        </is>
      </c>
      <c r="B1702" t="inlineStr">
        <is>
          <t>annual.debt_service+finance_fact_pack.debt_schedule.period_23</t>
        </is>
      </c>
      <c r="C1702" t="inlineStr">
        <is>
          <t>engine_value</t>
        </is>
      </c>
    </row>
    <row r="1703">
      <c r="A1703" t="inlineStr">
        <is>
          <t>附表8!AA17</t>
        </is>
      </c>
      <c r="B1703" t="inlineStr">
        <is>
          <t>annual.debt_service+finance_fact_pack.debt_schedule.period_24</t>
        </is>
      </c>
      <c r="C1703" t="inlineStr">
        <is>
          <t>engine_value</t>
        </is>
      </c>
    </row>
    <row r="1704">
      <c r="A1704" t="inlineStr">
        <is>
          <t>附表8!A18</t>
        </is>
      </c>
      <c r="B1704" t="inlineStr">
        <is>
          <t>annual.debt_service+finance_fact_pack.debt_schedule.no</t>
        </is>
      </c>
      <c r="C1704" t="inlineStr">
        <is>
          <t>engine_value</t>
        </is>
      </c>
    </row>
    <row r="1705">
      <c r="A1705" t="inlineStr">
        <is>
          <t>附表8!B18</t>
        </is>
      </c>
      <c r="B1705" t="inlineStr">
        <is>
          <t>annual.debt_service+finance_fact_pack.debt_schedule.item</t>
        </is>
      </c>
      <c r="C1705" t="inlineStr">
        <is>
          <t>engine_value</t>
        </is>
      </c>
    </row>
    <row r="1706">
      <c r="A1706" t="inlineStr">
        <is>
          <t>附表8!C18</t>
        </is>
      </c>
      <c r="B1706" t="inlineStr">
        <is>
          <t>annual.debt_service+finance_fact_pack.debt_schedule.total</t>
        </is>
      </c>
      <c r="C1706" t="inlineStr">
        <is>
          <t>engine_value</t>
        </is>
      </c>
    </row>
    <row r="1707">
      <c r="A1707" t="inlineStr">
        <is>
          <t>附表8!D18</t>
        </is>
      </c>
      <c r="B1707" t="inlineStr">
        <is>
          <t>annual.debt_service+finance_fact_pack.debt_schedule.period_1</t>
        </is>
      </c>
      <c r="C1707" t="inlineStr">
        <is>
          <t>engine_value</t>
        </is>
      </c>
    </row>
    <row r="1708">
      <c r="A1708" t="inlineStr">
        <is>
          <t>附表8!E18</t>
        </is>
      </c>
      <c r="B1708" t="inlineStr">
        <is>
          <t>annual.debt_service+finance_fact_pack.debt_schedule.period_2</t>
        </is>
      </c>
      <c r="C1708" t="inlineStr">
        <is>
          <t>engine_value</t>
        </is>
      </c>
    </row>
    <row r="1709">
      <c r="A1709" t="inlineStr">
        <is>
          <t>附表8!F18</t>
        </is>
      </c>
      <c r="B1709" t="inlineStr">
        <is>
          <t>annual.debt_service+finance_fact_pack.debt_schedule.period_3</t>
        </is>
      </c>
      <c r="C1709" t="inlineStr">
        <is>
          <t>engine_value</t>
        </is>
      </c>
    </row>
    <row r="1710">
      <c r="A1710" t="inlineStr">
        <is>
          <t>附表8!G18</t>
        </is>
      </c>
      <c r="B1710" t="inlineStr">
        <is>
          <t>annual.debt_service+finance_fact_pack.debt_schedule.period_4</t>
        </is>
      </c>
      <c r="C1710" t="inlineStr">
        <is>
          <t>engine_value</t>
        </is>
      </c>
    </row>
    <row r="1711">
      <c r="A1711" t="inlineStr">
        <is>
          <t>附表8!H18</t>
        </is>
      </c>
      <c r="B1711" t="inlineStr">
        <is>
          <t>annual.debt_service+finance_fact_pack.debt_schedule.period_5</t>
        </is>
      </c>
      <c r="C1711" t="inlineStr">
        <is>
          <t>engine_value</t>
        </is>
      </c>
    </row>
    <row r="1712">
      <c r="A1712" t="inlineStr">
        <is>
          <t>附表8!I18</t>
        </is>
      </c>
      <c r="B1712" t="inlineStr">
        <is>
          <t>annual.debt_service+finance_fact_pack.debt_schedule.period_6</t>
        </is>
      </c>
      <c r="C1712" t="inlineStr">
        <is>
          <t>engine_value</t>
        </is>
      </c>
    </row>
    <row r="1713">
      <c r="A1713" t="inlineStr">
        <is>
          <t>附表8!J18</t>
        </is>
      </c>
      <c r="B1713" t="inlineStr">
        <is>
          <t>annual.debt_service+finance_fact_pack.debt_schedule.period_7</t>
        </is>
      </c>
      <c r="C1713" t="inlineStr">
        <is>
          <t>engine_value</t>
        </is>
      </c>
    </row>
    <row r="1714">
      <c r="A1714" t="inlineStr">
        <is>
          <t>附表8!K18</t>
        </is>
      </c>
      <c r="B1714" t="inlineStr">
        <is>
          <t>annual.debt_service+finance_fact_pack.debt_schedule.period_8</t>
        </is>
      </c>
      <c r="C1714" t="inlineStr">
        <is>
          <t>engine_value</t>
        </is>
      </c>
    </row>
    <row r="1715">
      <c r="A1715" t="inlineStr">
        <is>
          <t>附表8!L18</t>
        </is>
      </c>
      <c r="B1715" t="inlineStr">
        <is>
          <t>annual.debt_service+finance_fact_pack.debt_schedule.period_9</t>
        </is>
      </c>
      <c r="C1715" t="inlineStr">
        <is>
          <t>engine_value</t>
        </is>
      </c>
    </row>
    <row r="1716">
      <c r="A1716" t="inlineStr">
        <is>
          <t>附表8!M18</t>
        </is>
      </c>
      <c r="B1716" t="inlineStr">
        <is>
          <t>annual.debt_service+finance_fact_pack.debt_schedule.period_10</t>
        </is>
      </c>
      <c r="C1716" t="inlineStr">
        <is>
          <t>engine_value</t>
        </is>
      </c>
    </row>
    <row r="1717">
      <c r="A1717" t="inlineStr">
        <is>
          <t>附表8!N18</t>
        </is>
      </c>
      <c r="B1717" t="inlineStr">
        <is>
          <t>annual.debt_service+finance_fact_pack.debt_schedule.period_11</t>
        </is>
      </c>
      <c r="C1717" t="inlineStr">
        <is>
          <t>engine_value</t>
        </is>
      </c>
    </row>
    <row r="1718">
      <c r="A1718" t="inlineStr">
        <is>
          <t>附表8!O18</t>
        </is>
      </c>
      <c r="B1718" t="inlineStr">
        <is>
          <t>annual.debt_service+finance_fact_pack.debt_schedule.period_12</t>
        </is>
      </c>
      <c r="C1718" t="inlineStr">
        <is>
          <t>engine_value</t>
        </is>
      </c>
    </row>
    <row r="1719">
      <c r="A1719" t="inlineStr">
        <is>
          <t>附表8!P18</t>
        </is>
      </c>
      <c r="B1719" t="inlineStr">
        <is>
          <t>annual.debt_service+finance_fact_pack.debt_schedule.period_13</t>
        </is>
      </c>
      <c r="C1719" t="inlineStr">
        <is>
          <t>engine_value</t>
        </is>
      </c>
    </row>
    <row r="1720">
      <c r="A1720" t="inlineStr">
        <is>
          <t>附表8!Q18</t>
        </is>
      </c>
      <c r="B1720" t="inlineStr">
        <is>
          <t>annual.debt_service+finance_fact_pack.debt_schedule.period_14</t>
        </is>
      </c>
      <c r="C1720" t="inlineStr">
        <is>
          <t>engine_value</t>
        </is>
      </c>
    </row>
    <row r="1721">
      <c r="A1721" t="inlineStr">
        <is>
          <t>附表8!R18</t>
        </is>
      </c>
      <c r="B1721" t="inlineStr">
        <is>
          <t>annual.debt_service+finance_fact_pack.debt_schedule.period_15</t>
        </is>
      </c>
      <c r="C1721" t="inlineStr">
        <is>
          <t>engine_value</t>
        </is>
      </c>
    </row>
    <row r="1722">
      <c r="A1722" t="inlineStr">
        <is>
          <t>附表8!S18</t>
        </is>
      </c>
      <c r="B1722" t="inlineStr">
        <is>
          <t>annual.debt_service+finance_fact_pack.debt_schedule.period_16</t>
        </is>
      </c>
      <c r="C1722" t="inlineStr">
        <is>
          <t>engine_value</t>
        </is>
      </c>
    </row>
    <row r="1723">
      <c r="A1723" t="inlineStr">
        <is>
          <t>附表8!T18</t>
        </is>
      </c>
      <c r="B1723" t="inlineStr">
        <is>
          <t>annual.debt_service+finance_fact_pack.debt_schedule.period_17</t>
        </is>
      </c>
      <c r="C1723" t="inlineStr">
        <is>
          <t>engine_value</t>
        </is>
      </c>
    </row>
    <row r="1724">
      <c r="A1724" t="inlineStr">
        <is>
          <t>附表8!U18</t>
        </is>
      </c>
      <c r="B1724" t="inlineStr">
        <is>
          <t>annual.debt_service+finance_fact_pack.debt_schedule.period_18</t>
        </is>
      </c>
      <c r="C1724" t="inlineStr">
        <is>
          <t>engine_value</t>
        </is>
      </c>
    </row>
    <row r="1725">
      <c r="A1725" t="inlineStr">
        <is>
          <t>附表8!V18</t>
        </is>
      </c>
      <c r="B1725" t="inlineStr">
        <is>
          <t>annual.debt_service+finance_fact_pack.debt_schedule.period_19</t>
        </is>
      </c>
      <c r="C1725" t="inlineStr">
        <is>
          <t>engine_value</t>
        </is>
      </c>
    </row>
    <row r="1726">
      <c r="A1726" t="inlineStr">
        <is>
          <t>附表8!W18</t>
        </is>
      </c>
      <c r="B1726" t="inlineStr">
        <is>
          <t>annual.debt_service+finance_fact_pack.debt_schedule.period_20</t>
        </is>
      </c>
      <c r="C1726" t="inlineStr">
        <is>
          <t>engine_value</t>
        </is>
      </c>
    </row>
    <row r="1727">
      <c r="A1727" t="inlineStr">
        <is>
          <t>附表8!X18</t>
        </is>
      </c>
      <c r="B1727" t="inlineStr">
        <is>
          <t>annual.debt_service+finance_fact_pack.debt_schedule.period_21</t>
        </is>
      </c>
      <c r="C1727" t="inlineStr">
        <is>
          <t>engine_value</t>
        </is>
      </c>
    </row>
    <row r="1728">
      <c r="A1728" t="inlineStr">
        <is>
          <t>附表8!Y18</t>
        </is>
      </c>
      <c r="B1728" t="inlineStr">
        <is>
          <t>annual.debt_service+finance_fact_pack.debt_schedule.period_22</t>
        </is>
      </c>
      <c r="C1728" t="inlineStr">
        <is>
          <t>engine_value</t>
        </is>
      </c>
    </row>
    <row r="1729">
      <c r="A1729" t="inlineStr">
        <is>
          <t>附表8!Z18</t>
        </is>
      </c>
      <c r="B1729" t="inlineStr">
        <is>
          <t>annual.debt_service+finance_fact_pack.debt_schedule.period_23</t>
        </is>
      </c>
      <c r="C1729" t="inlineStr">
        <is>
          <t>engine_value</t>
        </is>
      </c>
    </row>
    <row r="1730">
      <c r="A1730" t="inlineStr">
        <is>
          <t>附表8!AA18</t>
        </is>
      </c>
      <c r="B1730" t="inlineStr">
        <is>
          <t>annual.debt_service+finance_fact_pack.debt_schedule.period_24</t>
        </is>
      </c>
      <c r="C1730" t="inlineStr">
        <is>
          <t>engine_value</t>
        </is>
      </c>
    </row>
    <row r="1731">
      <c r="A1731" t="inlineStr">
        <is>
          <t>附表8!A19</t>
        </is>
      </c>
      <c r="B1731" t="inlineStr">
        <is>
          <t>annual.debt_service+finance_fact_pack.debt_schedule.no</t>
        </is>
      </c>
      <c r="C1731" t="inlineStr">
        <is>
          <t>engine_value</t>
        </is>
      </c>
    </row>
    <row r="1732">
      <c r="A1732" t="inlineStr">
        <is>
          <t>附表8!B19</t>
        </is>
      </c>
      <c r="B1732" t="inlineStr">
        <is>
          <t>annual.debt_service+finance_fact_pack.debt_schedule.item</t>
        </is>
      </c>
      <c r="C1732" t="inlineStr">
        <is>
          <t>engine_value</t>
        </is>
      </c>
    </row>
    <row r="1733">
      <c r="A1733" t="inlineStr">
        <is>
          <t>附表8!C19</t>
        </is>
      </c>
      <c r="B1733" t="inlineStr">
        <is>
          <t>annual.debt_service+finance_fact_pack.debt_schedule.total</t>
        </is>
      </c>
      <c r="C1733" t="inlineStr">
        <is>
          <t>engine_value</t>
        </is>
      </c>
    </row>
    <row r="1734">
      <c r="A1734" t="inlineStr">
        <is>
          <t>附表8!D19</t>
        </is>
      </c>
      <c r="B1734" t="inlineStr">
        <is>
          <t>annual.debt_service+finance_fact_pack.debt_schedule.period_1</t>
        </is>
      </c>
      <c r="C1734" t="inlineStr">
        <is>
          <t>engine_value</t>
        </is>
      </c>
    </row>
    <row r="1735">
      <c r="A1735" t="inlineStr">
        <is>
          <t>附表8!E19</t>
        </is>
      </c>
      <c r="B1735" t="inlineStr">
        <is>
          <t>annual.debt_service+finance_fact_pack.debt_schedule.period_2</t>
        </is>
      </c>
      <c r="C1735" t="inlineStr">
        <is>
          <t>engine_value</t>
        </is>
      </c>
    </row>
    <row r="1736">
      <c r="A1736" t="inlineStr">
        <is>
          <t>附表8!F19</t>
        </is>
      </c>
      <c r="B1736" t="inlineStr">
        <is>
          <t>annual.debt_service+finance_fact_pack.debt_schedule.period_3</t>
        </is>
      </c>
      <c r="C1736" t="inlineStr">
        <is>
          <t>engine_value</t>
        </is>
      </c>
    </row>
    <row r="1737">
      <c r="A1737" t="inlineStr">
        <is>
          <t>附表8!G19</t>
        </is>
      </c>
      <c r="B1737" t="inlineStr">
        <is>
          <t>annual.debt_service+finance_fact_pack.debt_schedule.period_4</t>
        </is>
      </c>
      <c r="C1737" t="inlineStr">
        <is>
          <t>engine_value</t>
        </is>
      </c>
    </row>
    <row r="1738">
      <c r="A1738" t="inlineStr">
        <is>
          <t>附表8!H19</t>
        </is>
      </c>
      <c r="B1738" t="inlineStr">
        <is>
          <t>annual.debt_service+finance_fact_pack.debt_schedule.period_5</t>
        </is>
      </c>
      <c r="C1738" t="inlineStr">
        <is>
          <t>engine_value</t>
        </is>
      </c>
    </row>
    <row r="1739">
      <c r="A1739" t="inlineStr">
        <is>
          <t>附表8!I19</t>
        </is>
      </c>
      <c r="B1739" t="inlineStr">
        <is>
          <t>annual.debt_service+finance_fact_pack.debt_schedule.period_6</t>
        </is>
      </c>
      <c r="C1739" t="inlineStr">
        <is>
          <t>engine_value</t>
        </is>
      </c>
    </row>
    <row r="1740">
      <c r="A1740" t="inlineStr">
        <is>
          <t>附表8!J19</t>
        </is>
      </c>
      <c r="B1740" t="inlineStr">
        <is>
          <t>annual.debt_service+finance_fact_pack.debt_schedule.period_7</t>
        </is>
      </c>
      <c r="C1740" t="inlineStr">
        <is>
          <t>engine_value</t>
        </is>
      </c>
    </row>
    <row r="1741">
      <c r="A1741" t="inlineStr">
        <is>
          <t>附表8!K19</t>
        </is>
      </c>
      <c r="B1741" t="inlineStr">
        <is>
          <t>annual.debt_service+finance_fact_pack.debt_schedule.period_8</t>
        </is>
      </c>
      <c r="C1741" t="inlineStr">
        <is>
          <t>engine_value</t>
        </is>
      </c>
    </row>
    <row r="1742">
      <c r="A1742" t="inlineStr">
        <is>
          <t>附表8!L19</t>
        </is>
      </c>
      <c r="B1742" t="inlineStr">
        <is>
          <t>annual.debt_service+finance_fact_pack.debt_schedule.period_9</t>
        </is>
      </c>
      <c r="C1742" t="inlineStr">
        <is>
          <t>engine_value</t>
        </is>
      </c>
    </row>
    <row r="1743">
      <c r="A1743" t="inlineStr">
        <is>
          <t>附表8!M19</t>
        </is>
      </c>
      <c r="B1743" t="inlineStr">
        <is>
          <t>annual.debt_service+finance_fact_pack.debt_schedule.period_10</t>
        </is>
      </c>
      <c r="C1743" t="inlineStr">
        <is>
          <t>engine_value</t>
        </is>
      </c>
    </row>
    <row r="1744">
      <c r="A1744" t="inlineStr">
        <is>
          <t>附表8!N19</t>
        </is>
      </c>
      <c r="B1744" t="inlineStr">
        <is>
          <t>annual.debt_service+finance_fact_pack.debt_schedule.period_11</t>
        </is>
      </c>
      <c r="C1744" t="inlineStr">
        <is>
          <t>engine_value</t>
        </is>
      </c>
    </row>
    <row r="1745">
      <c r="A1745" t="inlineStr">
        <is>
          <t>附表8!O19</t>
        </is>
      </c>
      <c r="B1745" t="inlineStr">
        <is>
          <t>annual.debt_service+finance_fact_pack.debt_schedule.period_12</t>
        </is>
      </c>
      <c r="C1745" t="inlineStr">
        <is>
          <t>engine_value</t>
        </is>
      </c>
    </row>
    <row r="1746">
      <c r="A1746" t="inlineStr">
        <is>
          <t>附表8!P19</t>
        </is>
      </c>
      <c r="B1746" t="inlineStr">
        <is>
          <t>annual.debt_service+finance_fact_pack.debt_schedule.period_13</t>
        </is>
      </c>
      <c r="C1746" t="inlineStr">
        <is>
          <t>engine_value</t>
        </is>
      </c>
    </row>
    <row r="1747">
      <c r="A1747" t="inlineStr">
        <is>
          <t>附表8!Q19</t>
        </is>
      </c>
      <c r="B1747" t="inlineStr">
        <is>
          <t>annual.debt_service+finance_fact_pack.debt_schedule.period_14</t>
        </is>
      </c>
      <c r="C1747" t="inlineStr">
        <is>
          <t>engine_value</t>
        </is>
      </c>
    </row>
    <row r="1748">
      <c r="A1748" t="inlineStr">
        <is>
          <t>附表8!R19</t>
        </is>
      </c>
      <c r="B1748" t="inlineStr">
        <is>
          <t>annual.debt_service+finance_fact_pack.debt_schedule.period_15</t>
        </is>
      </c>
      <c r="C1748" t="inlineStr">
        <is>
          <t>engine_value</t>
        </is>
      </c>
    </row>
    <row r="1749">
      <c r="A1749" t="inlineStr">
        <is>
          <t>附表8!S19</t>
        </is>
      </c>
      <c r="B1749" t="inlineStr">
        <is>
          <t>annual.debt_service+finance_fact_pack.debt_schedule.period_16</t>
        </is>
      </c>
      <c r="C1749" t="inlineStr">
        <is>
          <t>engine_value</t>
        </is>
      </c>
    </row>
    <row r="1750">
      <c r="A1750" t="inlineStr">
        <is>
          <t>附表8!T19</t>
        </is>
      </c>
      <c r="B1750" t="inlineStr">
        <is>
          <t>annual.debt_service+finance_fact_pack.debt_schedule.period_17</t>
        </is>
      </c>
      <c r="C1750" t="inlineStr">
        <is>
          <t>engine_value</t>
        </is>
      </c>
    </row>
    <row r="1751">
      <c r="A1751" t="inlineStr">
        <is>
          <t>附表8!U19</t>
        </is>
      </c>
      <c r="B1751" t="inlineStr">
        <is>
          <t>annual.debt_service+finance_fact_pack.debt_schedule.period_18</t>
        </is>
      </c>
      <c r="C1751" t="inlineStr">
        <is>
          <t>engine_value</t>
        </is>
      </c>
    </row>
    <row r="1752">
      <c r="A1752" t="inlineStr">
        <is>
          <t>附表8!V19</t>
        </is>
      </c>
      <c r="B1752" t="inlineStr">
        <is>
          <t>annual.debt_service+finance_fact_pack.debt_schedule.period_19</t>
        </is>
      </c>
      <c r="C1752" t="inlineStr">
        <is>
          <t>engine_value</t>
        </is>
      </c>
    </row>
    <row r="1753">
      <c r="A1753" t="inlineStr">
        <is>
          <t>附表8!W19</t>
        </is>
      </c>
      <c r="B1753" t="inlineStr">
        <is>
          <t>annual.debt_service+finance_fact_pack.debt_schedule.period_20</t>
        </is>
      </c>
      <c r="C1753" t="inlineStr">
        <is>
          <t>engine_value</t>
        </is>
      </c>
    </row>
    <row r="1754">
      <c r="A1754" t="inlineStr">
        <is>
          <t>附表8!X19</t>
        </is>
      </c>
      <c r="B1754" t="inlineStr">
        <is>
          <t>annual.debt_service+finance_fact_pack.debt_schedule.period_21</t>
        </is>
      </c>
      <c r="C1754" t="inlineStr">
        <is>
          <t>engine_value</t>
        </is>
      </c>
    </row>
    <row r="1755">
      <c r="A1755" t="inlineStr">
        <is>
          <t>附表8!Y19</t>
        </is>
      </c>
      <c r="B1755" t="inlineStr">
        <is>
          <t>annual.debt_service+finance_fact_pack.debt_schedule.period_22</t>
        </is>
      </c>
      <c r="C1755" t="inlineStr">
        <is>
          <t>engine_value</t>
        </is>
      </c>
    </row>
    <row r="1756">
      <c r="A1756" t="inlineStr">
        <is>
          <t>附表8!Z19</t>
        </is>
      </c>
      <c r="B1756" t="inlineStr">
        <is>
          <t>annual.debt_service+finance_fact_pack.debt_schedule.period_23</t>
        </is>
      </c>
      <c r="C1756" t="inlineStr">
        <is>
          <t>engine_value</t>
        </is>
      </c>
    </row>
    <row r="1757">
      <c r="A1757" t="inlineStr">
        <is>
          <t>附表8!AA19</t>
        </is>
      </c>
      <c r="B1757" t="inlineStr">
        <is>
          <t>annual.debt_service+finance_fact_pack.debt_schedule.period_24</t>
        </is>
      </c>
      <c r="C1757" t="inlineStr">
        <is>
          <t>engine_value</t>
        </is>
      </c>
    </row>
    <row r="1758">
      <c r="A1758" t="inlineStr">
        <is>
          <t>附表8!A20</t>
        </is>
      </c>
      <c r="B1758" t="inlineStr">
        <is>
          <t>annual.debt_service+finance_fact_pack.debt_schedule.no</t>
        </is>
      </c>
      <c r="C1758" t="inlineStr">
        <is>
          <t>engine_value</t>
        </is>
      </c>
    </row>
    <row r="1759">
      <c r="A1759" t="inlineStr">
        <is>
          <t>附表8!B20</t>
        </is>
      </c>
      <c r="B1759" t="inlineStr">
        <is>
          <t>annual.debt_service+finance_fact_pack.debt_schedule.item</t>
        </is>
      </c>
      <c r="C1759" t="inlineStr">
        <is>
          <t>engine_value</t>
        </is>
      </c>
    </row>
    <row r="1760">
      <c r="A1760" t="inlineStr">
        <is>
          <t>附表8!C20</t>
        </is>
      </c>
      <c r="B1760" t="inlineStr">
        <is>
          <t>annual.debt_service+finance_fact_pack.debt_schedule.total</t>
        </is>
      </c>
      <c r="C1760" t="inlineStr">
        <is>
          <t>engine_value</t>
        </is>
      </c>
    </row>
    <row r="1761">
      <c r="A1761" t="inlineStr">
        <is>
          <t>附表8!D20</t>
        </is>
      </c>
      <c r="B1761" t="inlineStr">
        <is>
          <t>annual.debt_service+finance_fact_pack.debt_schedule.period_1</t>
        </is>
      </c>
      <c r="C1761" t="inlineStr">
        <is>
          <t>engine_value</t>
        </is>
      </c>
    </row>
    <row r="1762">
      <c r="A1762" t="inlineStr">
        <is>
          <t>附表8!E20</t>
        </is>
      </c>
      <c r="B1762" t="inlineStr">
        <is>
          <t>annual.debt_service+finance_fact_pack.debt_schedule.period_2</t>
        </is>
      </c>
      <c r="C1762" t="inlineStr">
        <is>
          <t>engine_value</t>
        </is>
      </c>
    </row>
    <row r="1763">
      <c r="A1763" t="inlineStr">
        <is>
          <t>附表8!F20</t>
        </is>
      </c>
      <c r="B1763" t="inlineStr">
        <is>
          <t>annual.debt_service+finance_fact_pack.debt_schedule.period_3</t>
        </is>
      </c>
      <c r="C1763" t="inlineStr">
        <is>
          <t>engine_value</t>
        </is>
      </c>
    </row>
    <row r="1764">
      <c r="A1764" t="inlineStr">
        <is>
          <t>附表8!G20</t>
        </is>
      </c>
      <c r="B1764" t="inlineStr">
        <is>
          <t>annual.debt_service+finance_fact_pack.debt_schedule.period_4</t>
        </is>
      </c>
      <c r="C1764" t="inlineStr">
        <is>
          <t>engine_value</t>
        </is>
      </c>
    </row>
    <row r="1765">
      <c r="A1765" t="inlineStr">
        <is>
          <t>附表8!H20</t>
        </is>
      </c>
      <c r="B1765" t="inlineStr">
        <is>
          <t>annual.debt_service+finance_fact_pack.debt_schedule.period_5</t>
        </is>
      </c>
      <c r="C1765" t="inlineStr">
        <is>
          <t>engine_value</t>
        </is>
      </c>
    </row>
    <row r="1766">
      <c r="A1766" t="inlineStr">
        <is>
          <t>附表8!I20</t>
        </is>
      </c>
      <c r="B1766" t="inlineStr">
        <is>
          <t>annual.debt_service+finance_fact_pack.debt_schedule.period_6</t>
        </is>
      </c>
      <c r="C1766" t="inlineStr">
        <is>
          <t>engine_value</t>
        </is>
      </c>
    </row>
    <row r="1767">
      <c r="A1767" t="inlineStr">
        <is>
          <t>附表8!J20</t>
        </is>
      </c>
      <c r="B1767" t="inlineStr">
        <is>
          <t>annual.debt_service+finance_fact_pack.debt_schedule.period_7</t>
        </is>
      </c>
      <c r="C1767" t="inlineStr">
        <is>
          <t>engine_value</t>
        </is>
      </c>
    </row>
    <row r="1768">
      <c r="A1768" t="inlineStr">
        <is>
          <t>附表8!K20</t>
        </is>
      </c>
      <c r="B1768" t="inlineStr">
        <is>
          <t>annual.debt_service+finance_fact_pack.debt_schedule.period_8</t>
        </is>
      </c>
      <c r="C1768" t="inlineStr">
        <is>
          <t>engine_value</t>
        </is>
      </c>
    </row>
    <row r="1769">
      <c r="A1769" t="inlineStr">
        <is>
          <t>附表8!L20</t>
        </is>
      </c>
      <c r="B1769" t="inlineStr">
        <is>
          <t>annual.debt_service+finance_fact_pack.debt_schedule.period_9</t>
        </is>
      </c>
      <c r="C1769" t="inlineStr">
        <is>
          <t>engine_value</t>
        </is>
      </c>
    </row>
    <row r="1770">
      <c r="A1770" t="inlineStr">
        <is>
          <t>附表8!M20</t>
        </is>
      </c>
      <c r="B1770" t="inlineStr">
        <is>
          <t>annual.debt_service+finance_fact_pack.debt_schedule.period_10</t>
        </is>
      </c>
      <c r="C1770" t="inlineStr">
        <is>
          <t>engine_value</t>
        </is>
      </c>
    </row>
    <row r="1771">
      <c r="A1771" t="inlineStr">
        <is>
          <t>附表8!N20</t>
        </is>
      </c>
      <c r="B1771" t="inlineStr">
        <is>
          <t>annual.debt_service+finance_fact_pack.debt_schedule.period_11</t>
        </is>
      </c>
      <c r="C1771" t="inlineStr">
        <is>
          <t>engine_value</t>
        </is>
      </c>
    </row>
    <row r="1772">
      <c r="A1772" t="inlineStr">
        <is>
          <t>附表8!O20</t>
        </is>
      </c>
      <c r="B1772" t="inlineStr">
        <is>
          <t>annual.debt_service+finance_fact_pack.debt_schedule.period_12</t>
        </is>
      </c>
      <c r="C1772" t="inlineStr">
        <is>
          <t>engine_value</t>
        </is>
      </c>
    </row>
    <row r="1773">
      <c r="A1773" t="inlineStr">
        <is>
          <t>附表8!P20</t>
        </is>
      </c>
      <c r="B1773" t="inlineStr">
        <is>
          <t>annual.debt_service+finance_fact_pack.debt_schedule.period_13</t>
        </is>
      </c>
      <c r="C1773" t="inlineStr">
        <is>
          <t>engine_value</t>
        </is>
      </c>
    </row>
    <row r="1774">
      <c r="A1774" t="inlineStr">
        <is>
          <t>附表8!Q20</t>
        </is>
      </c>
      <c r="B1774" t="inlineStr">
        <is>
          <t>annual.debt_service+finance_fact_pack.debt_schedule.period_14</t>
        </is>
      </c>
      <c r="C1774" t="inlineStr">
        <is>
          <t>engine_value</t>
        </is>
      </c>
    </row>
    <row r="1775">
      <c r="A1775" t="inlineStr">
        <is>
          <t>附表8!R20</t>
        </is>
      </c>
      <c r="B1775" t="inlineStr">
        <is>
          <t>annual.debt_service+finance_fact_pack.debt_schedule.period_15</t>
        </is>
      </c>
      <c r="C1775" t="inlineStr">
        <is>
          <t>engine_value</t>
        </is>
      </c>
    </row>
    <row r="1776">
      <c r="A1776" t="inlineStr">
        <is>
          <t>附表8!S20</t>
        </is>
      </c>
      <c r="B1776" t="inlineStr">
        <is>
          <t>annual.debt_service+finance_fact_pack.debt_schedule.period_16</t>
        </is>
      </c>
      <c r="C1776" t="inlineStr">
        <is>
          <t>engine_value</t>
        </is>
      </c>
    </row>
    <row r="1777">
      <c r="A1777" t="inlineStr">
        <is>
          <t>附表8!T20</t>
        </is>
      </c>
      <c r="B1777" t="inlineStr">
        <is>
          <t>annual.debt_service+finance_fact_pack.debt_schedule.period_17</t>
        </is>
      </c>
      <c r="C1777" t="inlineStr">
        <is>
          <t>engine_value</t>
        </is>
      </c>
    </row>
    <row r="1778">
      <c r="A1778" t="inlineStr">
        <is>
          <t>附表8!U20</t>
        </is>
      </c>
      <c r="B1778" t="inlineStr">
        <is>
          <t>annual.debt_service+finance_fact_pack.debt_schedule.period_18</t>
        </is>
      </c>
      <c r="C1778" t="inlineStr">
        <is>
          <t>engine_value</t>
        </is>
      </c>
    </row>
    <row r="1779">
      <c r="A1779" t="inlineStr">
        <is>
          <t>附表8!V20</t>
        </is>
      </c>
      <c r="B1779" t="inlineStr">
        <is>
          <t>annual.debt_service+finance_fact_pack.debt_schedule.period_19</t>
        </is>
      </c>
      <c r="C1779" t="inlineStr">
        <is>
          <t>engine_value</t>
        </is>
      </c>
    </row>
    <row r="1780">
      <c r="A1780" t="inlineStr">
        <is>
          <t>附表8!W20</t>
        </is>
      </c>
      <c r="B1780" t="inlineStr">
        <is>
          <t>annual.debt_service+finance_fact_pack.debt_schedule.period_20</t>
        </is>
      </c>
      <c r="C1780" t="inlineStr">
        <is>
          <t>engine_value</t>
        </is>
      </c>
    </row>
    <row r="1781">
      <c r="A1781" t="inlineStr">
        <is>
          <t>附表8!X20</t>
        </is>
      </c>
      <c r="B1781" t="inlineStr">
        <is>
          <t>annual.debt_service+finance_fact_pack.debt_schedule.period_21</t>
        </is>
      </c>
      <c r="C1781" t="inlineStr">
        <is>
          <t>engine_value</t>
        </is>
      </c>
    </row>
    <row r="1782">
      <c r="A1782" t="inlineStr">
        <is>
          <t>附表8!Y20</t>
        </is>
      </c>
      <c r="B1782" t="inlineStr">
        <is>
          <t>annual.debt_service+finance_fact_pack.debt_schedule.period_22</t>
        </is>
      </c>
      <c r="C1782" t="inlineStr">
        <is>
          <t>engine_value</t>
        </is>
      </c>
    </row>
    <row r="1783">
      <c r="A1783" t="inlineStr">
        <is>
          <t>附表8!Z20</t>
        </is>
      </c>
      <c r="B1783" t="inlineStr">
        <is>
          <t>annual.debt_service+finance_fact_pack.debt_schedule.period_23</t>
        </is>
      </c>
      <c r="C1783" t="inlineStr">
        <is>
          <t>engine_value</t>
        </is>
      </c>
    </row>
    <row r="1784">
      <c r="A1784" t="inlineStr">
        <is>
          <t>附表8!AA20</t>
        </is>
      </c>
      <c r="B1784" t="inlineStr">
        <is>
          <t>annual.debt_service+finance_fact_pack.debt_schedule.period_24</t>
        </is>
      </c>
      <c r="C1784" t="inlineStr">
        <is>
          <t>engine_value</t>
        </is>
      </c>
    </row>
    <row r="1785">
      <c r="A1785" t="inlineStr">
        <is>
          <t>附表9!A4</t>
        </is>
      </c>
      <c r="B1785" t="inlineStr">
        <is>
          <t>annual.project_cashflow.no</t>
        </is>
      </c>
      <c r="C1785" t="inlineStr">
        <is>
          <t>engine_value</t>
        </is>
      </c>
    </row>
    <row r="1786">
      <c r="A1786" t="inlineStr">
        <is>
          <t>附表9!B4</t>
        </is>
      </c>
      <c r="B1786" t="inlineStr">
        <is>
          <t>annual.project_cashflow.item</t>
        </is>
      </c>
      <c r="C1786" t="inlineStr">
        <is>
          <t>engine_value</t>
        </is>
      </c>
    </row>
    <row r="1787">
      <c r="A1787" t="inlineStr">
        <is>
          <t>附表9!C4</t>
        </is>
      </c>
      <c r="B1787" t="inlineStr">
        <is>
          <t>annual.project_cashflow.total</t>
        </is>
      </c>
      <c r="C1787" t="inlineStr">
        <is>
          <t>engine_value</t>
        </is>
      </c>
    </row>
    <row r="1788">
      <c r="A1788" t="inlineStr">
        <is>
          <t>附表9!D4</t>
        </is>
      </c>
      <c r="B1788" t="inlineStr">
        <is>
          <t>annual.project_cashflow.period_1</t>
        </is>
      </c>
      <c r="C1788" t="inlineStr">
        <is>
          <t>engine_value</t>
        </is>
      </c>
    </row>
    <row r="1789">
      <c r="A1789" t="inlineStr">
        <is>
          <t>附表9!E4</t>
        </is>
      </c>
      <c r="B1789" t="inlineStr">
        <is>
          <t>annual.project_cashflow.period_2</t>
        </is>
      </c>
      <c r="C1789" t="inlineStr">
        <is>
          <t>engine_value</t>
        </is>
      </c>
    </row>
    <row r="1790">
      <c r="A1790" t="inlineStr">
        <is>
          <t>附表9!F4</t>
        </is>
      </c>
      <c r="B1790" t="inlineStr">
        <is>
          <t>annual.project_cashflow.period_3</t>
        </is>
      </c>
      <c r="C1790" t="inlineStr">
        <is>
          <t>engine_value</t>
        </is>
      </c>
    </row>
    <row r="1791">
      <c r="A1791" t="inlineStr">
        <is>
          <t>附表9!G4</t>
        </is>
      </c>
      <c r="B1791" t="inlineStr">
        <is>
          <t>annual.project_cashflow.period_4</t>
        </is>
      </c>
      <c r="C1791" t="inlineStr">
        <is>
          <t>engine_value</t>
        </is>
      </c>
    </row>
    <row r="1792">
      <c r="A1792" t="inlineStr">
        <is>
          <t>附表9!H4</t>
        </is>
      </c>
      <c r="B1792" t="inlineStr">
        <is>
          <t>annual.project_cashflow.period_5</t>
        </is>
      </c>
      <c r="C1792" t="inlineStr">
        <is>
          <t>engine_value</t>
        </is>
      </c>
    </row>
    <row r="1793">
      <c r="A1793" t="inlineStr">
        <is>
          <t>附表9!I4</t>
        </is>
      </c>
      <c r="B1793" t="inlineStr">
        <is>
          <t>annual.project_cashflow.period_6</t>
        </is>
      </c>
      <c r="C1793" t="inlineStr">
        <is>
          <t>engine_value</t>
        </is>
      </c>
    </row>
    <row r="1794">
      <c r="A1794" t="inlineStr">
        <is>
          <t>附表9!J4</t>
        </is>
      </c>
      <c r="B1794" t="inlineStr">
        <is>
          <t>annual.project_cashflow.period_7</t>
        </is>
      </c>
      <c r="C1794" t="inlineStr">
        <is>
          <t>engine_value</t>
        </is>
      </c>
    </row>
    <row r="1795">
      <c r="A1795" t="inlineStr">
        <is>
          <t>附表9!K4</t>
        </is>
      </c>
      <c r="B1795" t="inlineStr">
        <is>
          <t>annual.project_cashflow.period_8</t>
        </is>
      </c>
      <c r="C1795" t="inlineStr">
        <is>
          <t>engine_value</t>
        </is>
      </c>
    </row>
    <row r="1796">
      <c r="A1796" t="inlineStr">
        <is>
          <t>附表9!L4</t>
        </is>
      </c>
      <c r="B1796" t="inlineStr">
        <is>
          <t>annual.project_cashflow.period_9</t>
        </is>
      </c>
      <c r="C1796" t="inlineStr">
        <is>
          <t>engine_value</t>
        </is>
      </c>
    </row>
    <row r="1797">
      <c r="A1797" t="inlineStr">
        <is>
          <t>附表9!M4</t>
        </is>
      </c>
      <c r="B1797" t="inlineStr">
        <is>
          <t>annual.project_cashflow.period_10</t>
        </is>
      </c>
      <c r="C1797" t="inlineStr">
        <is>
          <t>engine_value</t>
        </is>
      </c>
    </row>
    <row r="1798">
      <c r="A1798" t="inlineStr">
        <is>
          <t>附表9!N4</t>
        </is>
      </c>
      <c r="B1798" t="inlineStr">
        <is>
          <t>annual.project_cashflow.period_11</t>
        </is>
      </c>
      <c r="C1798" t="inlineStr">
        <is>
          <t>engine_value</t>
        </is>
      </c>
    </row>
    <row r="1799">
      <c r="A1799" t="inlineStr">
        <is>
          <t>附表9!O4</t>
        </is>
      </c>
      <c r="B1799" t="inlineStr">
        <is>
          <t>annual.project_cashflow.period_12</t>
        </is>
      </c>
      <c r="C1799" t="inlineStr">
        <is>
          <t>engine_value</t>
        </is>
      </c>
    </row>
    <row r="1800">
      <c r="A1800" t="inlineStr">
        <is>
          <t>附表9!P4</t>
        </is>
      </c>
      <c r="B1800" t="inlineStr">
        <is>
          <t>annual.project_cashflow.period_13</t>
        </is>
      </c>
      <c r="C1800" t="inlineStr">
        <is>
          <t>engine_value</t>
        </is>
      </c>
    </row>
    <row r="1801">
      <c r="A1801" t="inlineStr">
        <is>
          <t>附表9!Q4</t>
        </is>
      </c>
      <c r="B1801" t="inlineStr">
        <is>
          <t>annual.project_cashflow.period_14</t>
        </is>
      </c>
      <c r="C1801" t="inlineStr">
        <is>
          <t>engine_value</t>
        </is>
      </c>
    </row>
    <row r="1802">
      <c r="A1802" t="inlineStr">
        <is>
          <t>附表9!R4</t>
        </is>
      </c>
      <c r="B1802" t="inlineStr">
        <is>
          <t>annual.project_cashflow.period_15</t>
        </is>
      </c>
      <c r="C1802" t="inlineStr">
        <is>
          <t>engine_value</t>
        </is>
      </c>
    </row>
    <row r="1803">
      <c r="A1803" t="inlineStr">
        <is>
          <t>附表9!S4</t>
        </is>
      </c>
      <c r="B1803" t="inlineStr">
        <is>
          <t>annual.project_cashflow.period_16</t>
        </is>
      </c>
      <c r="C1803" t="inlineStr">
        <is>
          <t>engine_value</t>
        </is>
      </c>
    </row>
    <row r="1804">
      <c r="A1804" t="inlineStr">
        <is>
          <t>附表9!T4</t>
        </is>
      </c>
      <c r="B1804" t="inlineStr">
        <is>
          <t>annual.project_cashflow.period_17</t>
        </is>
      </c>
      <c r="C1804" t="inlineStr">
        <is>
          <t>engine_value</t>
        </is>
      </c>
    </row>
    <row r="1805">
      <c r="A1805" t="inlineStr">
        <is>
          <t>附表9!U4</t>
        </is>
      </c>
      <c r="B1805" t="inlineStr">
        <is>
          <t>annual.project_cashflow.period_18</t>
        </is>
      </c>
      <c r="C1805" t="inlineStr">
        <is>
          <t>engine_value</t>
        </is>
      </c>
    </row>
    <row r="1806">
      <c r="A1806" t="inlineStr">
        <is>
          <t>附表9!V4</t>
        </is>
      </c>
      <c r="B1806" t="inlineStr">
        <is>
          <t>annual.project_cashflow.period_19</t>
        </is>
      </c>
      <c r="C1806" t="inlineStr">
        <is>
          <t>engine_value</t>
        </is>
      </c>
    </row>
    <row r="1807">
      <c r="A1807" t="inlineStr">
        <is>
          <t>附表9!W4</t>
        </is>
      </c>
      <c r="B1807" t="inlineStr">
        <is>
          <t>annual.project_cashflow.period_20</t>
        </is>
      </c>
      <c r="C1807" t="inlineStr">
        <is>
          <t>engine_value</t>
        </is>
      </c>
    </row>
    <row r="1808">
      <c r="A1808" t="inlineStr">
        <is>
          <t>附表9!X4</t>
        </is>
      </c>
      <c r="B1808" t="inlineStr">
        <is>
          <t>annual.project_cashflow.period_21</t>
        </is>
      </c>
      <c r="C1808" t="inlineStr">
        <is>
          <t>engine_value</t>
        </is>
      </c>
    </row>
    <row r="1809">
      <c r="A1809" t="inlineStr">
        <is>
          <t>附表9!Y4</t>
        </is>
      </c>
      <c r="B1809" t="inlineStr">
        <is>
          <t>annual.project_cashflow.period_22</t>
        </is>
      </c>
      <c r="C1809" t="inlineStr">
        <is>
          <t>engine_value</t>
        </is>
      </c>
    </row>
    <row r="1810">
      <c r="A1810" t="inlineStr">
        <is>
          <t>附表9!Z4</t>
        </is>
      </c>
      <c r="B1810" t="inlineStr">
        <is>
          <t>annual.project_cashflow.period_23</t>
        </is>
      </c>
      <c r="C1810" t="inlineStr">
        <is>
          <t>engine_value</t>
        </is>
      </c>
    </row>
    <row r="1811">
      <c r="A1811" t="inlineStr">
        <is>
          <t>附表9!AA4</t>
        </is>
      </c>
      <c r="B1811" t="inlineStr">
        <is>
          <t>annual.project_cashflow.period_24</t>
        </is>
      </c>
      <c r="C1811" t="inlineStr">
        <is>
          <t>engine_value</t>
        </is>
      </c>
    </row>
    <row r="1812">
      <c r="A1812" t="inlineStr">
        <is>
          <t>附表9!AB4</t>
        </is>
      </c>
      <c r="B1812" t="inlineStr">
        <is>
          <t>annual.project_cashflow.period_25</t>
        </is>
      </c>
      <c r="C1812" t="inlineStr">
        <is>
          <t>engine_value</t>
        </is>
      </c>
    </row>
    <row r="1813">
      <c r="A1813" t="inlineStr">
        <is>
          <t>附表9!A5</t>
        </is>
      </c>
      <c r="B1813" t="inlineStr">
        <is>
          <t>annual.project_cashflow.no</t>
        </is>
      </c>
      <c r="C1813" t="inlineStr">
        <is>
          <t>engine_value</t>
        </is>
      </c>
    </row>
    <row r="1814">
      <c r="A1814" t="inlineStr">
        <is>
          <t>附表9!B5</t>
        </is>
      </c>
      <c r="B1814" t="inlineStr">
        <is>
          <t>annual.project_cashflow.item</t>
        </is>
      </c>
      <c r="C1814" t="inlineStr">
        <is>
          <t>engine_value</t>
        </is>
      </c>
    </row>
    <row r="1815">
      <c r="A1815" t="inlineStr">
        <is>
          <t>附表9!C5</t>
        </is>
      </c>
      <c r="B1815" t="inlineStr">
        <is>
          <t>annual.project_cashflow.total</t>
        </is>
      </c>
      <c r="C1815" t="inlineStr">
        <is>
          <t>engine_value</t>
        </is>
      </c>
    </row>
    <row r="1816">
      <c r="A1816" t="inlineStr">
        <is>
          <t>附表9!D5</t>
        </is>
      </c>
      <c r="B1816" t="inlineStr">
        <is>
          <t>annual.project_cashflow.period_1</t>
        </is>
      </c>
      <c r="C1816" t="inlineStr">
        <is>
          <t>engine_value</t>
        </is>
      </c>
    </row>
    <row r="1817">
      <c r="A1817" t="inlineStr">
        <is>
          <t>附表9!E5</t>
        </is>
      </c>
      <c r="B1817" t="inlineStr">
        <is>
          <t>annual.project_cashflow.period_2</t>
        </is>
      </c>
      <c r="C1817" t="inlineStr">
        <is>
          <t>engine_value</t>
        </is>
      </c>
    </row>
    <row r="1818">
      <c r="A1818" t="inlineStr">
        <is>
          <t>附表9!F5</t>
        </is>
      </c>
      <c r="B1818" t="inlineStr">
        <is>
          <t>annual.project_cashflow.period_3</t>
        </is>
      </c>
      <c r="C1818" t="inlineStr">
        <is>
          <t>engine_value</t>
        </is>
      </c>
    </row>
    <row r="1819">
      <c r="A1819" t="inlineStr">
        <is>
          <t>附表9!G5</t>
        </is>
      </c>
      <c r="B1819" t="inlineStr">
        <is>
          <t>annual.project_cashflow.period_4</t>
        </is>
      </c>
      <c r="C1819" t="inlineStr">
        <is>
          <t>engine_value</t>
        </is>
      </c>
    </row>
    <row r="1820">
      <c r="A1820" t="inlineStr">
        <is>
          <t>附表9!H5</t>
        </is>
      </c>
      <c r="B1820" t="inlineStr">
        <is>
          <t>annual.project_cashflow.period_5</t>
        </is>
      </c>
      <c r="C1820" t="inlineStr">
        <is>
          <t>engine_value</t>
        </is>
      </c>
    </row>
    <row r="1821">
      <c r="A1821" t="inlineStr">
        <is>
          <t>附表9!I5</t>
        </is>
      </c>
      <c r="B1821" t="inlineStr">
        <is>
          <t>annual.project_cashflow.period_6</t>
        </is>
      </c>
      <c r="C1821" t="inlineStr">
        <is>
          <t>engine_value</t>
        </is>
      </c>
    </row>
    <row r="1822">
      <c r="A1822" t="inlineStr">
        <is>
          <t>附表9!J5</t>
        </is>
      </c>
      <c r="B1822" t="inlineStr">
        <is>
          <t>annual.project_cashflow.period_7</t>
        </is>
      </c>
      <c r="C1822" t="inlineStr">
        <is>
          <t>engine_value</t>
        </is>
      </c>
    </row>
    <row r="1823">
      <c r="A1823" t="inlineStr">
        <is>
          <t>附表9!K5</t>
        </is>
      </c>
      <c r="B1823" t="inlineStr">
        <is>
          <t>annual.project_cashflow.period_8</t>
        </is>
      </c>
      <c r="C1823" t="inlineStr">
        <is>
          <t>engine_value</t>
        </is>
      </c>
    </row>
    <row r="1824">
      <c r="A1824" t="inlineStr">
        <is>
          <t>附表9!L5</t>
        </is>
      </c>
      <c r="B1824" t="inlineStr">
        <is>
          <t>annual.project_cashflow.period_9</t>
        </is>
      </c>
      <c r="C1824" t="inlineStr">
        <is>
          <t>engine_value</t>
        </is>
      </c>
    </row>
    <row r="1825">
      <c r="A1825" t="inlineStr">
        <is>
          <t>附表9!M5</t>
        </is>
      </c>
      <c r="B1825" t="inlineStr">
        <is>
          <t>annual.project_cashflow.period_10</t>
        </is>
      </c>
      <c r="C1825" t="inlineStr">
        <is>
          <t>engine_value</t>
        </is>
      </c>
    </row>
    <row r="1826">
      <c r="A1826" t="inlineStr">
        <is>
          <t>附表9!N5</t>
        </is>
      </c>
      <c r="B1826" t="inlineStr">
        <is>
          <t>annual.project_cashflow.period_11</t>
        </is>
      </c>
      <c r="C1826" t="inlineStr">
        <is>
          <t>engine_value</t>
        </is>
      </c>
    </row>
    <row r="1827">
      <c r="A1827" t="inlineStr">
        <is>
          <t>附表9!O5</t>
        </is>
      </c>
      <c r="B1827" t="inlineStr">
        <is>
          <t>annual.project_cashflow.period_12</t>
        </is>
      </c>
      <c r="C1827" t="inlineStr">
        <is>
          <t>engine_value</t>
        </is>
      </c>
    </row>
    <row r="1828">
      <c r="A1828" t="inlineStr">
        <is>
          <t>附表9!P5</t>
        </is>
      </c>
      <c r="B1828" t="inlineStr">
        <is>
          <t>annual.project_cashflow.period_13</t>
        </is>
      </c>
      <c r="C1828" t="inlineStr">
        <is>
          <t>engine_value</t>
        </is>
      </c>
    </row>
    <row r="1829">
      <c r="A1829" t="inlineStr">
        <is>
          <t>附表9!Q5</t>
        </is>
      </c>
      <c r="B1829" t="inlineStr">
        <is>
          <t>annual.project_cashflow.period_14</t>
        </is>
      </c>
      <c r="C1829" t="inlineStr">
        <is>
          <t>engine_value</t>
        </is>
      </c>
    </row>
    <row r="1830">
      <c r="A1830" t="inlineStr">
        <is>
          <t>附表9!R5</t>
        </is>
      </c>
      <c r="B1830" t="inlineStr">
        <is>
          <t>annual.project_cashflow.period_15</t>
        </is>
      </c>
      <c r="C1830" t="inlineStr">
        <is>
          <t>engine_value</t>
        </is>
      </c>
    </row>
    <row r="1831">
      <c r="A1831" t="inlineStr">
        <is>
          <t>附表9!S5</t>
        </is>
      </c>
      <c r="B1831" t="inlineStr">
        <is>
          <t>annual.project_cashflow.period_16</t>
        </is>
      </c>
      <c r="C1831" t="inlineStr">
        <is>
          <t>engine_value</t>
        </is>
      </c>
    </row>
    <row r="1832">
      <c r="A1832" t="inlineStr">
        <is>
          <t>附表9!T5</t>
        </is>
      </c>
      <c r="B1832" t="inlineStr">
        <is>
          <t>annual.project_cashflow.period_17</t>
        </is>
      </c>
      <c r="C1832" t="inlineStr">
        <is>
          <t>engine_value</t>
        </is>
      </c>
    </row>
    <row r="1833">
      <c r="A1833" t="inlineStr">
        <is>
          <t>附表9!U5</t>
        </is>
      </c>
      <c r="B1833" t="inlineStr">
        <is>
          <t>annual.project_cashflow.period_18</t>
        </is>
      </c>
      <c r="C1833" t="inlineStr">
        <is>
          <t>engine_value</t>
        </is>
      </c>
    </row>
    <row r="1834">
      <c r="A1834" t="inlineStr">
        <is>
          <t>附表9!V5</t>
        </is>
      </c>
      <c r="B1834" t="inlineStr">
        <is>
          <t>annual.project_cashflow.period_19</t>
        </is>
      </c>
      <c r="C1834" t="inlineStr">
        <is>
          <t>engine_value</t>
        </is>
      </c>
    </row>
    <row r="1835">
      <c r="A1835" t="inlineStr">
        <is>
          <t>附表9!W5</t>
        </is>
      </c>
      <c r="B1835" t="inlineStr">
        <is>
          <t>annual.project_cashflow.period_20</t>
        </is>
      </c>
      <c r="C1835" t="inlineStr">
        <is>
          <t>engine_value</t>
        </is>
      </c>
    </row>
    <row r="1836">
      <c r="A1836" t="inlineStr">
        <is>
          <t>附表9!X5</t>
        </is>
      </c>
      <c r="B1836" t="inlineStr">
        <is>
          <t>annual.project_cashflow.period_21</t>
        </is>
      </c>
      <c r="C1836" t="inlineStr">
        <is>
          <t>engine_value</t>
        </is>
      </c>
    </row>
    <row r="1837">
      <c r="A1837" t="inlineStr">
        <is>
          <t>附表9!Y5</t>
        </is>
      </c>
      <c r="B1837" t="inlineStr">
        <is>
          <t>annual.project_cashflow.period_22</t>
        </is>
      </c>
      <c r="C1837" t="inlineStr">
        <is>
          <t>engine_value</t>
        </is>
      </c>
    </row>
    <row r="1838">
      <c r="A1838" t="inlineStr">
        <is>
          <t>附表9!Z5</t>
        </is>
      </c>
      <c r="B1838" t="inlineStr">
        <is>
          <t>annual.project_cashflow.period_23</t>
        </is>
      </c>
      <c r="C1838" t="inlineStr">
        <is>
          <t>engine_value</t>
        </is>
      </c>
    </row>
    <row r="1839">
      <c r="A1839" t="inlineStr">
        <is>
          <t>附表9!AA5</t>
        </is>
      </c>
      <c r="B1839" t="inlineStr">
        <is>
          <t>annual.project_cashflow.period_24</t>
        </is>
      </c>
      <c r="C1839" t="inlineStr">
        <is>
          <t>engine_value</t>
        </is>
      </c>
    </row>
    <row r="1840">
      <c r="A1840" t="inlineStr">
        <is>
          <t>附表9!AB5</t>
        </is>
      </c>
      <c r="B1840" t="inlineStr">
        <is>
          <t>annual.project_cashflow.period_25</t>
        </is>
      </c>
      <c r="C1840" t="inlineStr">
        <is>
          <t>engine_value</t>
        </is>
      </c>
    </row>
    <row r="1841">
      <c r="A1841" t="inlineStr">
        <is>
          <t>附表9!A6</t>
        </is>
      </c>
      <c r="B1841" t="inlineStr">
        <is>
          <t>annual.project_cashflow.no</t>
        </is>
      </c>
      <c r="C1841" t="inlineStr">
        <is>
          <t>engine_value</t>
        </is>
      </c>
    </row>
    <row r="1842">
      <c r="A1842" t="inlineStr">
        <is>
          <t>附表9!B6</t>
        </is>
      </c>
      <c r="B1842" t="inlineStr">
        <is>
          <t>annual.project_cashflow.item</t>
        </is>
      </c>
      <c r="C1842" t="inlineStr">
        <is>
          <t>engine_value</t>
        </is>
      </c>
    </row>
    <row r="1843">
      <c r="A1843" t="inlineStr">
        <is>
          <t>附表9!C6</t>
        </is>
      </c>
      <c r="B1843" t="inlineStr">
        <is>
          <t>annual.project_cashflow.total</t>
        </is>
      </c>
      <c r="C1843" t="inlineStr">
        <is>
          <t>engine_value</t>
        </is>
      </c>
    </row>
    <row r="1844">
      <c r="A1844" t="inlineStr">
        <is>
          <t>附表9!D6</t>
        </is>
      </c>
      <c r="B1844" t="inlineStr">
        <is>
          <t>annual.project_cashflow.period_1</t>
        </is>
      </c>
      <c r="C1844" t="inlineStr">
        <is>
          <t>engine_value</t>
        </is>
      </c>
    </row>
    <row r="1845">
      <c r="A1845" t="inlineStr">
        <is>
          <t>附表9!E6</t>
        </is>
      </c>
      <c r="B1845" t="inlineStr">
        <is>
          <t>annual.project_cashflow.period_2</t>
        </is>
      </c>
      <c r="C1845" t="inlineStr">
        <is>
          <t>engine_value</t>
        </is>
      </c>
    </row>
    <row r="1846">
      <c r="A1846" t="inlineStr">
        <is>
          <t>附表9!F6</t>
        </is>
      </c>
      <c r="B1846" t="inlineStr">
        <is>
          <t>annual.project_cashflow.period_3</t>
        </is>
      </c>
      <c r="C1846" t="inlineStr">
        <is>
          <t>engine_value</t>
        </is>
      </c>
    </row>
    <row r="1847">
      <c r="A1847" t="inlineStr">
        <is>
          <t>附表9!G6</t>
        </is>
      </c>
      <c r="B1847" t="inlineStr">
        <is>
          <t>annual.project_cashflow.period_4</t>
        </is>
      </c>
      <c r="C1847" t="inlineStr">
        <is>
          <t>engine_value</t>
        </is>
      </c>
    </row>
    <row r="1848">
      <c r="A1848" t="inlineStr">
        <is>
          <t>附表9!H6</t>
        </is>
      </c>
      <c r="B1848" t="inlineStr">
        <is>
          <t>annual.project_cashflow.period_5</t>
        </is>
      </c>
      <c r="C1848" t="inlineStr">
        <is>
          <t>engine_value</t>
        </is>
      </c>
    </row>
    <row r="1849">
      <c r="A1849" t="inlineStr">
        <is>
          <t>附表9!I6</t>
        </is>
      </c>
      <c r="B1849" t="inlineStr">
        <is>
          <t>annual.project_cashflow.period_6</t>
        </is>
      </c>
      <c r="C1849" t="inlineStr">
        <is>
          <t>engine_value</t>
        </is>
      </c>
    </row>
    <row r="1850">
      <c r="A1850" t="inlineStr">
        <is>
          <t>附表9!J6</t>
        </is>
      </c>
      <c r="B1850" t="inlineStr">
        <is>
          <t>annual.project_cashflow.period_7</t>
        </is>
      </c>
      <c r="C1850" t="inlineStr">
        <is>
          <t>engine_value</t>
        </is>
      </c>
    </row>
    <row r="1851">
      <c r="A1851" t="inlineStr">
        <is>
          <t>附表9!K6</t>
        </is>
      </c>
      <c r="B1851" t="inlineStr">
        <is>
          <t>annual.project_cashflow.period_8</t>
        </is>
      </c>
      <c r="C1851" t="inlineStr">
        <is>
          <t>engine_value</t>
        </is>
      </c>
    </row>
    <row r="1852">
      <c r="A1852" t="inlineStr">
        <is>
          <t>附表9!L6</t>
        </is>
      </c>
      <c r="B1852" t="inlineStr">
        <is>
          <t>annual.project_cashflow.period_9</t>
        </is>
      </c>
      <c r="C1852" t="inlineStr">
        <is>
          <t>engine_value</t>
        </is>
      </c>
    </row>
    <row r="1853">
      <c r="A1853" t="inlineStr">
        <is>
          <t>附表9!M6</t>
        </is>
      </c>
      <c r="B1853" t="inlineStr">
        <is>
          <t>annual.project_cashflow.period_10</t>
        </is>
      </c>
      <c r="C1853" t="inlineStr">
        <is>
          <t>engine_value</t>
        </is>
      </c>
    </row>
    <row r="1854">
      <c r="A1854" t="inlineStr">
        <is>
          <t>附表9!N6</t>
        </is>
      </c>
      <c r="B1854" t="inlineStr">
        <is>
          <t>annual.project_cashflow.period_11</t>
        </is>
      </c>
      <c r="C1854" t="inlineStr">
        <is>
          <t>engine_value</t>
        </is>
      </c>
    </row>
    <row r="1855">
      <c r="A1855" t="inlineStr">
        <is>
          <t>附表9!O6</t>
        </is>
      </c>
      <c r="B1855" t="inlineStr">
        <is>
          <t>annual.project_cashflow.period_12</t>
        </is>
      </c>
      <c r="C1855" t="inlineStr">
        <is>
          <t>engine_value</t>
        </is>
      </c>
    </row>
    <row r="1856">
      <c r="A1856" t="inlineStr">
        <is>
          <t>附表9!P6</t>
        </is>
      </c>
      <c r="B1856" t="inlineStr">
        <is>
          <t>annual.project_cashflow.period_13</t>
        </is>
      </c>
      <c r="C1856" t="inlineStr">
        <is>
          <t>engine_value</t>
        </is>
      </c>
    </row>
    <row r="1857">
      <c r="A1857" t="inlineStr">
        <is>
          <t>附表9!Q6</t>
        </is>
      </c>
      <c r="B1857" t="inlineStr">
        <is>
          <t>annual.project_cashflow.period_14</t>
        </is>
      </c>
      <c r="C1857" t="inlineStr">
        <is>
          <t>engine_value</t>
        </is>
      </c>
    </row>
    <row r="1858">
      <c r="A1858" t="inlineStr">
        <is>
          <t>附表9!R6</t>
        </is>
      </c>
      <c r="B1858" t="inlineStr">
        <is>
          <t>annual.project_cashflow.period_15</t>
        </is>
      </c>
      <c r="C1858" t="inlineStr">
        <is>
          <t>engine_value</t>
        </is>
      </c>
    </row>
    <row r="1859">
      <c r="A1859" t="inlineStr">
        <is>
          <t>附表9!S6</t>
        </is>
      </c>
      <c r="B1859" t="inlineStr">
        <is>
          <t>annual.project_cashflow.period_16</t>
        </is>
      </c>
      <c r="C1859" t="inlineStr">
        <is>
          <t>engine_value</t>
        </is>
      </c>
    </row>
    <row r="1860">
      <c r="A1860" t="inlineStr">
        <is>
          <t>附表9!T6</t>
        </is>
      </c>
      <c r="B1860" t="inlineStr">
        <is>
          <t>annual.project_cashflow.period_17</t>
        </is>
      </c>
      <c r="C1860" t="inlineStr">
        <is>
          <t>engine_value</t>
        </is>
      </c>
    </row>
    <row r="1861">
      <c r="A1861" t="inlineStr">
        <is>
          <t>附表9!U6</t>
        </is>
      </c>
      <c r="B1861" t="inlineStr">
        <is>
          <t>annual.project_cashflow.period_18</t>
        </is>
      </c>
      <c r="C1861" t="inlineStr">
        <is>
          <t>engine_value</t>
        </is>
      </c>
    </row>
    <row r="1862">
      <c r="A1862" t="inlineStr">
        <is>
          <t>附表9!V6</t>
        </is>
      </c>
      <c r="B1862" t="inlineStr">
        <is>
          <t>annual.project_cashflow.period_19</t>
        </is>
      </c>
      <c r="C1862" t="inlineStr">
        <is>
          <t>engine_value</t>
        </is>
      </c>
    </row>
    <row r="1863">
      <c r="A1863" t="inlineStr">
        <is>
          <t>附表9!W6</t>
        </is>
      </c>
      <c r="B1863" t="inlineStr">
        <is>
          <t>annual.project_cashflow.period_20</t>
        </is>
      </c>
      <c r="C1863" t="inlineStr">
        <is>
          <t>engine_value</t>
        </is>
      </c>
    </row>
    <row r="1864">
      <c r="A1864" t="inlineStr">
        <is>
          <t>附表9!X6</t>
        </is>
      </c>
      <c r="B1864" t="inlineStr">
        <is>
          <t>annual.project_cashflow.period_21</t>
        </is>
      </c>
      <c r="C1864" t="inlineStr">
        <is>
          <t>engine_value</t>
        </is>
      </c>
    </row>
    <row r="1865">
      <c r="A1865" t="inlineStr">
        <is>
          <t>附表9!Y6</t>
        </is>
      </c>
      <c r="B1865" t="inlineStr">
        <is>
          <t>annual.project_cashflow.period_22</t>
        </is>
      </c>
      <c r="C1865" t="inlineStr">
        <is>
          <t>engine_value</t>
        </is>
      </c>
    </row>
    <row r="1866">
      <c r="A1866" t="inlineStr">
        <is>
          <t>附表9!Z6</t>
        </is>
      </c>
      <c r="B1866" t="inlineStr">
        <is>
          <t>annual.project_cashflow.period_23</t>
        </is>
      </c>
      <c r="C1866" t="inlineStr">
        <is>
          <t>engine_value</t>
        </is>
      </c>
    </row>
    <row r="1867">
      <c r="A1867" t="inlineStr">
        <is>
          <t>附表9!AA6</t>
        </is>
      </c>
      <c r="B1867" t="inlineStr">
        <is>
          <t>annual.project_cashflow.period_24</t>
        </is>
      </c>
      <c r="C1867" t="inlineStr">
        <is>
          <t>engine_value</t>
        </is>
      </c>
    </row>
    <row r="1868">
      <c r="A1868" t="inlineStr">
        <is>
          <t>附表9!AB6</t>
        </is>
      </c>
      <c r="B1868" t="inlineStr">
        <is>
          <t>annual.project_cashflow.period_25</t>
        </is>
      </c>
      <c r="C1868" t="inlineStr">
        <is>
          <t>engine_value</t>
        </is>
      </c>
    </row>
    <row r="1869">
      <c r="A1869" t="inlineStr">
        <is>
          <t>附表9!A7</t>
        </is>
      </c>
      <c r="B1869" t="inlineStr">
        <is>
          <t>annual.project_cashflow.no</t>
        </is>
      </c>
      <c r="C1869" t="inlineStr">
        <is>
          <t>engine_value</t>
        </is>
      </c>
    </row>
    <row r="1870">
      <c r="A1870" t="inlineStr">
        <is>
          <t>附表9!B7</t>
        </is>
      </c>
      <c r="B1870" t="inlineStr">
        <is>
          <t>annual.project_cashflow.item</t>
        </is>
      </c>
      <c r="C1870" t="inlineStr">
        <is>
          <t>engine_value</t>
        </is>
      </c>
    </row>
    <row r="1871">
      <c r="A1871" t="inlineStr">
        <is>
          <t>附表9!C7</t>
        </is>
      </c>
      <c r="B1871" t="inlineStr">
        <is>
          <t>annual.project_cashflow.total</t>
        </is>
      </c>
      <c r="C1871" t="inlineStr">
        <is>
          <t>engine_value</t>
        </is>
      </c>
    </row>
    <row r="1872">
      <c r="A1872" t="inlineStr">
        <is>
          <t>附表9!D7</t>
        </is>
      </c>
      <c r="B1872" t="inlineStr">
        <is>
          <t>annual.project_cashflow.period_1</t>
        </is>
      </c>
      <c r="C1872" t="inlineStr">
        <is>
          <t>engine_value</t>
        </is>
      </c>
    </row>
    <row r="1873">
      <c r="A1873" t="inlineStr">
        <is>
          <t>附表9!E7</t>
        </is>
      </c>
      <c r="B1873" t="inlineStr">
        <is>
          <t>annual.project_cashflow.period_2</t>
        </is>
      </c>
      <c r="C1873" t="inlineStr">
        <is>
          <t>engine_value</t>
        </is>
      </c>
    </row>
    <row r="1874">
      <c r="A1874" t="inlineStr">
        <is>
          <t>附表9!F7</t>
        </is>
      </c>
      <c r="B1874" t="inlineStr">
        <is>
          <t>annual.project_cashflow.period_3</t>
        </is>
      </c>
      <c r="C1874" t="inlineStr">
        <is>
          <t>engine_value</t>
        </is>
      </c>
    </row>
    <row r="1875">
      <c r="A1875" t="inlineStr">
        <is>
          <t>附表9!G7</t>
        </is>
      </c>
      <c r="B1875" t="inlineStr">
        <is>
          <t>annual.project_cashflow.period_4</t>
        </is>
      </c>
      <c r="C1875" t="inlineStr">
        <is>
          <t>engine_value</t>
        </is>
      </c>
    </row>
    <row r="1876">
      <c r="A1876" t="inlineStr">
        <is>
          <t>附表9!H7</t>
        </is>
      </c>
      <c r="B1876" t="inlineStr">
        <is>
          <t>annual.project_cashflow.period_5</t>
        </is>
      </c>
      <c r="C1876" t="inlineStr">
        <is>
          <t>engine_value</t>
        </is>
      </c>
    </row>
    <row r="1877">
      <c r="A1877" t="inlineStr">
        <is>
          <t>附表9!I7</t>
        </is>
      </c>
      <c r="B1877" t="inlineStr">
        <is>
          <t>annual.project_cashflow.period_6</t>
        </is>
      </c>
      <c r="C1877" t="inlineStr">
        <is>
          <t>engine_value</t>
        </is>
      </c>
    </row>
    <row r="1878">
      <c r="A1878" t="inlineStr">
        <is>
          <t>附表9!J7</t>
        </is>
      </c>
      <c r="B1878" t="inlineStr">
        <is>
          <t>annual.project_cashflow.period_7</t>
        </is>
      </c>
      <c r="C1878" t="inlineStr">
        <is>
          <t>engine_value</t>
        </is>
      </c>
    </row>
    <row r="1879">
      <c r="A1879" t="inlineStr">
        <is>
          <t>附表9!K7</t>
        </is>
      </c>
      <c r="B1879" t="inlineStr">
        <is>
          <t>annual.project_cashflow.period_8</t>
        </is>
      </c>
      <c r="C1879" t="inlineStr">
        <is>
          <t>engine_value</t>
        </is>
      </c>
    </row>
    <row r="1880">
      <c r="A1880" t="inlineStr">
        <is>
          <t>附表9!L7</t>
        </is>
      </c>
      <c r="B1880" t="inlineStr">
        <is>
          <t>annual.project_cashflow.period_9</t>
        </is>
      </c>
      <c r="C1880" t="inlineStr">
        <is>
          <t>engine_value</t>
        </is>
      </c>
    </row>
    <row r="1881">
      <c r="A1881" t="inlineStr">
        <is>
          <t>附表9!M7</t>
        </is>
      </c>
      <c r="B1881" t="inlineStr">
        <is>
          <t>annual.project_cashflow.period_10</t>
        </is>
      </c>
      <c r="C1881" t="inlineStr">
        <is>
          <t>engine_value</t>
        </is>
      </c>
    </row>
    <row r="1882">
      <c r="A1882" t="inlineStr">
        <is>
          <t>附表9!N7</t>
        </is>
      </c>
      <c r="B1882" t="inlineStr">
        <is>
          <t>annual.project_cashflow.period_11</t>
        </is>
      </c>
      <c r="C1882" t="inlineStr">
        <is>
          <t>engine_value</t>
        </is>
      </c>
    </row>
    <row r="1883">
      <c r="A1883" t="inlineStr">
        <is>
          <t>附表9!O7</t>
        </is>
      </c>
      <c r="B1883" t="inlineStr">
        <is>
          <t>annual.project_cashflow.period_12</t>
        </is>
      </c>
      <c r="C1883" t="inlineStr">
        <is>
          <t>engine_value</t>
        </is>
      </c>
    </row>
    <row r="1884">
      <c r="A1884" t="inlineStr">
        <is>
          <t>附表9!P7</t>
        </is>
      </c>
      <c r="B1884" t="inlineStr">
        <is>
          <t>annual.project_cashflow.period_13</t>
        </is>
      </c>
      <c r="C1884" t="inlineStr">
        <is>
          <t>engine_value</t>
        </is>
      </c>
    </row>
    <row r="1885">
      <c r="A1885" t="inlineStr">
        <is>
          <t>附表9!Q7</t>
        </is>
      </c>
      <c r="B1885" t="inlineStr">
        <is>
          <t>annual.project_cashflow.period_14</t>
        </is>
      </c>
      <c r="C1885" t="inlineStr">
        <is>
          <t>engine_value</t>
        </is>
      </c>
    </row>
    <row r="1886">
      <c r="A1886" t="inlineStr">
        <is>
          <t>附表9!R7</t>
        </is>
      </c>
      <c r="B1886" t="inlineStr">
        <is>
          <t>annual.project_cashflow.period_15</t>
        </is>
      </c>
      <c r="C1886" t="inlineStr">
        <is>
          <t>engine_value</t>
        </is>
      </c>
    </row>
    <row r="1887">
      <c r="A1887" t="inlineStr">
        <is>
          <t>附表9!S7</t>
        </is>
      </c>
      <c r="B1887" t="inlineStr">
        <is>
          <t>annual.project_cashflow.period_16</t>
        </is>
      </c>
      <c r="C1887" t="inlineStr">
        <is>
          <t>engine_value</t>
        </is>
      </c>
    </row>
    <row r="1888">
      <c r="A1888" t="inlineStr">
        <is>
          <t>附表9!T7</t>
        </is>
      </c>
      <c r="B1888" t="inlineStr">
        <is>
          <t>annual.project_cashflow.period_17</t>
        </is>
      </c>
      <c r="C1888" t="inlineStr">
        <is>
          <t>engine_value</t>
        </is>
      </c>
    </row>
    <row r="1889">
      <c r="A1889" t="inlineStr">
        <is>
          <t>附表9!U7</t>
        </is>
      </c>
      <c r="B1889" t="inlineStr">
        <is>
          <t>annual.project_cashflow.period_18</t>
        </is>
      </c>
      <c r="C1889" t="inlineStr">
        <is>
          <t>engine_value</t>
        </is>
      </c>
    </row>
    <row r="1890">
      <c r="A1890" t="inlineStr">
        <is>
          <t>附表9!V7</t>
        </is>
      </c>
      <c r="B1890" t="inlineStr">
        <is>
          <t>annual.project_cashflow.period_19</t>
        </is>
      </c>
      <c r="C1890" t="inlineStr">
        <is>
          <t>engine_value</t>
        </is>
      </c>
    </row>
    <row r="1891">
      <c r="A1891" t="inlineStr">
        <is>
          <t>附表9!W7</t>
        </is>
      </c>
      <c r="B1891" t="inlineStr">
        <is>
          <t>annual.project_cashflow.period_20</t>
        </is>
      </c>
      <c r="C1891" t="inlineStr">
        <is>
          <t>engine_value</t>
        </is>
      </c>
    </row>
    <row r="1892">
      <c r="A1892" t="inlineStr">
        <is>
          <t>附表9!X7</t>
        </is>
      </c>
      <c r="B1892" t="inlineStr">
        <is>
          <t>annual.project_cashflow.period_21</t>
        </is>
      </c>
      <c r="C1892" t="inlineStr">
        <is>
          <t>engine_value</t>
        </is>
      </c>
    </row>
    <row r="1893">
      <c r="A1893" t="inlineStr">
        <is>
          <t>附表9!Y7</t>
        </is>
      </c>
      <c r="B1893" t="inlineStr">
        <is>
          <t>annual.project_cashflow.period_22</t>
        </is>
      </c>
      <c r="C1893" t="inlineStr">
        <is>
          <t>engine_value</t>
        </is>
      </c>
    </row>
    <row r="1894">
      <c r="A1894" t="inlineStr">
        <is>
          <t>附表9!Z7</t>
        </is>
      </c>
      <c r="B1894" t="inlineStr">
        <is>
          <t>annual.project_cashflow.period_23</t>
        </is>
      </c>
      <c r="C1894" t="inlineStr">
        <is>
          <t>engine_value</t>
        </is>
      </c>
    </row>
    <row r="1895">
      <c r="A1895" t="inlineStr">
        <is>
          <t>附表9!AA7</t>
        </is>
      </c>
      <c r="B1895" t="inlineStr">
        <is>
          <t>annual.project_cashflow.period_24</t>
        </is>
      </c>
      <c r="C1895" t="inlineStr">
        <is>
          <t>engine_value</t>
        </is>
      </c>
    </row>
    <row r="1896">
      <c r="A1896" t="inlineStr">
        <is>
          <t>附表9!AB7</t>
        </is>
      </c>
      <c r="B1896" t="inlineStr">
        <is>
          <t>annual.project_cashflow.period_25</t>
        </is>
      </c>
      <c r="C1896" t="inlineStr">
        <is>
          <t>engine_value</t>
        </is>
      </c>
    </row>
    <row r="1897">
      <c r="A1897" t="inlineStr">
        <is>
          <t>附表9!A8</t>
        </is>
      </c>
      <c r="B1897" t="inlineStr">
        <is>
          <t>annual.project_cashflow.no</t>
        </is>
      </c>
      <c r="C1897" t="inlineStr">
        <is>
          <t>engine_value</t>
        </is>
      </c>
    </row>
    <row r="1898">
      <c r="A1898" t="inlineStr">
        <is>
          <t>附表9!B8</t>
        </is>
      </c>
      <c r="B1898" t="inlineStr">
        <is>
          <t>annual.project_cashflow.item</t>
        </is>
      </c>
      <c r="C1898" t="inlineStr">
        <is>
          <t>engine_value</t>
        </is>
      </c>
    </row>
    <row r="1899">
      <c r="A1899" t="inlineStr">
        <is>
          <t>附表9!C8</t>
        </is>
      </c>
      <c r="B1899" t="inlineStr">
        <is>
          <t>annual.project_cashflow.total</t>
        </is>
      </c>
      <c r="C1899" t="inlineStr">
        <is>
          <t>engine_value</t>
        </is>
      </c>
    </row>
    <row r="1900">
      <c r="A1900" t="inlineStr">
        <is>
          <t>附表9!D8</t>
        </is>
      </c>
      <c r="B1900" t="inlineStr">
        <is>
          <t>annual.project_cashflow.period_1</t>
        </is>
      </c>
      <c r="C1900" t="inlineStr">
        <is>
          <t>engine_value</t>
        </is>
      </c>
    </row>
    <row r="1901">
      <c r="A1901" t="inlineStr">
        <is>
          <t>附表9!E8</t>
        </is>
      </c>
      <c r="B1901" t="inlineStr">
        <is>
          <t>annual.project_cashflow.period_2</t>
        </is>
      </c>
      <c r="C1901" t="inlineStr">
        <is>
          <t>engine_value</t>
        </is>
      </c>
    </row>
    <row r="1902">
      <c r="A1902" t="inlineStr">
        <is>
          <t>附表9!F8</t>
        </is>
      </c>
      <c r="B1902" t="inlineStr">
        <is>
          <t>annual.project_cashflow.period_3</t>
        </is>
      </c>
      <c r="C1902" t="inlineStr">
        <is>
          <t>engine_value</t>
        </is>
      </c>
    </row>
    <row r="1903">
      <c r="A1903" t="inlineStr">
        <is>
          <t>附表9!G8</t>
        </is>
      </c>
      <c r="B1903" t="inlineStr">
        <is>
          <t>annual.project_cashflow.period_4</t>
        </is>
      </c>
      <c r="C1903" t="inlineStr">
        <is>
          <t>engine_value</t>
        </is>
      </c>
    </row>
    <row r="1904">
      <c r="A1904" t="inlineStr">
        <is>
          <t>附表9!H8</t>
        </is>
      </c>
      <c r="B1904" t="inlineStr">
        <is>
          <t>annual.project_cashflow.period_5</t>
        </is>
      </c>
      <c r="C1904" t="inlineStr">
        <is>
          <t>engine_value</t>
        </is>
      </c>
    </row>
    <row r="1905">
      <c r="A1905" t="inlineStr">
        <is>
          <t>附表9!I8</t>
        </is>
      </c>
      <c r="B1905" t="inlineStr">
        <is>
          <t>annual.project_cashflow.period_6</t>
        </is>
      </c>
      <c r="C1905" t="inlineStr">
        <is>
          <t>engine_value</t>
        </is>
      </c>
    </row>
    <row r="1906">
      <c r="A1906" t="inlineStr">
        <is>
          <t>附表9!J8</t>
        </is>
      </c>
      <c r="B1906" t="inlineStr">
        <is>
          <t>annual.project_cashflow.period_7</t>
        </is>
      </c>
      <c r="C1906" t="inlineStr">
        <is>
          <t>engine_value</t>
        </is>
      </c>
    </row>
    <row r="1907">
      <c r="A1907" t="inlineStr">
        <is>
          <t>附表9!K8</t>
        </is>
      </c>
      <c r="B1907" t="inlineStr">
        <is>
          <t>annual.project_cashflow.period_8</t>
        </is>
      </c>
      <c r="C1907" t="inlineStr">
        <is>
          <t>engine_value</t>
        </is>
      </c>
    </row>
    <row r="1908">
      <c r="A1908" t="inlineStr">
        <is>
          <t>附表9!L8</t>
        </is>
      </c>
      <c r="B1908" t="inlineStr">
        <is>
          <t>annual.project_cashflow.period_9</t>
        </is>
      </c>
      <c r="C1908" t="inlineStr">
        <is>
          <t>engine_value</t>
        </is>
      </c>
    </row>
    <row r="1909">
      <c r="A1909" t="inlineStr">
        <is>
          <t>附表9!M8</t>
        </is>
      </c>
      <c r="B1909" t="inlineStr">
        <is>
          <t>annual.project_cashflow.period_10</t>
        </is>
      </c>
      <c r="C1909" t="inlineStr">
        <is>
          <t>engine_value</t>
        </is>
      </c>
    </row>
    <row r="1910">
      <c r="A1910" t="inlineStr">
        <is>
          <t>附表9!N8</t>
        </is>
      </c>
      <c r="B1910" t="inlineStr">
        <is>
          <t>annual.project_cashflow.period_11</t>
        </is>
      </c>
      <c r="C1910" t="inlineStr">
        <is>
          <t>engine_value</t>
        </is>
      </c>
    </row>
    <row r="1911">
      <c r="A1911" t="inlineStr">
        <is>
          <t>附表9!O8</t>
        </is>
      </c>
      <c r="B1911" t="inlineStr">
        <is>
          <t>annual.project_cashflow.period_12</t>
        </is>
      </c>
      <c r="C1911" t="inlineStr">
        <is>
          <t>engine_value</t>
        </is>
      </c>
    </row>
    <row r="1912">
      <c r="A1912" t="inlineStr">
        <is>
          <t>附表9!P8</t>
        </is>
      </c>
      <c r="B1912" t="inlineStr">
        <is>
          <t>annual.project_cashflow.period_13</t>
        </is>
      </c>
      <c r="C1912" t="inlineStr">
        <is>
          <t>engine_value</t>
        </is>
      </c>
    </row>
    <row r="1913">
      <c r="A1913" t="inlineStr">
        <is>
          <t>附表9!Q8</t>
        </is>
      </c>
      <c r="B1913" t="inlineStr">
        <is>
          <t>annual.project_cashflow.period_14</t>
        </is>
      </c>
      <c r="C1913" t="inlineStr">
        <is>
          <t>engine_value</t>
        </is>
      </c>
    </row>
    <row r="1914">
      <c r="A1914" t="inlineStr">
        <is>
          <t>附表9!R8</t>
        </is>
      </c>
      <c r="B1914" t="inlineStr">
        <is>
          <t>annual.project_cashflow.period_15</t>
        </is>
      </c>
      <c r="C1914" t="inlineStr">
        <is>
          <t>engine_value</t>
        </is>
      </c>
    </row>
    <row r="1915">
      <c r="A1915" t="inlineStr">
        <is>
          <t>附表9!S8</t>
        </is>
      </c>
      <c r="B1915" t="inlineStr">
        <is>
          <t>annual.project_cashflow.period_16</t>
        </is>
      </c>
      <c r="C1915" t="inlineStr">
        <is>
          <t>engine_value</t>
        </is>
      </c>
    </row>
    <row r="1916">
      <c r="A1916" t="inlineStr">
        <is>
          <t>附表9!T8</t>
        </is>
      </c>
      <c r="B1916" t="inlineStr">
        <is>
          <t>annual.project_cashflow.period_17</t>
        </is>
      </c>
      <c r="C1916" t="inlineStr">
        <is>
          <t>engine_value</t>
        </is>
      </c>
    </row>
    <row r="1917">
      <c r="A1917" t="inlineStr">
        <is>
          <t>附表9!U8</t>
        </is>
      </c>
      <c r="B1917" t="inlineStr">
        <is>
          <t>annual.project_cashflow.period_18</t>
        </is>
      </c>
      <c r="C1917" t="inlineStr">
        <is>
          <t>engine_value</t>
        </is>
      </c>
    </row>
    <row r="1918">
      <c r="A1918" t="inlineStr">
        <is>
          <t>附表9!V8</t>
        </is>
      </c>
      <c r="B1918" t="inlineStr">
        <is>
          <t>annual.project_cashflow.period_19</t>
        </is>
      </c>
      <c r="C1918" t="inlineStr">
        <is>
          <t>engine_value</t>
        </is>
      </c>
    </row>
    <row r="1919">
      <c r="A1919" t="inlineStr">
        <is>
          <t>附表9!W8</t>
        </is>
      </c>
      <c r="B1919" t="inlineStr">
        <is>
          <t>annual.project_cashflow.period_20</t>
        </is>
      </c>
      <c r="C1919" t="inlineStr">
        <is>
          <t>engine_value</t>
        </is>
      </c>
    </row>
    <row r="1920">
      <c r="A1920" t="inlineStr">
        <is>
          <t>附表9!X8</t>
        </is>
      </c>
      <c r="B1920" t="inlineStr">
        <is>
          <t>annual.project_cashflow.period_21</t>
        </is>
      </c>
      <c r="C1920" t="inlineStr">
        <is>
          <t>engine_value</t>
        </is>
      </c>
    </row>
    <row r="1921">
      <c r="A1921" t="inlineStr">
        <is>
          <t>附表9!Y8</t>
        </is>
      </c>
      <c r="B1921" t="inlineStr">
        <is>
          <t>annual.project_cashflow.period_22</t>
        </is>
      </c>
      <c r="C1921" t="inlineStr">
        <is>
          <t>engine_value</t>
        </is>
      </c>
    </row>
    <row r="1922">
      <c r="A1922" t="inlineStr">
        <is>
          <t>附表9!Z8</t>
        </is>
      </c>
      <c r="B1922" t="inlineStr">
        <is>
          <t>annual.project_cashflow.period_23</t>
        </is>
      </c>
      <c r="C1922" t="inlineStr">
        <is>
          <t>engine_value</t>
        </is>
      </c>
    </row>
    <row r="1923">
      <c r="A1923" t="inlineStr">
        <is>
          <t>附表9!AA8</t>
        </is>
      </c>
      <c r="B1923" t="inlineStr">
        <is>
          <t>annual.project_cashflow.period_24</t>
        </is>
      </c>
      <c r="C1923" t="inlineStr">
        <is>
          <t>engine_value</t>
        </is>
      </c>
    </row>
    <row r="1924">
      <c r="A1924" t="inlineStr">
        <is>
          <t>附表9!AB8</t>
        </is>
      </c>
      <c r="B1924" t="inlineStr">
        <is>
          <t>annual.project_cashflow.period_25</t>
        </is>
      </c>
      <c r="C1924" t="inlineStr">
        <is>
          <t>engine_value</t>
        </is>
      </c>
    </row>
    <row r="1925">
      <c r="A1925" t="inlineStr">
        <is>
          <t>附表9!A9</t>
        </is>
      </c>
      <c r="B1925" t="inlineStr">
        <is>
          <t>annual.project_cashflow.no</t>
        </is>
      </c>
      <c r="C1925" t="inlineStr">
        <is>
          <t>engine_value</t>
        </is>
      </c>
    </row>
    <row r="1926">
      <c r="A1926" t="inlineStr">
        <is>
          <t>附表9!B9</t>
        </is>
      </c>
      <c r="B1926" t="inlineStr">
        <is>
          <t>annual.project_cashflow.item</t>
        </is>
      </c>
      <c r="C1926" t="inlineStr">
        <is>
          <t>engine_value</t>
        </is>
      </c>
    </row>
    <row r="1927">
      <c r="A1927" t="inlineStr">
        <is>
          <t>附表9!C9</t>
        </is>
      </c>
      <c r="B1927" t="inlineStr">
        <is>
          <t>annual.project_cashflow.total</t>
        </is>
      </c>
      <c r="C1927" t="inlineStr">
        <is>
          <t>engine_value</t>
        </is>
      </c>
    </row>
    <row r="1928">
      <c r="A1928" t="inlineStr">
        <is>
          <t>附表9!D9</t>
        </is>
      </c>
      <c r="B1928" t="inlineStr">
        <is>
          <t>annual.project_cashflow.period_1</t>
        </is>
      </c>
      <c r="C1928" t="inlineStr">
        <is>
          <t>engine_value</t>
        </is>
      </c>
    </row>
    <row r="1929">
      <c r="A1929" t="inlineStr">
        <is>
          <t>附表9!E9</t>
        </is>
      </c>
      <c r="B1929" t="inlineStr">
        <is>
          <t>annual.project_cashflow.period_2</t>
        </is>
      </c>
      <c r="C1929" t="inlineStr">
        <is>
          <t>engine_value</t>
        </is>
      </c>
    </row>
    <row r="1930">
      <c r="A1930" t="inlineStr">
        <is>
          <t>附表9!F9</t>
        </is>
      </c>
      <c r="B1930" t="inlineStr">
        <is>
          <t>annual.project_cashflow.period_3</t>
        </is>
      </c>
      <c r="C1930" t="inlineStr">
        <is>
          <t>engine_value</t>
        </is>
      </c>
    </row>
    <row r="1931">
      <c r="A1931" t="inlineStr">
        <is>
          <t>附表9!G9</t>
        </is>
      </c>
      <c r="B1931" t="inlineStr">
        <is>
          <t>annual.project_cashflow.period_4</t>
        </is>
      </c>
      <c r="C1931" t="inlineStr">
        <is>
          <t>engine_value</t>
        </is>
      </c>
    </row>
    <row r="1932">
      <c r="A1932" t="inlineStr">
        <is>
          <t>附表9!H9</t>
        </is>
      </c>
      <c r="B1932" t="inlineStr">
        <is>
          <t>annual.project_cashflow.period_5</t>
        </is>
      </c>
      <c r="C1932" t="inlineStr">
        <is>
          <t>engine_value</t>
        </is>
      </c>
    </row>
    <row r="1933">
      <c r="A1933" t="inlineStr">
        <is>
          <t>附表9!I9</t>
        </is>
      </c>
      <c r="B1933" t="inlineStr">
        <is>
          <t>annual.project_cashflow.period_6</t>
        </is>
      </c>
      <c r="C1933" t="inlineStr">
        <is>
          <t>engine_value</t>
        </is>
      </c>
    </row>
    <row r="1934">
      <c r="A1934" t="inlineStr">
        <is>
          <t>附表9!J9</t>
        </is>
      </c>
      <c r="B1934" t="inlineStr">
        <is>
          <t>annual.project_cashflow.period_7</t>
        </is>
      </c>
      <c r="C1934" t="inlineStr">
        <is>
          <t>engine_value</t>
        </is>
      </c>
    </row>
    <row r="1935">
      <c r="A1935" t="inlineStr">
        <is>
          <t>附表9!K9</t>
        </is>
      </c>
      <c r="B1935" t="inlineStr">
        <is>
          <t>annual.project_cashflow.period_8</t>
        </is>
      </c>
      <c r="C1935" t="inlineStr">
        <is>
          <t>engine_value</t>
        </is>
      </c>
    </row>
    <row r="1936">
      <c r="A1936" t="inlineStr">
        <is>
          <t>附表9!L9</t>
        </is>
      </c>
      <c r="B1936" t="inlineStr">
        <is>
          <t>annual.project_cashflow.period_9</t>
        </is>
      </c>
      <c r="C1936" t="inlineStr">
        <is>
          <t>engine_value</t>
        </is>
      </c>
    </row>
    <row r="1937">
      <c r="A1937" t="inlineStr">
        <is>
          <t>附表9!M9</t>
        </is>
      </c>
      <c r="B1937" t="inlineStr">
        <is>
          <t>annual.project_cashflow.period_10</t>
        </is>
      </c>
      <c r="C1937" t="inlineStr">
        <is>
          <t>engine_value</t>
        </is>
      </c>
    </row>
    <row r="1938">
      <c r="A1938" t="inlineStr">
        <is>
          <t>附表9!N9</t>
        </is>
      </c>
      <c r="B1938" t="inlineStr">
        <is>
          <t>annual.project_cashflow.period_11</t>
        </is>
      </c>
      <c r="C1938" t="inlineStr">
        <is>
          <t>engine_value</t>
        </is>
      </c>
    </row>
    <row r="1939">
      <c r="A1939" t="inlineStr">
        <is>
          <t>附表9!O9</t>
        </is>
      </c>
      <c r="B1939" t="inlineStr">
        <is>
          <t>annual.project_cashflow.period_12</t>
        </is>
      </c>
      <c r="C1939" t="inlineStr">
        <is>
          <t>engine_value</t>
        </is>
      </c>
    </row>
    <row r="1940">
      <c r="A1940" t="inlineStr">
        <is>
          <t>附表9!P9</t>
        </is>
      </c>
      <c r="B1940" t="inlineStr">
        <is>
          <t>annual.project_cashflow.period_13</t>
        </is>
      </c>
      <c r="C1940" t="inlineStr">
        <is>
          <t>engine_value</t>
        </is>
      </c>
    </row>
    <row r="1941">
      <c r="A1941" t="inlineStr">
        <is>
          <t>附表9!Q9</t>
        </is>
      </c>
      <c r="B1941" t="inlineStr">
        <is>
          <t>annual.project_cashflow.period_14</t>
        </is>
      </c>
      <c r="C1941" t="inlineStr">
        <is>
          <t>engine_value</t>
        </is>
      </c>
    </row>
    <row r="1942">
      <c r="A1942" t="inlineStr">
        <is>
          <t>附表9!R9</t>
        </is>
      </c>
      <c r="B1942" t="inlineStr">
        <is>
          <t>annual.project_cashflow.period_15</t>
        </is>
      </c>
      <c r="C1942" t="inlineStr">
        <is>
          <t>engine_value</t>
        </is>
      </c>
    </row>
    <row r="1943">
      <c r="A1943" t="inlineStr">
        <is>
          <t>附表9!S9</t>
        </is>
      </c>
      <c r="B1943" t="inlineStr">
        <is>
          <t>annual.project_cashflow.period_16</t>
        </is>
      </c>
      <c r="C1943" t="inlineStr">
        <is>
          <t>engine_value</t>
        </is>
      </c>
    </row>
    <row r="1944">
      <c r="A1944" t="inlineStr">
        <is>
          <t>附表9!T9</t>
        </is>
      </c>
      <c r="B1944" t="inlineStr">
        <is>
          <t>annual.project_cashflow.period_17</t>
        </is>
      </c>
      <c r="C1944" t="inlineStr">
        <is>
          <t>engine_value</t>
        </is>
      </c>
    </row>
    <row r="1945">
      <c r="A1945" t="inlineStr">
        <is>
          <t>附表9!U9</t>
        </is>
      </c>
      <c r="B1945" t="inlineStr">
        <is>
          <t>annual.project_cashflow.period_18</t>
        </is>
      </c>
      <c r="C1945" t="inlineStr">
        <is>
          <t>engine_value</t>
        </is>
      </c>
    </row>
    <row r="1946">
      <c r="A1946" t="inlineStr">
        <is>
          <t>附表9!V9</t>
        </is>
      </c>
      <c r="B1946" t="inlineStr">
        <is>
          <t>annual.project_cashflow.period_19</t>
        </is>
      </c>
      <c r="C1946" t="inlineStr">
        <is>
          <t>engine_value</t>
        </is>
      </c>
    </row>
    <row r="1947">
      <c r="A1947" t="inlineStr">
        <is>
          <t>附表9!W9</t>
        </is>
      </c>
      <c r="B1947" t="inlineStr">
        <is>
          <t>annual.project_cashflow.period_20</t>
        </is>
      </c>
      <c r="C1947" t="inlineStr">
        <is>
          <t>engine_value</t>
        </is>
      </c>
    </row>
    <row r="1948">
      <c r="A1948" t="inlineStr">
        <is>
          <t>附表9!X9</t>
        </is>
      </c>
      <c r="B1948" t="inlineStr">
        <is>
          <t>annual.project_cashflow.period_21</t>
        </is>
      </c>
      <c r="C1948" t="inlineStr">
        <is>
          <t>engine_value</t>
        </is>
      </c>
    </row>
    <row r="1949">
      <c r="A1949" t="inlineStr">
        <is>
          <t>附表9!Y9</t>
        </is>
      </c>
      <c r="B1949" t="inlineStr">
        <is>
          <t>annual.project_cashflow.period_22</t>
        </is>
      </c>
      <c r="C1949" t="inlineStr">
        <is>
          <t>engine_value</t>
        </is>
      </c>
    </row>
    <row r="1950">
      <c r="A1950" t="inlineStr">
        <is>
          <t>附表9!Z9</t>
        </is>
      </c>
      <c r="B1950" t="inlineStr">
        <is>
          <t>annual.project_cashflow.period_23</t>
        </is>
      </c>
      <c r="C1950" t="inlineStr">
        <is>
          <t>engine_value</t>
        </is>
      </c>
    </row>
    <row r="1951">
      <c r="A1951" t="inlineStr">
        <is>
          <t>附表9!AA9</t>
        </is>
      </c>
      <c r="B1951" t="inlineStr">
        <is>
          <t>annual.project_cashflow.period_24</t>
        </is>
      </c>
      <c r="C1951" t="inlineStr">
        <is>
          <t>engine_value</t>
        </is>
      </c>
    </row>
    <row r="1952">
      <c r="A1952" t="inlineStr">
        <is>
          <t>附表9!AB9</t>
        </is>
      </c>
      <c r="B1952" t="inlineStr">
        <is>
          <t>annual.project_cashflow.period_25</t>
        </is>
      </c>
      <c r="C1952" t="inlineStr">
        <is>
          <t>engine_value</t>
        </is>
      </c>
    </row>
    <row r="1953">
      <c r="A1953" t="inlineStr">
        <is>
          <t>附表9!A10</t>
        </is>
      </c>
      <c r="B1953" t="inlineStr">
        <is>
          <t>annual.project_cashflow.no</t>
        </is>
      </c>
      <c r="C1953" t="inlineStr">
        <is>
          <t>engine_value</t>
        </is>
      </c>
    </row>
    <row r="1954">
      <c r="A1954" t="inlineStr">
        <is>
          <t>附表9!B10</t>
        </is>
      </c>
      <c r="B1954" t="inlineStr">
        <is>
          <t>annual.project_cashflow.item</t>
        </is>
      </c>
      <c r="C1954" t="inlineStr">
        <is>
          <t>engine_value</t>
        </is>
      </c>
    </row>
    <row r="1955">
      <c r="A1955" t="inlineStr">
        <is>
          <t>附表9!C10</t>
        </is>
      </c>
      <c r="B1955" t="inlineStr">
        <is>
          <t>annual.project_cashflow.total</t>
        </is>
      </c>
      <c r="C1955" t="inlineStr">
        <is>
          <t>engine_value</t>
        </is>
      </c>
    </row>
    <row r="1956">
      <c r="A1956" t="inlineStr">
        <is>
          <t>附表9!D10</t>
        </is>
      </c>
      <c r="B1956" t="inlineStr">
        <is>
          <t>annual.project_cashflow.period_1</t>
        </is>
      </c>
      <c r="C1956" t="inlineStr">
        <is>
          <t>engine_value</t>
        </is>
      </c>
    </row>
    <row r="1957">
      <c r="A1957" t="inlineStr">
        <is>
          <t>附表9!E10</t>
        </is>
      </c>
      <c r="B1957" t="inlineStr">
        <is>
          <t>annual.project_cashflow.period_2</t>
        </is>
      </c>
      <c r="C1957" t="inlineStr">
        <is>
          <t>engine_value</t>
        </is>
      </c>
    </row>
    <row r="1958">
      <c r="A1958" t="inlineStr">
        <is>
          <t>附表9!F10</t>
        </is>
      </c>
      <c r="B1958" t="inlineStr">
        <is>
          <t>annual.project_cashflow.period_3</t>
        </is>
      </c>
      <c r="C1958" t="inlineStr">
        <is>
          <t>engine_value</t>
        </is>
      </c>
    </row>
    <row r="1959">
      <c r="A1959" t="inlineStr">
        <is>
          <t>附表9!G10</t>
        </is>
      </c>
      <c r="B1959" t="inlineStr">
        <is>
          <t>annual.project_cashflow.period_4</t>
        </is>
      </c>
      <c r="C1959" t="inlineStr">
        <is>
          <t>engine_value</t>
        </is>
      </c>
    </row>
    <row r="1960">
      <c r="A1960" t="inlineStr">
        <is>
          <t>附表9!H10</t>
        </is>
      </c>
      <c r="B1960" t="inlineStr">
        <is>
          <t>annual.project_cashflow.period_5</t>
        </is>
      </c>
      <c r="C1960" t="inlineStr">
        <is>
          <t>engine_value</t>
        </is>
      </c>
    </row>
    <row r="1961">
      <c r="A1961" t="inlineStr">
        <is>
          <t>附表9!I10</t>
        </is>
      </c>
      <c r="B1961" t="inlineStr">
        <is>
          <t>annual.project_cashflow.period_6</t>
        </is>
      </c>
      <c r="C1961" t="inlineStr">
        <is>
          <t>engine_value</t>
        </is>
      </c>
    </row>
    <row r="1962">
      <c r="A1962" t="inlineStr">
        <is>
          <t>附表9!J10</t>
        </is>
      </c>
      <c r="B1962" t="inlineStr">
        <is>
          <t>annual.project_cashflow.period_7</t>
        </is>
      </c>
      <c r="C1962" t="inlineStr">
        <is>
          <t>engine_value</t>
        </is>
      </c>
    </row>
    <row r="1963">
      <c r="A1963" t="inlineStr">
        <is>
          <t>附表9!K10</t>
        </is>
      </c>
      <c r="B1963" t="inlineStr">
        <is>
          <t>annual.project_cashflow.period_8</t>
        </is>
      </c>
      <c r="C1963" t="inlineStr">
        <is>
          <t>engine_value</t>
        </is>
      </c>
    </row>
    <row r="1964">
      <c r="A1964" t="inlineStr">
        <is>
          <t>附表9!L10</t>
        </is>
      </c>
      <c r="B1964" t="inlineStr">
        <is>
          <t>annual.project_cashflow.period_9</t>
        </is>
      </c>
      <c r="C1964" t="inlineStr">
        <is>
          <t>engine_value</t>
        </is>
      </c>
    </row>
    <row r="1965">
      <c r="A1965" t="inlineStr">
        <is>
          <t>附表9!M10</t>
        </is>
      </c>
      <c r="B1965" t="inlineStr">
        <is>
          <t>annual.project_cashflow.period_10</t>
        </is>
      </c>
      <c r="C1965" t="inlineStr">
        <is>
          <t>engine_value</t>
        </is>
      </c>
    </row>
    <row r="1966">
      <c r="A1966" t="inlineStr">
        <is>
          <t>附表9!N10</t>
        </is>
      </c>
      <c r="B1966" t="inlineStr">
        <is>
          <t>annual.project_cashflow.period_11</t>
        </is>
      </c>
      <c r="C1966" t="inlineStr">
        <is>
          <t>engine_value</t>
        </is>
      </c>
    </row>
    <row r="1967">
      <c r="A1967" t="inlineStr">
        <is>
          <t>附表9!O10</t>
        </is>
      </c>
      <c r="B1967" t="inlineStr">
        <is>
          <t>annual.project_cashflow.period_12</t>
        </is>
      </c>
      <c r="C1967" t="inlineStr">
        <is>
          <t>engine_value</t>
        </is>
      </c>
    </row>
    <row r="1968">
      <c r="A1968" t="inlineStr">
        <is>
          <t>附表9!P10</t>
        </is>
      </c>
      <c r="B1968" t="inlineStr">
        <is>
          <t>annual.project_cashflow.period_13</t>
        </is>
      </c>
      <c r="C1968" t="inlineStr">
        <is>
          <t>engine_value</t>
        </is>
      </c>
    </row>
    <row r="1969">
      <c r="A1969" t="inlineStr">
        <is>
          <t>附表9!Q10</t>
        </is>
      </c>
      <c r="B1969" t="inlineStr">
        <is>
          <t>annual.project_cashflow.period_14</t>
        </is>
      </c>
      <c r="C1969" t="inlineStr">
        <is>
          <t>engine_value</t>
        </is>
      </c>
    </row>
    <row r="1970">
      <c r="A1970" t="inlineStr">
        <is>
          <t>附表9!R10</t>
        </is>
      </c>
      <c r="B1970" t="inlineStr">
        <is>
          <t>annual.project_cashflow.period_15</t>
        </is>
      </c>
      <c r="C1970" t="inlineStr">
        <is>
          <t>engine_value</t>
        </is>
      </c>
    </row>
    <row r="1971">
      <c r="A1971" t="inlineStr">
        <is>
          <t>附表9!S10</t>
        </is>
      </c>
      <c r="B1971" t="inlineStr">
        <is>
          <t>annual.project_cashflow.period_16</t>
        </is>
      </c>
      <c r="C1971" t="inlineStr">
        <is>
          <t>engine_value</t>
        </is>
      </c>
    </row>
    <row r="1972">
      <c r="A1972" t="inlineStr">
        <is>
          <t>附表9!T10</t>
        </is>
      </c>
      <c r="B1972" t="inlineStr">
        <is>
          <t>annual.project_cashflow.period_17</t>
        </is>
      </c>
      <c r="C1972" t="inlineStr">
        <is>
          <t>engine_value</t>
        </is>
      </c>
    </row>
    <row r="1973">
      <c r="A1973" t="inlineStr">
        <is>
          <t>附表9!U10</t>
        </is>
      </c>
      <c r="B1973" t="inlineStr">
        <is>
          <t>annual.project_cashflow.period_18</t>
        </is>
      </c>
      <c r="C1973" t="inlineStr">
        <is>
          <t>engine_value</t>
        </is>
      </c>
    </row>
    <row r="1974">
      <c r="A1974" t="inlineStr">
        <is>
          <t>附表9!V10</t>
        </is>
      </c>
      <c r="B1974" t="inlineStr">
        <is>
          <t>annual.project_cashflow.period_19</t>
        </is>
      </c>
      <c r="C1974" t="inlineStr">
        <is>
          <t>engine_value</t>
        </is>
      </c>
    </row>
    <row r="1975">
      <c r="A1975" t="inlineStr">
        <is>
          <t>附表9!W10</t>
        </is>
      </c>
      <c r="B1975" t="inlineStr">
        <is>
          <t>annual.project_cashflow.period_20</t>
        </is>
      </c>
      <c r="C1975" t="inlineStr">
        <is>
          <t>engine_value</t>
        </is>
      </c>
    </row>
    <row r="1976">
      <c r="A1976" t="inlineStr">
        <is>
          <t>附表9!X10</t>
        </is>
      </c>
      <c r="B1976" t="inlineStr">
        <is>
          <t>annual.project_cashflow.period_21</t>
        </is>
      </c>
      <c r="C1976" t="inlineStr">
        <is>
          <t>engine_value</t>
        </is>
      </c>
    </row>
    <row r="1977">
      <c r="A1977" t="inlineStr">
        <is>
          <t>附表9!Y10</t>
        </is>
      </c>
      <c r="B1977" t="inlineStr">
        <is>
          <t>annual.project_cashflow.period_22</t>
        </is>
      </c>
      <c r="C1977" t="inlineStr">
        <is>
          <t>engine_value</t>
        </is>
      </c>
    </row>
    <row r="1978">
      <c r="A1978" t="inlineStr">
        <is>
          <t>附表9!Z10</t>
        </is>
      </c>
      <c r="B1978" t="inlineStr">
        <is>
          <t>annual.project_cashflow.period_23</t>
        </is>
      </c>
      <c r="C1978" t="inlineStr">
        <is>
          <t>engine_value</t>
        </is>
      </c>
    </row>
    <row r="1979">
      <c r="A1979" t="inlineStr">
        <is>
          <t>附表9!AA10</t>
        </is>
      </c>
      <c r="B1979" t="inlineStr">
        <is>
          <t>annual.project_cashflow.period_24</t>
        </is>
      </c>
      <c r="C1979" t="inlineStr">
        <is>
          <t>engine_value</t>
        </is>
      </c>
    </row>
    <row r="1980">
      <c r="A1980" t="inlineStr">
        <is>
          <t>附表9!AB10</t>
        </is>
      </c>
      <c r="B1980" t="inlineStr">
        <is>
          <t>annual.project_cashflow.period_25</t>
        </is>
      </c>
      <c r="C1980" t="inlineStr">
        <is>
          <t>engine_value</t>
        </is>
      </c>
    </row>
    <row r="1981">
      <c r="A1981" t="inlineStr">
        <is>
          <t>附表9!A11</t>
        </is>
      </c>
      <c r="B1981" t="inlineStr">
        <is>
          <t>annual.project_cashflow.no</t>
        </is>
      </c>
      <c r="C1981" t="inlineStr">
        <is>
          <t>engine_value</t>
        </is>
      </c>
    </row>
    <row r="1982">
      <c r="A1982" t="inlineStr">
        <is>
          <t>附表9!B11</t>
        </is>
      </c>
      <c r="B1982" t="inlineStr">
        <is>
          <t>annual.project_cashflow.item</t>
        </is>
      </c>
      <c r="C1982" t="inlineStr">
        <is>
          <t>engine_value</t>
        </is>
      </c>
    </row>
    <row r="1983">
      <c r="A1983" t="inlineStr">
        <is>
          <t>附表9!C11</t>
        </is>
      </c>
      <c r="B1983" t="inlineStr">
        <is>
          <t>annual.project_cashflow.total</t>
        </is>
      </c>
      <c r="C1983" t="inlineStr">
        <is>
          <t>engine_value</t>
        </is>
      </c>
    </row>
    <row r="1984">
      <c r="A1984" t="inlineStr">
        <is>
          <t>附表9!D11</t>
        </is>
      </c>
      <c r="B1984" t="inlineStr">
        <is>
          <t>annual.project_cashflow.period_1</t>
        </is>
      </c>
      <c r="C1984" t="inlineStr">
        <is>
          <t>engine_value</t>
        </is>
      </c>
    </row>
    <row r="1985">
      <c r="A1985" t="inlineStr">
        <is>
          <t>附表9!E11</t>
        </is>
      </c>
      <c r="B1985" t="inlineStr">
        <is>
          <t>annual.project_cashflow.period_2</t>
        </is>
      </c>
      <c r="C1985" t="inlineStr">
        <is>
          <t>engine_value</t>
        </is>
      </c>
    </row>
    <row r="1986">
      <c r="A1986" t="inlineStr">
        <is>
          <t>附表9!F11</t>
        </is>
      </c>
      <c r="B1986" t="inlineStr">
        <is>
          <t>annual.project_cashflow.period_3</t>
        </is>
      </c>
      <c r="C1986" t="inlineStr">
        <is>
          <t>engine_value</t>
        </is>
      </c>
    </row>
    <row r="1987">
      <c r="A1987" t="inlineStr">
        <is>
          <t>附表9!G11</t>
        </is>
      </c>
      <c r="B1987" t="inlineStr">
        <is>
          <t>annual.project_cashflow.period_4</t>
        </is>
      </c>
      <c r="C1987" t="inlineStr">
        <is>
          <t>engine_value</t>
        </is>
      </c>
    </row>
    <row r="1988">
      <c r="A1988" t="inlineStr">
        <is>
          <t>附表9!H11</t>
        </is>
      </c>
      <c r="B1988" t="inlineStr">
        <is>
          <t>annual.project_cashflow.period_5</t>
        </is>
      </c>
      <c r="C1988" t="inlineStr">
        <is>
          <t>engine_value</t>
        </is>
      </c>
    </row>
    <row r="1989">
      <c r="A1989" t="inlineStr">
        <is>
          <t>附表9!I11</t>
        </is>
      </c>
      <c r="B1989" t="inlineStr">
        <is>
          <t>annual.project_cashflow.period_6</t>
        </is>
      </c>
      <c r="C1989" t="inlineStr">
        <is>
          <t>engine_value</t>
        </is>
      </c>
    </row>
    <row r="1990">
      <c r="A1990" t="inlineStr">
        <is>
          <t>附表9!J11</t>
        </is>
      </c>
      <c r="B1990" t="inlineStr">
        <is>
          <t>annual.project_cashflow.period_7</t>
        </is>
      </c>
      <c r="C1990" t="inlineStr">
        <is>
          <t>engine_value</t>
        </is>
      </c>
    </row>
    <row r="1991">
      <c r="A1991" t="inlineStr">
        <is>
          <t>附表9!K11</t>
        </is>
      </c>
      <c r="B1991" t="inlineStr">
        <is>
          <t>annual.project_cashflow.period_8</t>
        </is>
      </c>
      <c r="C1991" t="inlineStr">
        <is>
          <t>engine_value</t>
        </is>
      </c>
    </row>
    <row r="1992">
      <c r="A1992" t="inlineStr">
        <is>
          <t>附表9!L11</t>
        </is>
      </c>
      <c r="B1992" t="inlineStr">
        <is>
          <t>annual.project_cashflow.period_9</t>
        </is>
      </c>
      <c r="C1992" t="inlineStr">
        <is>
          <t>engine_value</t>
        </is>
      </c>
    </row>
    <row r="1993">
      <c r="A1993" t="inlineStr">
        <is>
          <t>附表9!M11</t>
        </is>
      </c>
      <c r="B1993" t="inlineStr">
        <is>
          <t>annual.project_cashflow.period_10</t>
        </is>
      </c>
      <c r="C1993" t="inlineStr">
        <is>
          <t>engine_value</t>
        </is>
      </c>
    </row>
    <row r="1994">
      <c r="A1994" t="inlineStr">
        <is>
          <t>附表9!N11</t>
        </is>
      </c>
      <c r="B1994" t="inlineStr">
        <is>
          <t>annual.project_cashflow.period_11</t>
        </is>
      </c>
      <c r="C1994" t="inlineStr">
        <is>
          <t>engine_value</t>
        </is>
      </c>
    </row>
    <row r="1995">
      <c r="A1995" t="inlineStr">
        <is>
          <t>附表9!O11</t>
        </is>
      </c>
      <c r="B1995" t="inlineStr">
        <is>
          <t>annual.project_cashflow.period_12</t>
        </is>
      </c>
      <c r="C1995" t="inlineStr">
        <is>
          <t>engine_value</t>
        </is>
      </c>
    </row>
    <row r="1996">
      <c r="A1996" t="inlineStr">
        <is>
          <t>附表9!P11</t>
        </is>
      </c>
      <c r="B1996" t="inlineStr">
        <is>
          <t>annual.project_cashflow.period_13</t>
        </is>
      </c>
      <c r="C1996" t="inlineStr">
        <is>
          <t>engine_value</t>
        </is>
      </c>
    </row>
    <row r="1997">
      <c r="A1997" t="inlineStr">
        <is>
          <t>附表9!Q11</t>
        </is>
      </c>
      <c r="B1997" t="inlineStr">
        <is>
          <t>annual.project_cashflow.period_14</t>
        </is>
      </c>
      <c r="C1997" t="inlineStr">
        <is>
          <t>engine_value</t>
        </is>
      </c>
    </row>
    <row r="1998">
      <c r="A1998" t="inlineStr">
        <is>
          <t>附表9!R11</t>
        </is>
      </c>
      <c r="B1998" t="inlineStr">
        <is>
          <t>annual.project_cashflow.period_15</t>
        </is>
      </c>
      <c r="C1998" t="inlineStr">
        <is>
          <t>engine_value</t>
        </is>
      </c>
    </row>
    <row r="1999">
      <c r="A1999" t="inlineStr">
        <is>
          <t>附表9!S11</t>
        </is>
      </c>
      <c r="B1999" t="inlineStr">
        <is>
          <t>annual.project_cashflow.period_16</t>
        </is>
      </c>
      <c r="C1999" t="inlineStr">
        <is>
          <t>engine_value</t>
        </is>
      </c>
    </row>
    <row r="2000">
      <c r="A2000" t="inlineStr">
        <is>
          <t>附表9!T11</t>
        </is>
      </c>
      <c r="B2000" t="inlineStr">
        <is>
          <t>annual.project_cashflow.period_17</t>
        </is>
      </c>
      <c r="C2000" t="inlineStr">
        <is>
          <t>engine_value</t>
        </is>
      </c>
    </row>
    <row r="2001">
      <c r="A2001" t="inlineStr">
        <is>
          <t>附表9!U11</t>
        </is>
      </c>
      <c r="B2001" t="inlineStr">
        <is>
          <t>annual.project_cashflow.period_18</t>
        </is>
      </c>
      <c r="C2001" t="inlineStr">
        <is>
          <t>engine_value</t>
        </is>
      </c>
    </row>
    <row r="2002">
      <c r="A2002" t="inlineStr">
        <is>
          <t>附表9!V11</t>
        </is>
      </c>
      <c r="B2002" t="inlineStr">
        <is>
          <t>annual.project_cashflow.period_19</t>
        </is>
      </c>
      <c r="C2002" t="inlineStr">
        <is>
          <t>engine_value</t>
        </is>
      </c>
    </row>
    <row r="2003">
      <c r="A2003" t="inlineStr">
        <is>
          <t>附表9!W11</t>
        </is>
      </c>
      <c r="B2003" t="inlineStr">
        <is>
          <t>annual.project_cashflow.period_20</t>
        </is>
      </c>
      <c r="C2003" t="inlineStr">
        <is>
          <t>engine_value</t>
        </is>
      </c>
    </row>
    <row r="2004">
      <c r="A2004" t="inlineStr">
        <is>
          <t>附表9!X11</t>
        </is>
      </c>
      <c r="B2004" t="inlineStr">
        <is>
          <t>annual.project_cashflow.period_21</t>
        </is>
      </c>
      <c r="C2004" t="inlineStr">
        <is>
          <t>engine_value</t>
        </is>
      </c>
    </row>
    <row r="2005">
      <c r="A2005" t="inlineStr">
        <is>
          <t>附表9!Y11</t>
        </is>
      </c>
      <c r="B2005" t="inlineStr">
        <is>
          <t>annual.project_cashflow.period_22</t>
        </is>
      </c>
      <c r="C2005" t="inlineStr">
        <is>
          <t>engine_value</t>
        </is>
      </c>
    </row>
    <row r="2006">
      <c r="A2006" t="inlineStr">
        <is>
          <t>附表9!Z11</t>
        </is>
      </c>
      <c r="B2006" t="inlineStr">
        <is>
          <t>annual.project_cashflow.period_23</t>
        </is>
      </c>
      <c r="C2006" t="inlineStr">
        <is>
          <t>engine_value</t>
        </is>
      </c>
    </row>
    <row r="2007">
      <c r="A2007" t="inlineStr">
        <is>
          <t>附表9!AA11</t>
        </is>
      </c>
      <c r="B2007" t="inlineStr">
        <is>
          <t>annual.project_cashflow.period_24</t>
        </is>
      </c>
      <c r="C2007" t="inlineStr">
        <is>
          <t>engine_value</t>
        </is>
      </c>
    </row>
    <row r="2008">
      <c r="A2008" t="inlineStr">
        <is>
          <t>附表9!AB11</t>
        </is>
      </c>
      <c r="B2008" t="inlineStr">
        <is>
          <t>annual.project_cashflow.period_25</t>
        </is>
      </c>
      <c r="C2008" t="inlineStr">
        <is>
          <t>engine_value</t>
        </is>
      </c>
    </row>
    <row r="2009">
      <c r="A2009" t="inlineStr">
        <is>
          <t>附表9!A12</t>
        </is>
      </c>
      <c r="B2009" t="inlineStr">
        <is>
          <t>annual.project_cashflow.no</t>
        </is>
      </c>
      <c r="C2009" t="inlineStr">
        <is>
          <t>engine_value</t>
        </is>
      </c>
    </row>
    <row r="2010">
      <c r="A2010" t="inlineStr">
        <is>
          <t>附表9!B12</t>
        </is>
      </c>
      <c r="B2010" t="inlineStr">
        <is>
          <t>annual.project_cashflow.item</t>
        </is>
      </c>
      <c r="C2010" t="inlineStr">
        <is>
          <t>engine_value</t>
        </is>
      </c>
    </row>
    <row r="2011">
      <c r="A2011" t="inlineStr">
        <is>
          <t>附表9!C12</t>
        </is>
      </c>
      <c r="B2011" t="inlineStr">
        <is>
          <t>annual.project_cashflow.total</t>
        </is>
      </c>
      <c r="C2011" t="inlineStr">
        <is>
          <t>engine_value</t>
        </is>
      </c>
    </row>
    <row r="2012">
      <c r="A2012" t="inlineStr">
        <is>
          <t>附表9!D12</t>
        </is>
      </c>
      <c r="B2012" t="inlineStr">
        <is>
          <t>annual.project_cashflow.period_1</t>
        </is>
      </c>
      <c r="C2012" t="inlineStr">
        <is>
          <t>engine_value</t>
        </is>
      </c>
    </row>
    <row r="2013">
      <c r="A2013" t="inlineStr">
        <is>
          <t>附表9!E12</t>
        </is>
      </c>
      <c r="B2013" t="inlineStr">
        <is>
          <t>annual.project_cashflow.period_2</t>
        </is>
      </c>
      <c r="C2013" t="inlineStr">
        <is>
          <t>engine_value</t>
        </is>
      </c>
    </row>
    <row r="2014">
      <c r="A2014" t="inlineStr">
        <is>
          <t>附表9!F12</t>
        </is>
      </c>
      <c r="B2014" t="inlineStr">
        <is>
          <t>annual.project_cashflow.period_3</t>
        </is>
      </c>
      <c r="C2014" t="inlineStr">
        <is>
          <t>engine_value</t>
        </is>
      </c>
    </row>
    <row r="2015">
      <c r="A2015" t="inlineStr">
        <is>
          <t>附表9!G12</t>
        </is>
      </c>
      <c r="B2015" t="inlineStr">
        <is>
          <t>annual.project_cashflow.period_4</t>
        </is>
      </c>
      <c r="C2015" t="inlineStr">
        <is>
          <t>engine_value</t>
        </is>
      </c>
    </row>
    <row r="2016">
      <c r="A2016" t="inlineStr">
        <is>
          <t>附表9!H12</t>
        </is>
      </c>
      <c r="B2016" t="inlineStr">
        <is>
          <t>annual.project_cashflow.period_5</t>
        </is>
      </c>
      <c r="C2016" t="inlineStr">
        <is>
          <t>engine_value</t>
        </is>
      </c>
    </row>
    <row r="2017">
      <c r="A2017" t="inlineStr">
        <is>
          <t>附表9!I12</t>
        </is>
      </c>
      <c r="B2017" t="inlineStr">
        <is>
          <t>annual.project_cashflow.period_6</t>
        </is>
      </c>
      <c r="C2017" t="inlineStr">
        <is>
          <t>engine_value</t>
        </is>
      </c>
    </row>
    <row r="2018">
      <c r="A2018" t="inlineStr">
        <is>
          <t>附表9!J12</t>
        </is>
      </c>
      <c r="B2018" t="inlineStr">
        <is>
          <t>annual.project_cashflow.period_7</t>
        </is>
      </c>
      <c r="C2018" t="inlineStr">
        <is>
          <t>engine_value</t>
        </is>
      </c>
    </row>
    <row r="2019">
      <c r="A2019" t="inlineStr">
        <is>
          <t>附表9!K12</t>
        </is>
      </c>
      <c r="B2019" t="inlineStr">
        <is>
          <t>annual.project_cashflow.period_8</t>
        </is>
      </c>
      <c r="C2019" t="inlineStr">
        <is>
          <t>engine_value</t>
        </is>
      </c>
    </row>
    <row r="2020">
      <c r="A2020" t="inlineStr">
        <is>
          <t>附表9!L12</t>
        </is>
      </c>
      <c r="B2020" t="inlineStr">
        <is>
          <t>annual.project_cashflow.period_9</t>
        </is>
      </c>
      <c r="C2020" t="inlineStr">
        <is>
          <t>engine_value</t>
        </is>
      </c>
    </row>
    <row r="2021">
      <c r="A2021" t="inlineStr">
        <is>
          <t>附表9!M12</t>
        </is>
      </c>
      <c r="B2021" t="inlineStr">
        <is>
          <t>annual.project_cashflow.period_10</t>
        </is>
      </c>
      <c r="C2021" t="inlineStr">
        <is>
          <t>engine_value</t>
        </is>
      </c>
    </row>
    <row r="2022">
      <c r="A2022" t="inlineStr">
        <is>
          <t>附表9!N12</t>
        </is>
      </c>
      <c r="B2022" t="inlineStr">
        <is>
          <t>annual.project_cashflow.period_11</t>
        </is>
      </c>
      <c r="C2022" t="inlineStr">
        <is>
          <t>engine_value</t>
        </is>
      </c>
    </row>
    <row r="2023">
      <c r="A2023" t="inlineStr">
        <is>
          <t>附表9!O12</t>
        </is>
      </c>
      <c r="B2023" t="inlineStr">
        <is>
          <t>annual.project_cashflow.period_12</t>
        </is>
      </c>
      <c r="C2023" t="inlineStr">
        <is>
          <t>engine_value</t>
        </is>
      </c>
    </row>
    <row r="2024">
      <c r="A2024" t="inlineStr">
        <is>
          <t>附表9!P12</t>
        </is>
      </c>
      <c r="B2024" t="inlineStr">
        <is>
          <t>annual.project_cashflow.period_13</t>
        </is>
      </c>
      <c r="C2024" t="inlineStr">
        <is>
          <t>engine_value</t>
        </is>
      </c>
    </row>
    <row r="2025">
      <c r="A2025" t="inlineStr">
        <is>
          <t>附表9!Q12</t>
        </is>
      </c>
      <c r="B2025" t="inlineStr">
        <is>
          <t>annual.project_cashflow.period_14</t>
        </is>
      </c>
      <c r="C2025" t="inlineStr">
        <is>
          <t>engine_value</t>
        </is>
      </c>
    </row>
    <row r="2026">
      <c r="A2026" t="inlineStr">
        <is>
          <t>附表9!R12</t>
        </is>
      </c>
      <c r="B2026" t="inlineStr">
        <is>
          <t>annual.project_cashflow.period_15</t>
        </is>
      </c>
      <c r="C2026" t="inlineStr">
        <is>
          <t>engine_value</t>
        </is>
      </c>
    </row>
    <row r="2027">
      <c r="A2027" t="inlineStr">
        <is>
          <t>附表9!S12</t>
        </is>
      </c>
      <c r="B2027" t="inlineStr">
        <is>
          <t>annual.project_cashflow.period_16</t>
        </is>
      </c>
      <c r="C2027" t="inlineStr">
        <is>
          <t>engine_value</t>
        </is>
      </c>
    </row>
    <row r="2028">
      <c r="A2028" t="inlineStr">
        <is>
          <t>附表9!T12</t>
        </is>
      </c>
      <c r="B2028" t="inlineStr">
        <is>
          <t>annual.project_cashflow.period_17</t>
        </is>
      </c>
      <c r="C2028" t="inlineStr">
        <is>
          <t>engine_value</t>
        </is>
      </c>
    </row>
    <row r="2029">
      <c r="A2029" t="inlineStr">
        <is>
          <t>附表9!U12</t>
        </is>
      </c>
      <c r="B2029" t="inlineStr">
        <is>
          <t>annual.project_cashflow.period_18</t>
        </is>
      </c>
      <c r="C2029" t="inlineStr">
        <is>
          <t>engine_value</t>
        </is>
      </c>
    </row>
    <row r="2030">
      <c r="A2030" t="inlineStr">
        <is>
          <t>附表9!V12</t>
        </is>
      </c>
      <c r="B2030" t="inlineStr">
        <is>
          <t>annual.project_cashflow.period_19</t>
        </is>
      </c>
      <c r="C2030" t="inlineStr">
        <is>
          <t>engine_value</t>
        </is>
      </c>
    </row>
    <row r="2031">
      <c r="A2031" t="inlineStr">
        <is>
          <t>附表9!W12</t>
        </is>
      </c>
      <c r="B2031" t="inlineStr">
        <is>
          <t>annual.project_cashflow.period_20</t>
        </is>
      </c>
      <c r="C2031" t="inlineStr">
        <is>
          <t>engine_value</t>
        </is>
      </c>
    </row>
    <row r="2032">
      <c r="A2032" t="inlineStr">
        <is>
          <t>附表9!X12</t>
        </is>
      </c>
      <c r="B2032" t="inlineStr">
        <is>
          <t>annual.project_cashflow.period_21</t>
        </is>
      </c>
      <c r="C2032" t="inlineStr">
        <is>
          <t>engine_value</t>
        </is>
      </c>
    </row>
    <row r="2033">
      <c r="A2033" t="inlineStr">
        <is>
          <t>附表9!Y12</t>
        </is>
      </c>
      <c r="B2033" t="inlineStr">
        <is>
          <t>annual.project_cashflow.period_22</t>
        </is>
      </c>
      <c r="C2033" t="inlineStr">
        <is>
          <t>engine_value</t>
        </is>
      </c>
    </row>
    <row r="2034">
      <c r="A2034" t="inlineStr">
        <is>
          <t>附表9!Z12</t>
        </is>
      </c>
      <c r="B2034" t="inlineStr">
        <is>
          <t>annual.project_cashflow.period_23</t>
        </is>
      </c>
      <c r="C2034" t="inlineStr">
        <is>
          <t>engine_value</t>
        </is>
      </c>
    </row>
    <row r="2035">
      <c r="A2035" t="inlineStr">
        <is>
          <t>附表9!AA12</t>
        </is>
      </c>
      <c r="B2035" t="inlineStr">
        <is>
          <t>annual.project_cashflow.period_24</t>
        </is>
      </c>
      <c r="C2035" t="inlineStr">
        <is>
          <t>engine_value</t>
        </is>
      </c>
    </row>
    <row r="2036">
      <c r="A2036" t="inlineStr">
        <is>
          <t>附表9!AB12</t>
        </is>
      </c>
      <c r="B2036" t="inlineStr">
        <is>
          <t>annual.project_cashflow.period_25</t>
        </is>
      </c>
      <c r="C2036" t="inlineStr">
        <is>
          <t>engine_value</t>
        </is>
      </c>
    </row>
    <row r="2037">
      <c r="A2037" t="inlineStr">
        <is>
          <t>附表9!A13</t>
        </is>
      </c>
      <c r="B2037" t="inlineStr">
        <is>
          <t>annual.project_cashflow.no</t>
        </is>
      </c>
      <c r="C2037" t="inlineStr">
        <is>
          <t>engine_value</t>
        </is>
      </c>
    </row>
    <row r="2038">
      <c r="A2038" t="inlineStr">
        <is>
          <t>附表9!B13</t>
        </is>
      </c>
      <c r="B2038" t="inlineStr">
        <is>
          <t>annual.project_cashflow.item</t>
        </is>
      </c>
      <c r="C2038" t="inlineStr">
        <is>
          <t>engine_value</t>
        </is>
      </c>
    </row>
    <row r="2039">
      <c r="A2039" t="inlineStr">
        <is>
          <t>附表9!C13</t>
        </is>
      </c>
      <c r="B2039" t="inlineStr">
        <is>
          <t>annual.project_cashflow.total</t>
        </is>
      </c>
      <c r="C2039" t="inlineStr">
        <is>
          <t>engine_value</t>
        </is>
      </c>
    </row>
    <row r="2040">
      <c r="A2040" t="inlineStr">
        <is>
          <t>附表9!D13</t>
        </is>
      </c>
      <c r="B2040" t="inlineStr">
        <is>
          <t>annual.project_cashflow.period_1</t>
        </is>
      </c>
      <c r="C2040" t="inlineStr">
        <is>
          <t>engine_value</t>
        </is>
      </c>
    </row>
    <row r="2041">
      <c r="A2041" t="inlineStr">
        <is>
          <t>附表9!E13</t>
        </is>
      </c>
      <c r="B2041" t="inlineStr">
        <is>
          <t>annual.project_cashflow.period_2</t>
        </is>
      </c>
      <c r="C2041" t="inlineStr">
        <is>
          <t>engine_value</t>
        </is>
      </c>
    </row>
    <row r="2042">
      <c r="A2042" t="inlineStr">
        <is>
          <t>附表9!F13</t>
        </is>
      </c>
      <c r="B2042" t="inlineStr">
        <is>
          <t>annual.project_cashflow.period_3</t>
        </is>
      </c>
      <c r="C2042" t="inlineStr">
        <is>
          <t>engine_value</t>
        </is>
      </c>
    </row>
    <row r="2043">
      <c r="A2043" t="inlineStr">
        <is>
          <t>附表9!G13</t>
        </is>
      </c>
      <c r="B2043" t="inlineStr">
        <is>
          <t>annual.project_cashflow.period_4</t>
        </is>
      </c>
      <c r="C2043" t="inlineStr">
        <is>
          <t>engine_value</t>
        </is>
      </c>
    </row>
    <row r="2044">
      <c r="A2044" t="inlineStr">
        <is>
          <t>附表9!H13</t>
        </is>
      </c>
      <c r="B2044" t="inlineStr">
        <is>
          <t>annual.project_cashflow.period_5</t>
        </is>
      </c>
      <c r="C2044" t="inlineStr">
        <is>
          <t>engine_value</t>
        </is>
      </c>
    </row>
    <row r="2045">
      <c r="A2045" t="inlineStr">
        <is>
          <t>附表9!I13</t>
        </is>
      </c>
      <c r="B2045" t="inlineStr">
        <is>
          <t>annual.project_cashflow.period_6</t>
        </is>
      </c>
      <c r="C2045" t="inlineStr">
        <is>
          <t>engine_value</t>
        </is>
      </c>
    </row>
    <row r="2046">
      <c r="A2046" t="inlineStr">
        <is>
          <t>附表9!J13</t>
        </is>
      </c>
      <c r="B2046" t="inlineStr">
        <is>
          <t>annual.project_cashflow.period_7</t>
        </is>
      </c>
      <c r="C2046" t="inlineStr">
        <is>
          <t>engine_value</t>
        </is>
      </c>
    </row>
    <row r="2047">
      <c r="A2047" t="inlineStr">
        <is>
          <t>附表9!K13</t>
        </is>
      </c>
      <c r="B2047" t="inlineStr">
        <is>
          <t>annual.project_cashflow.period_8</t>
        </is>
      </c>
      <c r="C2047" t="inlineStr">
        <is>
          <t>engine_value</t>
        </is>
      </c>
    </row>
    <row r="2048">
      <c r="A2048" t="inlineStr">
        <is>
          <t>附表9!L13</t>
        </is>
      </c>
      <c r="B2048" t="inlineStr">
        <is>
          <t>annual.project_cashflow.period_9</t>
        </is>
      </c>
      <c r="C2048" t="inlineStr">
        <is>
          <t>engine_value</t>
        </is>
      </c>
    </row>
    <row r="2049">
      <c r="A2049" t="inlineStr">
        <is>
          <t>附表9!M13</t>
        </is>
      </c>
      <c r="B2049" t="inlineStr">
        <is>
          <t>annual.project_cashflow.period_10</t>
        </is>
      </c>
      <c r="C2049" t="inlineStr">
        <is>
          <t>engine_value</t>
        </is>
      </c>
    </row>
    <row r="2050">
      <c r="A2050" t="inlineStr">
        <is>
          <t>附表9!N13</t>
        </is>
      </c>
      <c r="B2050" t="inlineStr">
        <is>
          <t>annual.project_cashflow.period_11</t>
        </is>
      </c>
      <c r="C2050" t="inlineStr">
        <is>
          <t>engine_value</t>
        </is>
      </c>
    </row>
    <row r="2051">
      <c r="A2051" t="inlineStr">
        <is>
          <t>附表9!O13</t>
        </is>
      </c>
      <c r="B2051" t="inlineStr">
        <is>
          <t>annual.project_cashflow.period_12</t>
        </is>
      </c>
      <c r="C2051" t="inlineStr">
        <is>
          <t>engine_value</t>
        </is>
      </c>
    </row>
    <row r="2052">
      <c r="A2052" t="inlineStr">
        <is>
          <t>附表9!P13</t>
        </is>
      </c>
      <c r="B2052" t="inlineStr">
        <is>
          <t>annual.project_cashflow.period_13</t>
        </is>
      </c>
      <c r="C2052" t="inlineStr">
        <is>
          <t>engine_value</t>
        </is>
      </c>
    </row>
    <row r="2053">
      <c r="A2053" t="inlineStr">
        <is>
          <t>附表9!Q13</t>
        </is>
      </c>
      <c r="B2053" t="inlineStr">
        <is>
          <t>annual.project_cashflow.period_14</t>
        </is>
      </c>
      <c r="C2053" t="inlineStr">
        <is>
          <t>engine_value</t>
        </is>
      </c>
    </row>
    <row r="2054">
      <c r="A2054" t="inlineStr">
        <is>
          <t>附表9!R13</t>
        </is>
      </c>
      <c r="B2054" t="inlineStr">
        <is>
          <t>annual.project_cashflow.period_15</t>
        </is>
      </c>
      <c r="C2054" t="inlineStr">
        <is>
          <t>engine_value</t>
        </is>
      </c>
    </row>
    <row r="2055">
      <c r="A2055" t="inlineStr">
        <is>
          <t>附表9!S13</t>
        </is>
      </c>
      <c r="B2055" t="inlineStr">
        <is>
          <t>annual.project_cashflow.period_16</t>
        </is>
      </c>
      <c r="C2055" t="inlineStr">
        <is>
          <t>engine_value</t>
        </is>
      </c>
    </row>
    <row r="2056">
      <c r="A2056" t="inlineStr">
        <is>
          <t>附表9!T13</t>
        </is>
      </c>
      <c r="B2056" t="inlineStr">
        <is>
          <t>annual.project_cashflow.period_17</t>
        </is>
      </c>
      <c r="C2056" t="inlineStr">
        <is>
          <t>engine_value</t>
        </is>
      </c>
    </row>
    <row r="2057">
      <c r="A2057" t="inlineStr">
        <is>
          <t>附表9!U13</t>
        </is>
      </c>
      <c r="B2057" t="inlineStr">
        <is>
          <t>annual.project_cashflow.period_18</t>
        </is>
      </c>
      <c r="C2057" t="inlineStr">
        <is>
          <t>engine_value</t>
        </is>
      </c>
    </row>
    <row r="2058">
      <c r="A2058" t="inlineStr">
        <is>
          <t>附表9!V13</t>
        </is>
      </c>
      <c r="B2058" t="inlineStr">
        <is>
          <t>annual.project_cashflow.period_19</t>
        </is>
      </c>
      <c r="C2058" t="inlineStr">
        <is>
          <t>engine_value</t>
        </is>
      </c>
    </row>
    <row r="2059">
      <c r="A2059" t="inlineStr">
        <is>
          <t>附表9!W13</t>
        </is>
      </c>
      <c r="B2059" t="inlineStr">
        <is>
          <t>annual.project_cashflow.period_20</t>
        </is>
      </c>
      <c r="C2059" t="inlineStr">
        <is>
          <t>engine_value</t>
        </is>
      </c>
    </row>
    <row r="2060">
      <c r="A2060" t="inlineStr">
        <is>
          <t>附表9!X13</t>
        </is>
      </c>
      <c r="B2060" t="inlineStr">
        <is>
          <t>annual.project_cashflow.period_21</t>
        </is>
      </c>
      <c r="C2060" t="inlineStr">
        <is>
          <t>engine_value</t>
        </is>
      </c>
    </row>
    <row r="2061">
      <c r="A2061" t="inlineStr">
        <is>
          <t>附表9!Y13</t>
        </is>
      </c>
      <c r="B2061" t="inlineStr">
        <is>
          <t>annual.project_cashflow.period_22</t>
        </is>
      </c>
      <c r="C2061" t="inlineStr">
        <is>
          <t>engine_value</t>
        </is>
      </c>
    </row>
    <row r="2062">
      <c r="A2062" t="inlineStr">
        <is>
          <t>附表9!Z13</t>
        </is>
      </c>
      <c r="B2062" t="inlineStr">
        <is>
          <t>annual.project_cashflow.period_23</t>
        </is>
      </c>
      <c r="C2062" t="inlineStr">
        <is>
          <t>engine_value</t>
        </is>
      </c>
    </row>
    <row r="2063">
      <c r="A2063" t="inlineStr">
        <is>
          <t>附表9!AA13</t>
        </is>
      </c>
      <c r="B2063" t="inlineStr">
        <is>
          <t>annual.project_cashflow.period_24</t>
        </is>
      </c>
      <c r="C2063" t="inlineStr">
        <is>
          <t>engine_value</t>
        </is>
      </c>
    </row>
    <row r="2064">
      <c r="A2064" t="inlineStr">
        <is>
          <t>附表9!AB13</t>
        </is>
      </c>
      <c r="B2064" t="inlineStr">
        <is>
          <t>annual.project_cashflow.period_25</t>
        </is>
      </c>
      <c r="C2064" t="inlineStr">
        <is>
          <t>engine_value</t>
        </is>
      </c>
    </row>
    <row r="2065">
      <c r="A2065" t="inlineStr">
        <is>
          <t>附表9!A14</t>
        </is>
      </c>
      <c r="B2065" t="inlineStr">
        <is>
          <t>annual.project_cashflow.no</t>
        </is>
      </c>
      <c r="C2065" t="inlineStr">
        <is>
          <t>engine_value</t>
        </is>
      </c>
    </row>
    <row r="2066">
      <c r="A2066" t="inlineStr">
        <is>
          <t>附表9!B14</t>
        </is>
      </c>
      <c r="B2066" t="inlineStr">
        <is>
          <t>annual.project_cashflow.item</t>
        </is>
      </c>
      <c r="C2066" t="inlineStr">
        <is>
          <t>engine_value</t>
        </is>
      </c>
    </row>
    <row r="2067">
      <c r="A2067" t="inlineStr">
        <is>
          <t>附表9!C14</t>
        </is>
      </c>
      <c r="B2067" t="inlineStr">
        <is>
          <t>annual.project_cashflow.total</t>
        </is>
      </c>
      <c r="C2067" t="inlineStr">
        <is>
          <t>engine_value</t>
        </is>
      </c>
    </row>
    <row r="2068">
      <c r="A2068" t="inlineStr">
        <is>
          <t>附表9!D14</t>
        </is>
      </c>
      <c r="B2068" t="inlineStr">
        <is>
          <t>annual.project_cashflow.period_1</t>
        </is>
      </c>
      <c r="C2068" t="inlineStr">
        <is>
          <t>engine_value</t>
        </is>
      </c>
    </row>
    <row r="2069">
      <c r="A2069" t="inlineStr">
        <is>
          <t>附表9!E14</t>
        </is>
      </c>
      <c r="B2069" t="inlineStr">
        <is>
          <t>annual.project_cashflow.period_2</t>
        </is>
      </c>
      <c r="C2069" t="inlineStr">
        <is>
          <t>engine_value</t>
        </is>
      </c>
    </row>
    <row r="2070">
      <c r="A2070" t="inlineStr">
        <is>
          <t>附表9!F14</t>
        </is>
      </c>
      <c r="B2070" t="inlineStr">
        <is>
          <t>annual.project_cashflow.period_3</t>
        </is>
      </c>
      <c r="C2070" t="inlineStr">
        <is>
          <t>engine_value</t>
        </is>
      </c>
    </row>
    <row r="2071">
      <c r="A2071" t="inlineStr">
        <is>
          <t>附表9!G14</t>
        </is>
      </c>
      <c r="B2071" t="inlineStr">
        <is>
          <t>annual.project_cashflow.period_4</t>
        </is>
      </c>
      <c r="C2071" t="inlineStr">
        <is>
          <t>engine_value</t>
        </is>
      </c>
    </row>
    <row r="2072">
      <c r="A2072" t="inlineStr">
        <is>
          <t>附表9!H14</t>
        </is>
      </c>
      <c r="B2072" t="inlineStr">
        <is>
          <t>annual.project_cashflow.period_5</t>
        </is>
      </c>
      <c r="C2072" t="inlineStr">
        <is>
          <t>engine_value</t>
        </is>
      </c>
    </row>
    <row r="2073">
      <c r="A2073" t="inlineStr">
        <is>
          <t>附表9!I14</t>
        </is>
      </c>
      <c r="B2073" t="inlineStr">
        <is>
          <t>annual.project_cashflow.period_6</t>
        </is>
      </c>
      <c r="C2073" t="inlineStr">
        <is>
          <t>engine_value</t>
        </is>
      </c>
    </row>
    <row r="2074">
      <c r="A2074" t="inlineStr">
        <is>
          <t>附表9!J14</t>
        </is>
      </c>
      <c r="B2074" t="inlineStr">
        <is>
          <t>annual.project_cashflow.period_7</t>
        </is>
      </c>
      <c r="C2074" t="inlineStr">
        <is>
          <t>engine_value</t>
        </is>
      </c>
    </row>
    <row r="2075">
      <c r="A2075" t="inlineStr">
        <is>
          <t>附表9!K14</t>
        </is>
      </c>
      <c r="B2075" t="inlineStr">
        <is>
          <t>annual.project_cashflow.period_8</t>
        </is>
      </c>
      <c r="C2075" t="inlineStr">
        <is>
          <t>engine_value</t>
        </is>
      </c>
    </row>
    <row r="2076">
      <c r="A2076" t="inlineStr">
        <is>
          <t>附表9!L14</t>
        </is>
      </c>
      <c r="B2076" t="inlineStr">
        <is>
          <t>annual.project_cashflow.period_9</t>
        </is>
      </c>
      <c r="C2076" t="inlineStr">
        <is>
          <t>engine_value</t>
        </is>
      </c>
    </row>
    <row r="2077">
      <c r="A2077" t="inlineStr">
        <is>
          <t>附表9!M14</t>
        </is>
      </c>
      <c r="B2077" t="inlineStr">
        <is>
          <t>annual.project_cashflow.period_10</t>
        </is>
      </c>
      <c r="C2077" t="inlineStr">
        <is>
          <t>engine_value</t>
        </is>
      </c>
    </row>
    <row r="2078">
      <c r="A2078" t="inlineStr">
        <is>
          <t>附表9!N14</t>
        </is>
      </c>
      <c r="B2078" t="inlineStr">
        <is>
          <t>annual.project_cashflow.period_11</t>
        </is>
      </c>
      <c r="C2078" t="inlineStr">
        <is>
          <t>engine_value</t>
        </is>
      </c>
    </row>
    <row r="2079">
      <c r="A2079" t="inlineStr">
        <is>
          <t>附表9!O14</t>
        </is>
      </c>
      <c r="B2079" t="inlineStr">
        <is>
          <t>annual.project_cashflow.period_12</t>
        </is>
      </c>
      <c r="C2079" t="inlineStr">
        <is>
          <t>engine_value</t>
        </is>
      </c>
    </row>
    <row r="2080">
      <c r="A2080" t="inlineStr">
        <is>
          <t>附表9!P14</t>
        </is>
      </c>
      <c r="B2080" t="inlineStr">
        <is>
          <t>annual.project_cashflow.period_13</t>
        </is>
      </c>
      <c r="C2080" t="inlineStr">
        <is>
          <t>engine_value</t>
        </is>
      </c>
    </row>
    <row r="2081">
      <c r="A2081" t="inlineStr">
        <is>
          <t>附表9!Q14</t>
        </is>
      </c>
      <c r="B2081" t="inlineStr">
        <is>
          <t>annual.project_cashflow.period_14</t>
        </is>
      </c>
      <c r="C2081" t="inlineStr">
        <is>
          <t>engine_value</t>
        </is>
      </c>
    </row>
    <row r="2082">
      <c r="A2082" t="inlineStr">
        <is>
          <t>附表9!R14</t>
        </is>
      </c>
      <c r="B2082" t="inlineStr">
        <is>
          <t>annual.project_cashflow.period_15</t>
        </is>
      </c>
      <c r="C2082" t="inlineStr">
        <is>
          <t>engine_value</t>
        </is>
      </c>
    </row>
    <row r="2083">
      <c r="A2083" t="inlineStr">
        <is>
          <t>附表9!S14</t>
        </is>
      </c>
      <c r="B2083" t="inlineStr">
        <is>
          <t>annual.project_cashflow.period_16</t>
        </is>
      </c>
      <c r="C2083" t="inlineStr">
        <is>
          <t>engine_value</t>
        </is>
      </c>
    </row>
    <row r="2084">
      <c r="A2084" t="inlineStr">
        <is>
          <t>附表9!T14</t>
        </is>
      </c>
      <c r="B2084" t="inlineStr">
        <is>
          <t>annual.project_cashflow.period_17</t>
        </is>
      </c>
      <c r="C2084" t="inlineStr">
        <is>
          <t>engine_value</t>
        </is>
      </c>
    </row>
    <row r="2085">
      <c r="A2085" t="inlineStr">
        <is>
          <t>附表9!U14</t>
        </is>
      </c>
      <c r="B2085" t="inlineStr">
        <is>
          <t>annual.project_cashflow.period_18</t>
        </is>
      </c>
      <c r="C2085" t="inlineStr">
        <is>
          <t>engine_value</t>
        </is>
      </c>
    </row>
    <row r="2086">
      <c r="A2086" t="inlineStr">
        <is>
          <t>附表9!V14</t>
        </is>
      </c>
      <c r="B2086" t="inlineStr">
        <is>
          <t>annual.project_cashflow.period_19</t>
        </is>
      </c>
      <c r="C2086" t="inlineStr">
        <is>
          <t>engine_value</t>
        </is>
      </c>
    </row>
    <row r="2087">
      <c r="A2087" t="inlineStr">
        <is>
          <t>附表9!W14</t>
        </is>
      </c>
      <c r="B2087" t="inlineStr">
        <is>
          <t>annual.project_cashflow.period_20</t>
        </is>
      </c>
      <c r="C2087" t="inlineStr">
        <is>
          <t>engine_value</t>
        </is>
      </c>
    </row>
    <row r="2088">
      <c r="A2088" t="inlineStr">
        <is>
          <t>附表9!X14</t>
        </is>
      </c>
      <c r="B2088" t="inlineStr">
        <is>
          <t>annual.project_cashflow.period_21</t>
        </is>
      </c>
      <c r="C2088" t="inlineStr">
        <is>
          <t>engine_value</t>
        </is>
      </c>
    </row>
    <row r="2089">
      <c r="A2089" t="inlineStr">
        <is>
          <t>附表9!Y14</t>
        </is>
      </c>
      <c r="B2089" t="inlineStr">
        <is>
          <t>annual.project_cashflow.period_22</t>
        </is>
      </c>
      <c r="C2089" t="inlineStr">
        <is>
          <t>engine_value</t>
        </is>
      </c>
    </row>
    <row r="2090">
      <c r="A2090" t="inlineStr">
        <is>
          <t>附表9!Z14</t>
        </is>
      </c>
      <c r="B2090" t="inlineStr">
        <is>
          <t>annual.project_cashflow.period_23</t>
        </is>
      </c>
      <c r="C2090" t="inlineStr">
        <is>
          <t>engine_value</t>
        </is>
      </c>
    </row>
    <row r="2091">
      <c r="A2091" t="inlineStr">
        <is>
          <t>附表9!AA14</t>
        </is>
      </c>
      <c r="B2091" t="inlineStr">
        <is>
          <t>annual.project_cashflow.period_24</t>
        </is>
      </c>
      <c r="C2091" t="inlineStr">
        <is>
          <t>engine_value</t>
        </is>
      </c>
    </row>
    <row r="2092">
      <c r="A2092" t="inlineStr">
        <is>
          <t>附表9!AB14</t>
        </is>
      </c>
      <c r="B2092" t="inlineStr">
        <is>
          <t>annual.project_cashflow.period_25</t>
        </is>
      </c>
      <c r="C2092" t="inlineStr">
        <is>
          <t>engine_value</t>
        </is>
      </c>
    </row>
    <row r="2093">
      <c r="A2093" t="inlineStr">
        <is>
          <t>附表9!A15</t>
        </is>
      </c>
      <c r="B2093" t="inlineStr">
        <is>
          <t>annual.project_cashflow.no</t>
        </is>
      </c>
      <c r="C2093" t="inlineStr">
        <is>
          <t>engine_value</t>
        </is>
      </c>
    </row>
    <row r="2094">
      <c r="A2094" t="inlineStr">
        <is>
          <t>附表9!B15</t>
        </is>
      </c>
      <c r="B2094" t="inlineStr">
        <is>
          <t>annual.project_cashflow.item</t>
        </is>
      </c>
      <c r="C2094" t="inlineStr">
        <is>
          <t>engine_value</t>
        </is>
      </c>
    </row>
    <row r="2095">
      <c r="A2095" t="inlineStr">
        <is>
          <t>附表9!C15</t>
        </is>
      </c>
      <c r="B2095" t="inlineStr">
        <is>
          <t>annual.project_cashflow.total</t>
        </is>
      </c>
      <c r="C2095" t="inlineStr">
        <is>
          <t>engine_value</t>
        </is>
      </c>
    </row>
    <row r="2096">
      <c r="A2096" t="inlineStr">
        <is>
          <t>附表9!D15</t>
        </is>
      </c>
      <c r="B2096" t="inlineStr">
        <is>
          <t>annual.project_cashflow.period_1</t>
        </is>
      </c>
      <c r="C2096" t="inlineStr">
        <is>
          <t>engine_value</t>
        </is>
      </c>
    </row>
    <row r="2097">
      <c r="A2097" t="inlineStr">
        <is>
          <t>附表9!E15</t>
        </is>
      </c>
      <c r="B2097" t="inlineStr">
        <is>
          <t>annual.project_cashflow.period_2</t>
        </is>
      </c>
      <c r="C2097" t="inlineStr">
        <is>
          <t>engine_value</t>
        </is>
      </c>
    </row>
    <row r="2098">
      <c r="A2098" t="inlineStr">
        <is>
          <t>附表9!F15</t>
        </is>
      </c>
      <c r="B2098" t="inlineStr">
        <is>
          <t>annual.project_cashflow.period_3</t>
        </is>
      </c>
      <c r="C2098" t="inlineStr">
        <is>
          <t>engine_value</t>
        </is>
      </c>
    </row>
    <row r="2099">
      <c r="A2099" t="inlineStr">
        <is>
          <t>附表9!G15</t>
        </is>
      </c>
      <c r="B2099" t="inlineStr">
        <is>
          <t>annual.project_cashflow.period_4</t>
        </is>
      </c>
      <c r="C2099" t="inlineStr">
        <is>
          <t>engine_value</t>
        </is>
      </c>
    </row>
    <row r="2100">
      <c r="A2100" t="inlineStr">
        <is>
          <t>附表9!H15</t>
        </is>
      </c>
      <c r="B2100" t="inlineStr">
        <is>
          <t>annual.project_cashflow.period_5</t>
        </is>
      </c>
      <c r="C2100" t="inlineStr">
        <is>
          <t>engine_value</t>
        </is>
      </c>
    </row>
    <row r="2101">
      <c r="A2101" t="inlineStr">
        <is>
          <t>附表9!I15</t>
        </is>
      </c>
      <c r="B2101" t="inlineStr">
        <is>
          <t>annual.project_cashflow.period_6</t>
        </is>
      </c>
      <c r="C2101" t="inlineStr">
        <is>
          <t>engine_value</t>
        </is>
      </c>
    </row>
    <row r="2102">
      <c r="A2102" t="inlineStr">
        <is>
          <t>附表9!J15</t>
        </is>
      </c>
      <c r="B2102" t="inlineStr">
        <is>
          <t>annual.project_cashflow.period_7</t>
        </is>
      </c>
      <c r="C2102" t="inlineStr">
        <is>
          <t>engine_value</t>
        </is>
      </c>
    </row>
    <row r="2103">
      <c r="A2103" t="inlineStr">
        <is>
          <t>附表9!K15</t>
        </is>
      </c>
      <c r="B2103" t="inlineStr">
        <is>
          <t>annual.project_cashflow.period_8</t>
        </is>
      </c>
      <c r="C2103" t="inlineStr">
        <is>
          <t>engine_value</t>
        </is>
      </c>
    </row>
    <row r="2104">
      <c r="A2104" t="inlineStr">
        <is>
          <t>附表9!L15</t>
        </is>
      </c>
      <c r="B2104" t="inlineStr">
        <is>
          <t>annual.project_cashflow.period_9</t>
        </is>
      </c>
      <c r="C2104" t="inlineStr">
        <is>
          <t>engine_value</t>
        </is>
      </c>
    </row>
    <row r="2105">
      <c r="A2105" t="inlineStr">
        <is>
          <t>附表9!M15</t>
        </is>
      </c>
      <c r="B2105" t="inlineStr">
        <is>
          <t>annual.project_cashflow.period_10</t>
        </is>
      </c>
      <c r="C2105" t="inlineStr">
        <is>
          <t>engine_value</t>
        </is>
      </c>
    </row>
    <row r="2106">
      <c r="A2106" t="inlineStr">
        <is>
          <t>附表9!N15</t>
        </is>
      </c>
      <c r="B2106" t="inlineStr">
        <is>
          <t>annual.project_cashflow.period_11</t>
        </is>
      </c>
      <c r="C2106" t="inlineStr">
        <is>
          <t>engine_value</t>
        </is>
      </c>
    </row>
    <row r="2107">
      <c r="A2107" t="inlineStr">
        <is>
          <t>附表9!O15</t>
        </is>
      </c>
      <c r="B2107" t="inlineStr">
        <is>
          <t>annual.project_cashflow.period_12</t>
        </is>
      </c>
      <c r="C2107" t="inlineStr">
        <is>
          <t>engine_value</t>
        </is>
      </c>
    </row>
    <row r="2108">
      <c r="A2108" t="inlineStr">
        <is>
          <t>附表9!P15</t>
        </is>
      </c>
      <c r="B2108" t="inlineStr">
        <is>
          <t>annual.project_cashflow.period_13</t>
        </is>
      </c>
      <c r="C2108" t="inlineStr">
        <is>
          <t>engine_value</t>
        </is>
      </c>
    </row>
    <row r="2109">
      <c r="A2109" t="inlineStr">
        <is>
          <t>附表9!Q15</t>
        </is>
      </c>
      <c r="B2109" t="inlineStr">
        <is>
          <t>annual.project_cashflow.period_14</t>
        </is>
      </c>
      <c r="C2109" t="inlineStr">
        <is>
          <t>engine_value</t>
        </is>
      </c>
    </row>
    <row r="2110">
      <c r="A2110" t="inlineStr">
        <is>
          <t>附表9!R15</t>
        </is>
      </c>
      <c r="B2110" t="inlineStr">
        <is>
          <t>annual.project_cashflow.period_15</t>
        </is>
      </c>
      <c r="C2110" t="inlineStr">
        <is>
          <t>engine_value</t>
        </is>
      </c>
    </row>
    <row r="2111">
      <c r="A2111" t="inlineStr">
        <is>
          <t>附表9!S15</t>
        </is>
      </c>
      <c r="B2111" t="inlineStr">
        <is>
          <t>annual.project_cashflow.period_16</t>
        </is>
      </c>
      <c r="C2111" t="inlineStr">
        <is>
          <t>engine_value</t>
        </is>
      </c>
    </row>
    <row r="2112">
      <c r="A2112" t="inlineStr">
        <is>
          <t>附表9!T15</t>
        </is>
      </c>
      <c r="B2112" t="inlineStr">
        <is>
          <t>annual.project_cashflow.period_17</t>
        </is>
      </c>
      <c r="C2112" t="inlineStr">
        <is>
          <t>engine_value</t>
        </is>
      </c>
    </row>
    <row r="2113">
      <c r="A2113" t="inlineStr">
        <is>
          <t>附表9!U15</t>
        </is>
      </c>
      <c r="B2113" t="inlineStr">
        <is>
          <t>annual.project_cashflow.period_18</t>
        </is>
      </c>
      <c r="C2113" t="inlineStr">
        <is>
          <t>engine_value</t>
        </is>
      </c>
    </row>
    <row r="2114">
      <c r="A2114" t="inlineStr">
        <is>
          <t>附表9!V15</t>
        </is>
      </c>
      <c r="B2114" t="inlineStr">
        <is>
          <t>annual.project_cashflow.period_19</t>
        </is>
      </c>
      <c r="C2114" t="inlineStr">
        <is>
          <t>engine_value</t>
        </is>
      </c>
    </row>
    <row r="2115">
      <c r="A2115" t="inlineStr">
        <is>
          <t>附表9!W15</t>
        </is>
      </c>
      <c r="B2115" t="inlineStr">
        <is>
          <t>annual.project_cashflow.period_20</t>
        </is>
      </c>
      <c r="C2115" t="inlineStr">
        <is>
          <t>engine_value</t>
        </is>
      </c>
    </row>
    <row r="2116">
      <c r="A2116" t="inlineStr">
        <is>
          <t>附表9!X15</t>
        </is>
      </c>
      <c r="B2116" t="inlineStr">
        <is>
          <t>annual.project_cashflow.period_21</t>
        </is>
      </c>
      <c r="C2116" t="inlineStr">
        <is>
          <t>engine_value</t>
        </is>
      </c>
    </row>
    <row r="2117">
      <c r="A2117" t="inlineStr">
        <is>
          <t>附表9!Y15</t>
        </is>
      </c>
      <c r="B2117" t="inlineStr">
        <is>
          <t>annual.project_cashflow.period_22</t>
        </is>
      </c>
      <c r="C2117" t="inlineStr">
        <is>
          <t>engine_value</t>
        </is>
      </c>
    </row>
    <row r="2118">
      <c r="A2118" t="inlineStr">
        <is>
          <t>附表9!Z15</t>
        </is>
      </c>
      <c r="B2118" t="inlineStr">
        <is>
          <t>annual.project_cashflow.period_23</t>
        </is>
      </c>
      <c r="C2118" t="inlineStr">
        <is>
          <t>engine_value</t>
        </is>
      </c>
    </row>
    <row r="2119">
      <c r="A2119" t="inlineStr">
        <is>
          <t>附表9!AA15</t>
        </is>
      </c>
      <c r="B2119" t="inlineStr">
        <is>
          <t>annual.project_cashflow.period_24</t>
        </is>
      </c>
      <c r="C2119" t="inlineStr">
        <is>
          <t>engine_value</t>
        </is>
      </c>
    </row>
    <row r="2120">
      <c r="A2120" t="inlineStr">
        <is>
          <t>附表9!AB15</t>
        </is>
      </c>
      <c r="B2120" t="inlineStr">
        <is>
          <t>annual.project_cashflow.period_25</t>
        </is>
      </c>
      <c r="C2120" t="inlineStr">
        <is>
          <t>engine_value</t>
        </is>
      </c>
    </row>
    <row r="2121">
      <c r="A2121" t="inlineStr">
        <is>
          <t>附表9!A16</t>
        </is>
      </c>
      <c r="B2121" t="inlineStr">
        <is>
          <t>annual.project_cashflow.no</t>
        </is>
      </c>
      <c r="C2121" t="inlineStr">
        <is>
          <t>engine_value</t>
        </is>
      </c>
    </row>
    <row r="2122">
      <c r="A2122" t="inlineStr">
        <is>
          <t>附表9!B16</t>
        </is>
      </c>
      <c r="B2122" t="inlineStr">
        <is>
          <t>annual.project_cashflow.item</t>
        </is>
      </c>
      <c r="C2122" t="inlineStr">
        <is>
          <t>engine_value</t>
        </is>
      </c>
    </row>
    <row r="2123">
      <c r="A2123" t="inlineStr">
        <is>
          <t>附表9!C16</t>
        </is>
      </c>
      <c r="B2123" t="inlineStr">
        <is>
          <t>annual.project_cashflow.total</t>
        </is>
      </c>
      <c r="C2123" t="inlineStr">
        <is>
          <t>engine_value</t>
        </is>
      </c>
    </row>
    <row r="2124">
      <c r="A2124" t="inlineStr">
        <is>
          <t>附表9!D16</t>
        </is>
      </c>
      <c r="B2124" t="inlineStr">
        <is>
          <t>annual.project_cashflow.period_1</t>
        </is>
      </c>
      <c r="C2124" t="inlineStr">
        <is>
          <t>engine_value</t>
        </is>
      </c>
    </row>
    <row r="2125">
      <c r="A2125" t="inlineStr">
        <is>
          <t>附表9!E16</t>
        </is>
      </c>
      <c r="B2125" t="inlineStr">
        <is>
          <t>annual.project_cashflow.period_2</t>
        </is>
      </c>
      <c r="C2125" t="inlineStr">
        <is>
          <t>engine_value</t>
        </is>
      </c>
    </row>
    <row r="2126">
      <c r="A2126" t="inlineStr">
        <is>
          <t>附表9!F16</t>
        </is>
      </c>
      <c r="B2126" t="inlineStr">
        <is>
          <t>annual.project_cashflow.period_3</t>
        </is>
      </c>
      <c r="C2126" t="inlineStr">
        <is>
          <t>engine_value</t>
        </is>
      </c>
    </row>
    <row r="2127">
      <c r="A2127" t="inlineStr">
        <is>
          <t>附表9!G16</t>
        </is>
      </c>
      <c r="B2127" t="inlineStr">
        <is>
          <t>annual.project_cashflow.period_4</t>
        </is>
      </c>
      <c r="C2127" t="inlineStr">
        <is>
          <t>engine_value</t>
        </is>
      </c>
    </row>
    <row r="2128">
      <c r="A2128" t="inlineStr">
        <is>
          <t>附表9!H16</t>
        </is>
      </c>
      <c r="B2128" t="inlineStr">
        <is>
          <t>annual.project_cashflow.period_5</t>
        </is>
      </c>
      <c r="C2128" t="inlineStr">
        <is>
          <t>engine_value</t>
        </is>
      </c>
    </row>
    <row r="2129">
      <c r="A2129" t="inlineStr">
        <is>
          <t>附表9!I16</t>
        </is>
      </c>
      <c r="B2129" t="inlineStr">
        <is>
          <t>annual.project_cashflow.period_6</t>
        </is>
      </c>
      <c r="C2129" t="inlineStr">
        <is>
          <t>engine_value</t>
        </is>
      </c>
    </row>
    <row r="2130">
      <c r="A2130" t="inlineStr">
        <is>
          <t>附表9!J16</t>
        </is>
      </c>
      <c r="B2130" t="inlineStr">
        <is>
          <t>annual.project_cashflow.period_7</t>
        </is>
      </c>
      <c r="C2130" t="inlineStr">
        <is>
          <t>engine_value</t>
        </is>
      </c>
    </row>
    <row r="2131">
      <c r="A2131" t="inlineStr">
        <is>
          <t>附表9!K16</t>
        </is>
      </c>
      <c r="B2131" t="inlineStr">
        <is>
          <t>annual.project_cashflow.period_8</t>
        </is>
      </c>
      <c r="C2131" t="inlineStr">
        <is>
          <t>engine_value</t>
        </is>
      </c>
    </row>
    <row r="2132">
      <c r="A2132" t="inlineStr">
        <is>
          <t>附表9!L16</t>
        </is>
      </c>
      <c r="B2132" t="inlineStr">
        <is>
          <t>annual.project_cashflow.period_9</t>
        </is>
      </c>
      <c r="C2132" t="inlineStr">
        <is>
          <t>engine_value</t>
        </is>
      </c>
    </row>
    <row r="2133">
      <c r="A2133" t="inlineStr">
        <is>
          <t>附表9!M16</t>
        </is>
      </c>
      <c r="B2133" t="inlineStr">
        <is>
          <t>annual.project_cashflow.period_10</t>
        </is>
      </c>
      <c r="C2133" t="inlineStr">
        <is>
          <t>engine_value</t>
        </is>
      </c>
    </row>
    <row r="2134">
      <c r="A2134" t="inlineStr">
        <is>
          <t>附表9!N16</t>
        </is>
      </c>
      <c r="B2134" t="inlineStr">
        <is>
          <t>annual.project_cashflow.period_11</t>
        </is>
      </c>
      <c r="C2134" t="inlineStr">
        <is>
          <t>engine_value</t>
        </is>
      </c>
    </row>
    <row r="2135">
      <c r="A2135" t="inlineStr">
        <is>
          <t>附表9!O16</t>
        </is>
      </c>
      <c r="B2135" t="inlineStr">
        <is>
          <t>annual.project_cashflow.period_12</t>
        </is>
      </c>
      <c r="C2135" t="inlineStr">
        <is>
          <t>engine_value</t>
        </is>
      </c>
    </row>
    <row r="2136">
      <c r="A2136" t="inlineStr">
        <is>
          <t>附表9!P16</t>
        </is>
      </c>
      <c r="B2136" t="inlineStr">
        <is>
          <t>annual.project_cashflow.period_13</t>
        </is>
      </c>
      <c r="C2136" t="inlineStr">
        <is>
          <t>engine_value</t>
        </is>
      </c>
    </row>
    <row r="2137">
      <c r="A2137" t="inlineStr">
        <is>
          <t>附表9!Q16</t>
        </is>
      </c>
      <c r="B2137" t="inlineStr">
        <is>
          <t>annual.project_cashflow.period_14</t>
        </is>
      </c>
      <c r="C2137" t="inlineStr">
        <is>
          <t>engine_value</t>
        </is>
      </c>
    </row>
    <row r="2138">
      <c r="A2138" t="inlineStr">
        <is>
          <t>附表9!R16</t>
        </is>
      </c>
      <c r="B2138" t="inlineStr">
        <is>
          <t>annual.project_cashflow.period_15</t>
        </is>
      </c>
      <c r="C2138" t="inlineStr">
        <is>
          <t>engine_value</t>
        </is>
      </c>
    </row>
    <row r="2139">
      <c r="A2139" t="inlineStr">
        <is>
          <t>附表9!S16</t>
        </is>
      </c>
      <c r="B2139" t="inlineStr">
        <is>
          <t>annual.project_cashflow.period_16</t>
        </is>
      </c>
      <c r="C2139" t="inlineStr">
        <is>
          <t>engine_value</t>
        </is>
      </c>
    </row>
    <row r="2140">
      <c r="A2140" t="inlineStr">
        <is>
          <t>附表9!T16</t>
        </is>
      </c>
      <c r="B2140" t="inlineStr">
        <is>
          <t>annual.project_cashflow.period_17</t>
        </is>
      </c>
      <c r="C2140" t="inlineStr">
        <is>
          <t>engine_value</t>
        </is>
      </c>
    </row>
    <row r="2141">
      <c r="A2141" t="inlineStr">
        <is>
          <t>附表9!U16</t>
        </is>
      </c>
      <c r="B2141" t="inlineStr">
        <is>
          <t>annual.project_cashflow.period_18</t>
        </is>
      </c>
      <c r="C2141" t="inlineStr">
        <is>
          <t>engine_value</t>
        </is>
      </c>
    </row>
    <row r="2142">
      <c r="A2142" t="inlineStr">
        <is>
          <t>附表9!V16</t>
        </is>
      </c>
      <c r="B2142" t="inlineStr">
        <is>
          <t>annual.project_cashflow.period_19</t>
        </is>
      </c>
      <c r="C2142" t="inlineStr">
        <is>
          <t>engine_value</t>
        </is>
      </c>
    </row>
    <row r="2143">
      <c r="A2143" t="inlineStr">
        <is>
          <t>附表9!W16</t>
        </is>
      </c>
      <c r="B2143" t="inlineStr">
        <is>
          <t>annual.project_cashflow.period_20</t>
        </is>
      </c>
      <c r="C2143" t="inlineStr">
        <is>
          <t>engine_value</t>
        </is>
      </c>
    </row>
    <row r="2144">
      <c r="A2144" t="inlineStr">
        <is>
          <t>附表9!X16</t>
        </is>
      </c>
      <c r="B2144" t="inlineStr">
        <is>
          <t>annual.project_cashflow.period_21</t>
        </is>
      </c>
      <c r="C2144" t="inlineStr">
        <is>
          <t>engine_value</t>
        </is>
      </c>
    </row>
    <row r="2145">
      <c r="A2145" t="inlineStr">
        <is>
          <t>附表9!Y16</t>
        </is>
      </c>
      <c r="B2145" t="inlineStr">
        <is>
          <t>annual.project_cashflow.period_22</t>
        </is>
      </c>
      <c r="C2145" t="inlineStr">
        <is>
          <t>engine_value</t>
        </is>
      </c>
    </row>
    <row r="2146">
      <c r="A2146" t="inlineStr">
        <is>
          <t>附表9!Z16</t>
        </is>
      </c>
      <c r="B2146" t="inlineStr">
        <is>
          <t>annual.project_cashflow.period_23</t>
        </is>
      </c>
      <c r="C2146" t="inlineStr">
        <is>
          <t>engine_value</t>
        </is>
      </c>
    </row>
    <row r="2147">
      <c r="A2147" t="inlineStr">
        <is>
          <t>附表9!AA16</t>
        </is>
      </c>
      <c r="B2147" t="inlineStr">
        <is>
          <t>annual.project_cashflow.period_24</t>
        </is>
      </c>
      <c r="C2147" t="inlineStr">
        <is>
          <t>engine_value</t>
        </is>
      </c>
    </row>
    <row r="2148">
      <c r="A2148" t="inlineStr">
        <is>
          <t>附表9!AB16</t>
        </is>
      </c>
      <c r="B2148" t="inlineStr">
        <is>
          <t>annual.project_cashflow.period_25</t>
        </is>
      </c>
      <c r="C2148" t="inlineStr">
        <is>
          <t>engine_value</t>
        </is>
      </c>
    </row>
    <row r="2149">
      <c r="A2149" t="inlineStr">
        <is>
          <t>附表10!A4</t>
        </is>
      </c>
      <c r="B2149" t="inlineStr">
        <is>
          <t>annual.capital_cashflow.atomic+annual.project_cashflow.no</t>
        </is>
      </c>
      <c r="C2149" t="inlineStr">
        <is>
          <t>engine_value</t>
        </is>
      </c>
    </row>
    <row r="2150">
      <c r="A2150" t="inlineStr">
        <is>
          <t>附表10!B4</t>
        </is>
      </c>
      <c r="B2150" t="inlineStr">
        <is>
          <t>annual.capital_cashflow.atomic+annual.project_cashflow.item</t>
        </is>
      </c>
      <c r="C2150" t="inlineStr">
        <is>
          <t>engine_value</t>
        </is>
      </c>
    </row>
    <row r="2151">
      <c r="A2151" t="inlineStr">
        <is>
          <t>附表10!C4</t>
        </is>
      </c>
      <c r="B2151" t="inlineStr">
        <is>
          <t>annual.capital_cashflow.atomic+annual.project_cashflow.total</t>
        </is>
      </c>
      <c r="C2151" t="inlineStr">
        <is>
          <t>engine_value</t>
        </is>
      </c>
    </row>
    <row r="2152">
      <c r="A2152" t="inlineStr">
        <is>
          <t>附表10!D4</t>
        </is>
      </c>
      <c r="B2152" t="inlineStr">
        <is>
          <t>annual.capital_cashflow.atomic+annual.project_cashflow.period_1</t>
        </is>
      </c>
      <c r="C2152" t="inlineStr">
        <is>
          <t>engine_value</t>
        </is>
      </c>
    </row>
    <row r="2153">
      <c r="A2153" t="inlineStr">
        <is>
          <t>附表10!E4</t>
        </is>
      </c>
      <c r="B2153" t="inlineStr">
        <is>
          <t>annual.capital_cashflow.atomic+annual.project_cashflow.period_2</t>
        </is>
      </c>
      <c r="C2153" t="inlineStr">
        <is>
          <t>engine_value</t>
        </is>
      </c>
    </row>
    <row r="2154">
      <c r="A2154" t="inlineStr">
        <is>
          <t>附表10!F4</t>
        </is>
      </c>
      <c r="B2154" t="inlineStr">
        <is>
          <t>annual.capital_cashflow.atomic+annual.project_cashflow.period_3</t>
        </is>
      </c>
      <c r="C2154" t="inlineStr">
        <is>
          <t>engine_value</t>
        </is>
      </c>
    </row>
    <row r="2155">
      <c r="A2155" t="inlineStr">
        <is>
          <t>附表10!G4</t>
        </is>
      </c>
      <c r="B2155" t="inlineStr">
        <is>
          <t>annual.capital_cashflow.atomic+annual.project_cashflow.period_4</t>
        </is>
      </c>
      <c r="C2155" t="inlineStr">
        <is>
          <t>engine_value</t>
        </is>
      </c>
    </row>
    <row r="2156">
      <c r="A2156" t="inlineStr">
        <is>
          <t>附表10!H4</t>
        </is>
      </c>
      <c r="B2156" t="inlineStr">
        <is>
          <t>annual.capital_cashflow.atomic+annual.project_cashflow.period_5</t>
        </is>
      </c>
      <c r="C2156" t="inlineStr">
        <is>
          <t>engine_value</t>
        </is>
      </c>
    </row>
    <row r="2157">
      <c r="A2157" t="inlineStr">
        <is>
          <t>附表10!I4</t>
        </is>
      </c>
      <c r="B2157" t="inlineStr">
        <is>
          <t>annual.capital_cashflow.atomic+annual.project_cashflow.period_6</t>
        </is>
      </c>
      <c r="C2157" t="inlineStr">
        <is>
          <t>engine_value</t>
        </is>
      </c>
    </row>
    <row r="2158">
      <c r="A2158" t="inlineStr">
        <is>
          <t>附表10!J4</t>
        </is>
      </c>
      <c r="B2158" t="inlineStr">
        <is>
          <t>annual.capital_cashflow.atomic+annual.project_cashflow.period_7</t>
        </is>
      </c>
      <c r="C2158" t="inlineStr">
        <is>
          <t>engine_value</t>
        </is>
      </c>
    </row>
    <row r="2159">
      <c r="A2159" t="inlineStr">
        <is>
          <t>附表10!K4</t>
        </is>
      </c>
      <c r="B2159" t="inlineStr">
        <is>
          <t>annual.capital_cashflow.atomic+annual.project_cashflow.period_8</t>
        </is>
      </c>
      <c r="C2159" t="inlineStr">
        <is>
          <t>engine_value</t>
        </is>
      </c>
    </row>
    <row r="2160">
      <c r="A2160" t="inlineStr">
        <is>
          <t>附表10!L4</t>
        </is>
      </c>
      <c r="B2160" t="inlineStr">
        <is>
          <t>annual.capital_cashflow.atomic+annual.project_cashflow.period_9</t>
        </is>
      </c>
      <c r="C2160" t="inlineStr">
        <is>
          <t>engine_value</t>
        </is>
      </c>
    </row>
    <row r="2161">
      <c r="A2161" t="inlineStr">
        <is>
          <t>附表10!M4</t>
        </is>
      </c>
      <c r="B2161" t="inlineStr">
        <is>
          <t>annual.capital_cashflow.atomic+annual.project_cashflow.period_10</t>
        </is>
      </c>
      <c r="C2161" t="inlineStr">
        <is>
          <t>engine_value</t>
        </is>
      </c>
    </row>
    <row r="2162">
      <c r="A2162" t="inlineStr">
        <is>
          <t>附表10!N4</t>
        </is>
      </c>
      <c r="B2162" t="inlineStr">
        <is>
          <t>annual.capital_cashflow.atomic+annual.project_cashflow.period_11</t>
        </is>
      </c>
      <c r="C2162" t="inlineStr">
        <is>
          <t>engine_value</t>
        </is>
      </c>
    </row>
    <row r="2163">
      <c r="A2163" t="inlineStr">
        <is>
          <t>附表10!O4</t>
        </is>
      </c>
      <c r="B2163" t="inlineStr">
        <is>
          <t>annual.capital_cashflow.atomic+annual.project_cashflow.period_12</t>
        </is>
      </c>
      <c r="C2163" t="inlineStr">
        <is>
          <t>engine_value</t>
        </is>
      </c>
    </row>
    <row r="2164">
      <c r="A2164" t="inlineStr">
        <is>
          <t>附表10!P4</t>
        </is>
      </c>
      <c r="B2164" t="inlineStr">
        <is>
          <t>annual.capital_cashflow.atomic+annual.project_cashflow.period_13</t>
        </is>
      </c>
      <c r="C2164" t="inlineStr">
        <is>
          <t>engine_value</t>
        </is>
      </c>
    </row>
    <row r="2165">
      <c r="A2165" t="inlineStr">
        <is>
          <t>附表10!Q4</t>
        </is>
      </c>
      <c r="B2165" t="inlineStr">
        <is>
          <t>annual.capital_cashflow.atomic+annual.project_cashflow.period_14</t>
        </is>
      </c>
      <c r="C2165" t="inlineStr">
        <is>
          <t>engine_value</t>
        </is>
      </c>
    </row>
    <row r="2166">
      <c r="A2166" t="inlineStr">
        <is>
          <t>附表10!R4</t>
        </is>
      </c>
      <c r="B2166" t="inlineStr">
        <is>
          <t>annual.capital_cashflow.atomic+annual.project_cashflow.period_15</t>
        </is>
      </c>
      <c r="C2166" t="inlineStr">
        <is>
          <t>engine_value</t>
        </is>
      </c>
    </row>
    <row r="2167">
      <c r="A2167" t="inlineStr">
        <is>
          <t>附表10!S4</t>
        </is>
      </c>
      <c r="B2167" t="inlineStr">
        <is>
          <t>annual.capital_cashflow.atomic+annual.project_cashflow.period_16</t>
        </is>
      </c>
      <c r="C2167" t="inlineStr">
        <is>
          <t>engine_value</t>
        </is>
      </c>
    </row>
    <row r="2168">
      <c r="A2168" t="inlineStr">
        <is>
          <t>附表10!T4</t>
        </is>
      </c>
      <c r="B2168" t="inlineStr">
        <is>
          <t>annual.capital_cashflow.atomic+annual.project_cashflow.period_17</t>
        </is>
      </c>
      <c r="C2168" t="inlineStr">
        <is>
          <t>engine_value</t>
        </is>
      </c>
    </row>
    <row r="2169">
      <c r="A2169" t="inlineStr">
        <is>
          <t>附表10!U4</t>
        </is>
      </c>
      <c r="B2169" t="inlineStr">
        <is>
          <t>annual.capital_cashflow.atomic+annual.project_cashflow.period_18</t>
        </is>
      </c>
      <c r="C2169" t="inlineStr">
        <is>
          <t>engine_value</t>
        </is>
      </c>
    </row>
    <row r="2170">
      <c r="A2170" t="inlineStr">
        <is>
          <t>附表10!V4</t>
        </is>
      </c>
      <c r="B2170" t="inlineStr">
        <is>
          <t>annual.capital_cashflow.atomic+annual.project_cashflow.period_19</t>
        </is>
      </c>
      <c r="C2170" t="inlineStr">
        <is>
          <t>engine_value</t>
        </is>
      </c>
    </row>
    <row r="2171">
      <c r="A2171" t="inlineStr">
        <is>
          <t>附表10!W4</t>
        </is>
      </c>
      <c r="B2171" t="inlineStr">
        <is>
          <t>annual.capital_cashflow.atomic+annual.project_cashflow.period_20</t>
        </is>
      </c>
      <c r="C2171" t="inlineStr">
        <is>
          <t>engine_value</t>
        </is>
      </c>
    </row>
    <row r="2172">
      <c r="A2172" t="inlineStr">
        <is>
          <t>附表10!X4</t>
        </is>
      </c>
      <c r="B2172" t="inlineStr">
        <is>
          <t>annual.capital_cashflow.atomic+annual.project_cashflow.period_21</t>
        </is>
      </c>
      <c r="C2172" t="inlineStr">
        <is>
          <t>engine_value</t>
        </is>
      </c>
    </row>
    <row r="2173">
      <c r="A2173" t="inlineStr">
        <is>
          <t>附表10!Y4</t>
        </is>
      </c>
      <c r="B2173" t="inlineStr">
        <is>
          <t>annual.capital_cashflow.atomic+annual.project_cashflow.period_22</t>
        </is>
      </c>
      <c r="C2173" t="inlineStr">
        <is>
          <t>engine_value</t>
        </is>
      </c>
    </row>
    <row r="2174">
      <c r="A2174" t="inlineStr">
        <is>
          <t>附表10!Z4</t>
        </is>
      </c>
      <c r="B2174" t="inlineStr">
        <is>
          <t>annual.capital_cashflow.atomic+annual.project_cashflow.period_23</t>
        </is>
      </c>
      <c r="C2174" t="inlineStr">
        <is>
          <t>engine_value</t>
        </is>
      </c>
    </row>
    <row r="2175">
      <c r="A2175" t="inlineStr">
        <is>
          <t>附表10!AA4</t>
        </is>
      </c>
      <c r="B2175" t="inlineStr">
        <is>
          <t>annual.capital_cashflow.atomic+annual.project_cashflow.period_24</t>
        </is>
      </c>
      <c r="C2175" t="inlineStr">
        <is>
          <t>engine_value</t>
        </is>
      </c>
    </row>
    <row r="2176">
      <c r="A2176" t="inlineStr">
        <is>
          <t>附表10!AB4</t>
        </is>
      </c>
      <c r="B2176" t="inlineStr">
        <is>
          <t>annual.capital_cashflow.atomic+annual.project_cashflow.period_25</t>
        </is>
      </c>
      <c r="C2176" t="inlineStr">
        <is>
          <t>engine_value</t>
        </is>
      </c>
    </row>
    <row r="2177">
      <c r="A2177" t="inlineStr">
        <is>
          <t>附表10!A5</t>
        </is>
      </c>
      <c r="B2177" t="inlineStr">
        <is>
          <t>annual.capital_cashflow.atomic+annual.project_cashflow.no</t>
        </is>
      </c>
      <c r="C2177" t="inlineStr">
        <is>
          <t>engine_value</t>
        </is>
      </c>
    </row>
    <row r="2178">
      <c r="A2178" t="inlineStr">
        <is>
          <t>附表10!B5</t>
        </is>
      </c>
      <c r="B2178" t="inlineStr">
        <is>
          <t>annual.capital_cashflow.atomic+annual.project_cashflow.item</t>
        </is>
      </c>
      <c r="C2178" t="inlineStr">
        <is>
          <t>engine_value</t>
        </is>
      </c>
    </row>
    <row r="2179">
      <c r="A2179" t="inlineStr">
        <is>
          <t>附表10!C5</t>
        </is>
      </c>
      <c r="B2179" t="inlineStr">
        <is>
          <t>annual.capital_cashflow.atomic+annual.project_cashflow.total</t>
        </is>
      </c>
      <c r="C2179" t="inlineStr">
        <is>
          <t>engine_value</t>
        </is>
      </c>
    </row>
    <row r="2180">
      <c r="A2180" t="inlineStr">
        <is>
          <t>附表10!D5</t>
        </is>
      </c>
      <c r="B2180" t="inlineStr">
        <is>
          <t>annual.capital_cashflow.atomic+annual.project_cashflow.period_1</t>
        </is>
      </c>
      <c r="C2180" t="inlineStr">
        <is>
          <t>engine_value</t>
        </is>
      </c>
    </row>
    <row r="2181">
      <c r="A2181" t="inlineStr">
        <is>
          <t>附表10!E5</t>
        </is>
      </c>
      <c r="B2181" t="inlineStr">
        <is>
          <t>annual.capital_cashflow.atomic+annual.project_cashflow.period_2</t>
        </is>
      </c>
      <c r="C2181" t="inlineStr">
        <is>
          <t>engine_value</t>
        </is>
      </c>
    </row>
    <row r="2182">
      <c r="A2182" t="inlineStr">
        <is>
          <t>附表10!F5</t>
        </is>
      </c>
      <c r="B2182" t="inlineStr">
        <is>
          <t>annual.capital_cashflow.atomic+annual.project_cashflow.period_3</t>
        </is>
      </c>
      <c r="C2182" t="inlineStr">
        <is>
          <t>engine_value</t>
        </is>
      </c>
    </row>
    <row r="2183">
      <c r="A2183" t="inlineStr">
        <is>
          <t>附表10!G5</t>
        </is>
      </c>
      <c r="B2183" t="inlineStr">
        <is>
          <t>annual.capital_cashflow.atomic+annual.project_cashflow.period_4</t>
        </is>
      </c>
      <c r="C2183" t="inlineStr">
        <is>
          <t>engine_value</t>
        </is>
      </c>
    </row>
    <row r="2184">
      <c r="A2184" t="inlineStr">
        <is>
          <t>附表10!H5</t>
        </is>
      </c>
      <c r="B2184" t="inlineStr">
        <is>
          <t>annual.capital_cashflow.atomic+annual.project_cashflow.period_5</t>
        </is>
      </c>
      <c r="C2184" t="inlineStr">
        <is>
          <t>engine_value</t>
        </is>
      </c>
    </row>
    <row r="2185">
      <c r="A2185" t="inlineStr">
        <is>
          <t>附表10!I5</t>
        </is>
      </c>
      <c r="B2185" t="inlineStr">
        <is>
          <t>annual.capital_cashflow.atomic+annual.project_cashflow.period_6</t>
        </is>
      </c>
      <c r="C2185" t="inlineStr">
        <is>
          <t>engine_value</t>
        </is>
      </c>
    </row>
    <row r="2186">
      <c r="A2186" t="inlineStr">
        <is>
          <t>附表10!J5</t>
        </is>
      </c>
      <c r="B2186" t="inlineStr">
        <is>
          <t>annual.capital_cashflow.atomic+annual.project_cashflow.period_7</t>
        </is>
      </c>
      <c r="C2186" t="inlineStr">
        <is>
          <t>engine_value</t>
        </is>
      </c>
    </row>
    <row r="2187">
      <c r="A2187" t="inlineStr">
        <is>
          <t>附表10!K5</t>
        </is>
      </c>
      <c r="B2187" t="inlineStr">
        <is>
          <t>annual.capital_cashflow.atomic+annual.project_cashflow.period_8</t>
        </is>
      </c>
      <c r="C2187" t="inlineStr">
        <is>
          <t>engine_value</t>
        </is>
      </c>
    </row>
    <row r="2188">
      <c r="A2188" t="inlineStr">
        <is>
          <t>附表10!L5</t>
        </is>
      </c>
      <c r="B2188" t="inlineStr">
        <is>
          <t>annual.capital_cashflow.atomic+annual.project_cashflow.period_9</t>
        </is>
      </c>
      <c r="C2188" t="inlineStr">
        <is>
          <t>engine_value</t>
        </is>
      </c>
    </row>
    <row r="2189">
      <c r="A2189" t="inlineStr">
        <is>
          <t>附表10!M5</t>
        </is>
      </c>
      <c r="B2189" t="inlineStr">
        <is>
          <t>annual.capital_cashflow.atomic+annual.project_cashflow.period_10</t>
        </is>
      </c>
      <c r="C2189" t="inlineStr">
        <is>
          <t>engine_value</t>
        </is>
      </c>
    </row>
    <row r="2190">
      <c r="A2190" t="inlineStr">
        <is>
          <t>附表10!N5</t>
        </is>
      </c>
      <c r="B2190" t="inlineStr">
        <is>
          <t>annual.capital_cashflow.atomic+annual.project_cashflow.period_11</t>
        </is>
      </c>
      <c r="C2190" t="inlineStr">
        <is>
          <t>engine_value</t>
        </is>
      </c>
    </row>
    <row r="2191">
      <c r="A2191" t="inlineStr">
        <is>
          <t>附表10!O5</t>
        </is>
      </c>
      <c r="B2191" t="inlineStr">
        <is>
          <t>annual.capital_cashflow.atomic+annual.project_cashflow.period_12</t>
        </is>
      </c>
      <c r="C2191" t="inlineStr">
        <is>
          <t>engine_value</t>
        </is>
      </c>
    </row>
    <row r="2192">
      <c r="A2192" t="inlineStr">
        <is>
          <t>附表10!P5</t>
        </is>
      </c>
      <c r="B2192" t="inlineStr">
        <is>
          <t>annual.capital_cashflow.atomic+annual.project_cashflow.period_13</t>
        </is>
      </c>
      <c r="C2192" t="inlineStr">
        <is>
          <t>engine_value</t>
        </is>
      </c>
    </row>
    <row r="2193">
      <c r="A2193" t="inlineStr">
        <is>
          <t>附表10!Q5</t>
        </is>
      </c>
      <c r="B2193" t="inlineStr">
        <is>
          <t>annual.capital_cashflow.atomic+annual.project_cashflow.period_14</t>
        </is>
      </c>
      <c r="C2193" t="inlineStr">
        <is>
          <t>engine_value</t>
        </is>
      </c>
    </row>
    <row r="2194">
      <c r="A2194" t="inlineStr">
        <is>
          <t>附表10!R5</t>
        </is>
      </c>
      <c r="B2194" t="inlineStr">
        <is>
          <t>annual.capital_cashflow.atomic+annual.project_cashflow.period_15</t>
        </is>
      </c>
      <c r="C2194" t="inlineStr">
        <is>
          <t>engine_value</t>
        </is>
      </c>
    </row>
    <row r="2195">
      <c r="A2195" t="inlineStr">
        <is>
          <t>附表10!S5</t>
        </is>
      </c>
      <c r="B2195" t="inlineStr">
        <is>
          <t>annual.capital_cashflow.atomic+annual.project_cashflow.period_16</t>
        </is>
      </c>
      <c r="C2195" t="inlineStr">
        <is>
          <t>engine_value</t>
        </is>
      </c>
    </row>
    <row r="2196">
      <c r="A2196" t="inlineStr">
        <is>
          <t>附表10!T5</t>
        </is>
      </c>
      <c r="B2196" t="inlineStr">
        <is>
          <t>annual.capital_cashflow.atomic+annual.project_cashflow.period_17</t>
        </is>
      </c>
      <c r="C2196" t="inlineStr">
        <is>
          <t>engine_value</t>
        </is>
      </c>
    </row>
    <row r="2197">
      <c r="A2197" t="inlineStr">
        <is>
          <t>附表10!U5</t>
        </is>
      </c>
      <c r="B2197" t="inlineStr">
        <is>
          <t>annual.capital_cashflow.atomic+annual.project_cashflow.period_18</t>
        </is>
      </c>
      <c r="C2197" t="inlineStr">
        <is>
          <t>engine_value</t>
        </is>
      </c>
    </row>
    <row r="2198">
      <c r="A2198" t="inlineStr">
        <is>
          <t>附表10!V5</t>
        </is>
      </c>
      <c r="B2198" t="inlineStr">
        <is>
          <t>annual.capital_cashflow.atomic+annual.project_cashflow.period_19</t>
        </is>
      </c>
      <c r="C2198" t="inlineStr">
        <is>
          <t>engine_value</t>
        </is>
      </c>
    </row>
    <row r="2199">
      <c r="A2199" t="inlineStr">
        <is>
          <t>附表10!W5</t>
        </is>
      </c>
      <c r="B2199" t="inlineStr">
        <is>
          <t>annual.capital_cashflow.atomic+annual.project_cashflow.period_20</t>
        </is>
      </c>
      <c r="C2199" t="inlineStr">
        <is>
          <t>engine_value</t>
        </is>
      </c>
    </row>
    <row r="2200">
      <c r="A2200" t="inlineStr">
        <is>
          <t>附表10!X5</t>
        </is>
      </c>
      <c r="B2200" t="inlineStr">
        <is>
          <t>annual.capital_cashflow.atomic+annual.project_cashflow.period_21</t>
        </is>
      </c>
      <c r="C2200" t="inlineStr">
        <is>
          <t>engine_value</t>
        </is>
      </c>
    </row>
    <row r="2201">
      <c r="A2201" t="inlineStr">
        <is>
          <t>附表10!Y5</t>
        </is>
      </c>
      <c r="B2201" t="inlineStr">
        <is>
          <t>annual.capital_cashflow.atomic+annual.project_cashflow.period_22</t>
        </is>
      </c>
      <c r="C2201" t="inlineStr">
        <is>
          <t>engine_value</t>
        </is>
      </c>
    </row>
    <row r="2202">
      <c r="A2202" t="inlineStr">
        <is>
          <t>附表10!Z5</t>
        </is>
      </c>
      <c r="B2202" t="inlineStr">
        <is>
          <t>annual.capital_cashflow.atomic+annual.project_cashflow.period_23</t>
        </is>
      </c>
      <c r="C2202" t="inlineStr">
        <is>
          <t>engine_value</t>
        </is>
      </c>
    </row>
    <row r="2203">
      <c r="A2203" t="inlineStr">
        <is>
          <t>附表10!AA5</t>
        </is>
      </c>
      <c r="B2203" t="inlineStr">
        <is>
          <t>annual.capital_cashflow.atomic+annual.project_cashflow.period_24</t>
        </is>
      </c>
      <c r="C2203" t="inlineStr">
        <is>
          <t>engine_value</t>
        </is>
      </c>
    </row>
    <row r="2204">
      <c r="A2204" t="inlineStr">
        <is>
          <t>附表10!AB5</t>
        </is>
      </c>
      <c r="B2204" t="inlineStr">
        <is>
          <t>annual.capital_cashflow.atomic+annual.project_cashflow.period_25</t>
        </is>
      </c>
      <c r="C2204" t="inlineStr">
        <is>
          <t>engine_value</t>
        </is>
      </c>
    </row>
    <row r="2205">
      <c r="A2205" t="inlineStr">
        <is>
          <t>附表10!A6</t>
        </is>
      </c>
      <c r="B2205" t="inlineStr">
        <is>
          <t>annual.capital_cashflow.atomic+annual.project_cashflow.no</t>
        </is>
      </c>
      <c r="C2205" t="inlineStr">
        <is>
          <t>engine_value</t>
        </is>
      </c>
    </row>
    <row r="2206">
      <c r="A2206" t="inlineStr">
        <is>
          <t>附表10!B6</t>
        </is>
      </c>
      <c r="B2206" t="inlineStr">
        <is>
          <t>annual.capital_cashflow.atomic+annual.project_cashflow.item</t>
        </is>
      </c>
      <c r="C2206" t="inlineStr">
        <is>
          <t>engine_value</t>
        </is>
      </c>
    </row>
    <row r="2207">
      <c r="A2207" t="inlineStr">
        <is>
          <t>附表10!C6</t>
        </is>
      </c>
      <c r="B2207" t="inlineStr">
        <is>
          <t>annual.capital_cashflow.atomic+annual.project_cashflow.total</t>
        </is>
      </c>
      <c r="C2207" t="inlineStr">
        <is>
          <t>engine_value</t>
        </is>
      </c>
    </row>
    <row r="2208">
      <c r="A2208" t="inlineStr">
        <is>
          <t>附表10!D6</t>
        </is>
      </c>
      <c r="B2208" t="inlineStr">
        <is>
          <t>annual.capital_cashflow.atomic+annual.project_cashflow.period_1</t>
        </is>
      </c>
      <c r="C2208" t="inlineStr">
        <is>
          <t>engine_value</t>
        </is>
      </c>
    </row>
    <row r="2209">
      <c r="A2209" t="inlineStr">
        <is>
          <t>附表10!E6</t>
        </is>
      </c>
      <c r="B2209" t="inlineStr">
        <is>
          <t>annual.capital_cashflow.atomic+annual.project_cashflow.period_2</t>
        </is>
      </c>
      <c r="C2209" t="inlineStr">
        <is>
          <t>engine_value</t>
        </is>
      </c>
    </row>
    <row r="2210">
      <c r="A2210" t="inlineStr">
        <is>
          <t>附表10!F6</t>
        </is>
      </c>
      <c r="B2210" t="inlineStr">
        <is>
          <t>annual.capital_cashflow.atomic+annual.project_cashflow.period_3</t>
        </is>
      </c>
      <c r="C2210" t="inlineStr">
        <is>
          <t>engine_value</t>
        </is>
      </c>
    </row>
    <row r="2211">
      <c r="A2211" t="inlineStr">
        <is>
          <t>附表10!G6</t>
        </is>
      </c>
      <c r="B2211" t="inlineStr">
        <is>
          <t>annual.capital_cashflow.atomic+annual.project_cashflow.period_4</t>
        </is>
      </c>
      <c r="C2211" t="inlineStr">
        <is>
          <t>engine_value</t>
        </is>
      </c>
    </row>
    <row r="2212">
      <c r="A2212" t="inlineStr">
        <is>
          <t>附表10!H6</t>
        </is>
      </c>
      <c r="B2212" t="inlineStr">
        <is>
          <t>annual.capital_cashflow.atomic+annual.project_cashflow.period_5</t>
        </is>
      </c>
      <c r="C2212" t="inlineStr">
        <is>
          <t>engine_value</t>
        </is>
      </c>
    </row>
    <row r="2213">
      <c r="A2213" t="inlineStr">
        <is>
          <t>附表10!I6</t>
        </is>
      </c>
      <c r="B2213" t="inlineStr">
        <is>
          <t>annual.capital_cashflow.atomic+annual.project_cashflow.period_6</t>
        </is>
      </c>
      <c r="C2213" t="inlineStr">
        <is>
          <t>engine_value</t>
        </is>
      </c>
    </row>
    <row r="2214">
      <c r="A2214" t="inlineStr">
        <is>
          <t>附表10!J6</t>
        </is>
      </c>
      <c r="B2214" t="inlineStr">
        <is>
          <t>annual.capital_cashflow.atomic+annual.project_cashflow.period_7</t>
        </is>
      </c>
      <c r="C2214" t="inlineStr">
        <is>
          <t>engine_value</t>
        </is>
      </c>
    </row>
    <row r="2215">
      <c r="A2215" t="inlineStr">
        <is>
          <t>附表10!K6</t>
        </is>
      </c>
      <c r="B2215" t="inlineStr">
        <is>
          <t>annual.capital_cashflow.atomic+annual.project_cashflow.period_8</t>
        </is>
      </c>
      <c r="C2215" t="inlineStr">
        <is>
          <t>engine_value</t>
        </is>
      </c>
    </row>
    <row r="2216">
      <c r="A2216" t="inlineStr">
        <is>
          <t>附表10!L6</t>
        </is>
      </c>
      <c r="B2216" t="inlineStr">
        <is>
          <t>annual.capital_cashflow.atomic+annual.project_cashflow.period_9</t>
        </is>
      </c>
      <c r="C2216" t="inlineStr">
        <is>
          <t>engine_value</t>
        </is>
      </c>
    </row>
    <row r="2217">
      <c r="A2217" t="inlineStr">
        <is>
          <t>附表10!M6</t>
        </is>
      </c>
      <c r="B2217" t="inlineStr">
        <is>
          <t>annual.capital_cashflow.atomic+annual.project_cashflow.period_10</t>
        </is>
      </c>
      <c r="C2217" t="inlineStr">
        <is>
          <t>engine_value</t>
        </is>
      </c>
    </row>
    <row r="2218">
      <c r="A2218" t="inlineStr">
        <is>
          <t>附表10!N6</t>
        </is>
      </c>
      <c r="B2218" t="inlineStr">
        <is>
          <t>annual.capital_cashflow.atomic+annual.project_cashflow.period_11</t>
        </is>
      </c>
      <c r="C2218" t="inlineStr">
        <is>
          <t>engine_value</t>
        </is>
      </c>
    </row>
    <row r="2219">
      <c r="A2219" t="inlineStr">
        <is>
          <t>附表10!O6</t>
        </is>
      </c>
      <c r="B2219" t="inlineStr">
        <is>
          <t>annual.capital_cashflow.atomic+annual.project_cashflow.period_12</t>
        </is>
      </c>
      <c r="C2219" t="inlineStr">
        <is>
          <t>engine_value</t>
        </is>
      </c>
    </row>
    <row r="2220">
      <c r="A2220" t="inlineStr">
        <is>
          <t>附表10!P6</t>
        </is>
      </c>
      <c r="B2220" t="inlineStr">
        <is>
          <t>annual.capital_cashflow.atomic+annual.project_cashflow.period_13</t>
        </is>
      </c>
      <c r="C2220" t="inlineStr">
        <is>
          <t>engine_value</t>
        </is>
      </c>
    </row>
    <row r="2221">
      <c r="A2221" t="inlineStr">
        <is>
          <t>附表10!Q6</t>
        </is>
      </c>
      <c r="B2221" t="inlineStr">
        <is>
          <t>annual.capital_cashflow.atomic+annual.project_cashflow.period_14</t>
        </is>
      </c>
      <c r="C2221" t="inlineStr">
        <is>
          <t>engine_value</t>
        </is>
      </c>
    </row>
    <row r="2222">
      <c r="A2222" t="inlineStr">
        <is>
          <t>附表10!R6</t>
        </is>
      </c>
      <c r="B2222" t="inlineStr">
        <is>
          <t>annual.capital_cashflow.atomic+annual.project_cashflow.period_15</t>
        </is>
      </c>
      <c r="C2222" t="inlineStr">
        <is>
          <t>engine_value</t>
        </is>
      </c>
    </row>
    <row r="2223">
      <c r="A2223" t="inlineStr">
        <is>
          <t>附表10!S6</t>
        </is>
      </c>
      <c r="B2223" t="inlineStr">
        <is>
          <t>annual.capital_cashflow.atomic+annual.project_cashflow.period_16</t>
        </is>
      </c>
      <c r="C2223" t="inlineStr">
        <is>
          <t>engine_value</t>
        </is>
      </c>
    </row>
    <row r="2224">
      <c r="A2224" t="inlineStr">
        <is>
          <t>附表10!T6</t>
        </is>
      </c>
      <c r="B2224" t="inlineStr">
        <is>
          <t>annual.capital_cashflow.atomic+annual.project_cashflow.period_17</t>
        </is>
      </c>
      <c r="C2224" t="inlineStr">
        <is>
          <t>engine_value</t>
        </is>
      </c>
    </row>
    <row r="2225">
      <c r="A2225" t="inlineStr">
        <is>
          <t>附表10!U6</t>
        </is>
      </c>
      <c r="B2225" t="inlineStr">
        <is>
          <t>annual.capital_cashflow.atomic+annual.project_cashflow.period_18</t>
        </is>
      </c>
      <c r="C2225" t="inlineStr">
        <is>
          <t>engine_value</t>
        </is>
      </c>
    </row>
    <row r="2226">
      <c r="A2226" t="inlineStr">
        <is>
          <t>附表10!V6</t>
        </is>
      </c>
      <c r="B2226" t="inlineStr">
        <is>
          <t>annual.capital_cashflow.atomic+annual.project_cashflow.period_19</t>
        </is>
      </c>
      <c r="C2226" t="inlineStr">
        <is>
          <t>engine_value</t>
        </is>
      </c>
    </row>
    <row r="2227">
      <c r="A2227" t="inlineStr">
        <is>
          <t>附表10!W6</t>
        </is>
      </c>
      <c r="B2227" t="inlineStr">
        <is>
          <t>annual.capital_cashflow.atomic+annual.project_cashflow.period_20</t>
        </is>
      </c>
      <c r="C2227" t="inlineStr">
        <is>
          <t>engine_value</t>
        </is>
      </c>
    </row>
    <row r="2228">
      <c r="A2228" t="inlineStr">
        <is>
          <t>附表10!X6</t>
        </is>
      </c>
      <c r="B2228" t="inlineStr">
        <is>
          <t>annual.capital_cashflow.atomic+annual.project_cashflow.period_21</t>
        </is>
      </c>
      <c r="C2228" t="inlineStr">
        <is>
          <t>engine_value</t>
        </is>
      </c>
    </row>
    <row r="2229">
      <c r="A2229" t="inlineStr">
        <is>
          <t>附表10!Y6</t>
        </is>
      </c>
      <c r="B2229" t="inlineStr">
        <is>
          <t>annual.capital_cashflow.atomic+annual.project_cashflow.period_22</t>
        </is>
      </c>
      <c r="C2229" t="inlineStr">
        <is>
          <t>engine_value</t>
        </is>
      </c>
    </row>
    <row r="2230">
      <c r="A2230" t="inlineStr">
        <is>
          <t>附表10!Z6</t>
        </is>
      </c>
      <c r="B2230" t="inlineStr">
        <is>
          <t>annual.capital_cashflow.atomic+annual.project_cashflow.period_23</t>
        </is>
      </c>
      <c r="C2230" t="inlineStr">
        <is>
          <t>engine_value</t>
        </is>
      </c>
    </row>
    <row r="2231">
      <c r="A2231" t="inlineStr">
        <is>
          <t>附表10!AA6</t>
        </is>
      </c>
      <c r="B2231" t="inlineStr">
        <is>
          <t>annual.capital_cashflow.atomic+annual.project_cashflow.period_24</t>
        </is>
      </c>
      <c r="C2231" t="inlineStr">
        <is>
          <t>engine_value</t>
        </is>
      </c>
    </row>
    <row r="2232">
      <c r="A2232" t="inlineStr">
        <is>
          <t>附表10!AB6</t>
        </is>
      </c>
      <c r="B2232" t="inlineStr">
        <is>
          <t>annual.capital_cashflow.atomic+annual.project_cashflow.period_25</t>
        </is>
      </c>
      <c r="C2232" t="inlineStr">
        <is>
          <t>engine_value</t>
        </is>
      </c>
    </row>
    <row r="2233">
      <c r="A2233" t="inlineStr">
        <is>
          <t>附表10!A7</t>
        </is>
      </c>
      <c r="B2233" t="inlineStr">
        <is>
          <t>annual.capital_cashflow.atomic+annual.project_cashflow.no</t>
        </is>
      </c>
      <c r="C2233" t="inlineStr">
        <is>
          <t>engine_value</t>
        </is>
      </c>
    </row>
    <row r="2234">
      <c r="A2234" t="inlineStr">
        <is>
          <t>附表10!B7</t>
        </is>
      </c>
      <c r="B2234" t="inlineStr">
        <is>
          <t>annual.capital_cashflow.atomic+annual.project_cashflow.item</t>
        </is>
      </c>
      <c r="C2234" t="inlineStr">
        <is>
          <t>engine_value</t>
        </is>
      </c>
    </row>
    <row r="2235">
      <c r="A2235" t="inlineStr">
        <is>
          <t>附表10!C7</t>
        </is>
      </c>
      <c r="B2235" t="inlineStr">
        <is>
          <t>annual.capital_cashflow.atomic+annual.project_cashflow.total</t>
        </is>
      </c>
      <c r="C2235" t="inlineStr">
        <is>
          <t>engine_value</t>
        </is>
      </c>
    </row>
    <row r="2236">
      <c r="A2236" t="inlineStr">
        <is>
          <t>附表10!D7</t>
        </is>
      </c>
      <c r="B2236" t="inlineStr">
        <is>
          <t>annual.capital_cashflow.atomic+annual.project_cashflow.period_1</t>
        </is>
      </c>
      <c r="C2236" t="inlineStr">
        <is>
          <t>engine_value</t>
        </is>
      </c>
    </row>
    <row r="2237">
      <c r="A2237" t="inlineStr">
        <is>
          <t>附表10!E7</t>
        </is>
      </c>
      <c r="B2237" t="inlineStr">
        <is>
          <t>annual.capital_cashflow.atomic+annual.project_cashflow.period_2</t>
        </is>
      </c>
      <c r="C2237" t="inlineStr">
        <is>
          <t>engine_value</t>
        </is>
      </c>
    </row>
    <row r="2238">
      <c r="A2238" t="inlineStr">
        <is>
          <t>附表10!F7</t>
        </is>
      </c>
      <c r="B2238" t="inlineStr">
        <is>
          <t>annual.capital_cashflow.atomic+annual.project_cashflow.period_3</t>
        </is>
      </c>
      <c r="C2238" t="inlineStr">
        <is>
          <t>engine_value</t>
        </is>
      </c>
    </row>
    <row r="2239">
      <c r="A2239" t="inlineStr">
        <is>
          <t>附表10!G7</t>
        </is>
      </c>
      <c r="B2239" t="inlineStr">
        <is>
          <t>annual.capital_cashflow.atomic+annual.project_cashflow.period_4</t>
        </is>
      </c>
      <c r="C2239" t="inlineStr">
        <is>
          <t>engine_value</t>
        </is>
      </c>
    </row>
    <row r="2240">
      <c r="A2240" t="inlineStr">
        <is>
          <t>附表10!H7</t>
        </is>
      </c>
      <c r="B2240" t="inlineStr">
        <is>
          <t>annual.capital_cashflow.atomic+annual.project_cashflow.period_5</t>
        </is>
      </c>
      <c r="C2240" t="inlineStr">
        <is>
          <t>engine_value</t>
        </is>
      </c>
    </row>
    <row r="2241">
      <c r="A2241" t="inlineStr">
        <is>
          <t>附表10!I7</t>
        </is>
      </c>
      <c r="B2241" t="inlineStr">
        <is>
          <t>annual.capital_cashflow.atomic+annual.project_cashflow.period_6</t>
        </is>
      </c>
      <c r="C2241" t="inlineStr">
        <is>
          <t>engine_value</t>
        </is>
      </c>
    </row>
    <row r="2242">
      <c r="A2242" t="inlineStr">
        <is>
          <t>附表10!J7</t>
        </is>
      </c>
      <c r="B2242" t="inlineStr">
        <is>
          <t>annual.capital_cashflow.atomic+annual.project_cashflow.period_7</t>
        </is>
      </c>
      <c r="C2242" t="inlineStr">
        <is>
          <t>engine_value</t>
        </is>
      </c>
    </row>
    <row r="2243">
      <c r="A2243" t="inlineStr">
        <is>
          <t>附表10!K7</t>
        </is>
      </c>
      <c r="B2243" t="inlineStr">
        <is>
          <t>annual.capital_cashflow.atomic+annual.project_cashflow.period_8</t>
        </is>
      </c>
      <c r="C2243" t="inlineStr">
        <is>
          <t>engine_value</t>
        </is>
      </c>
    </row>
    <row r="2244">
      <c r="A2244" t="inlineStr">
        <is>
          <t>附表10!L7</t>
        </is>
      </c>
      <c r="B2244" t="inlineStr">
        <is>
          <t>annual.capital_cashflow.atomic+annual.project_cashflow.period_9</t>
        </is>
      </c>
      <c r="C2244" t="inlineStr">
        <is>
          <t>engine_value</t>
        </is>
      </c>
    </row>
    <row r="2245">
      <c r="A2245" t="inlineStr">
        <is>
          <t>附表10!M7</t>
        </is>
      </c>
      <c r="B2245" t="inlineStr">
        <is>
          <t>annual.capital_cashflow.atomic+annual.project_cashflow.period_10</t>
        </is>
      </c>
      <c r="C2245" t="inlineStr">
        <is>
          <t>engine_value</t>
        </is>
      </c>
    </row>
    <row r="2246">
      <c r="A2246" t="inlineStr">
        <is>
          <t>附表10!N7</t>
        </is>
      </c>
      <c r="B2246" t="inlineStr">
        <is>
          <t>annual.capital_cashflow.atomic+annual.project_cashflow.period_11</t>
        </is>
      </c>
      <c r="C2246" t="inlineStr">
        <is>
          <t>engine_value</t>
        </is>
      </c>
    </row>
    <row r="2247">
      <c r="A2247" t="inlineStr">
        <is>
          <t>附表10!O7</t>
        </is>
      </c>
      <c r="B2247" t="inlineStr">
        <is>
          <t>annual.capital_cashflow.atomic+annual.project_cashflow.period_12</t>
        </is>
      </c>
      <c r="C2247" t="inlineStr">
        <is>
          <t>engine_value</t>
        </is>
      </c>
    </row>
    <row r="2248">
      <c r="A2248" t="inlineStr">
        <is>
          <t>附表10!P7</t>
        </is>
      </c>
      <c r="B2248" t="inlineStr">
        <is>
          <t>annual.capital_cashflow.atomic+annual.project_cashflow.period_13</t>
        </is>
      </c>
      <c r="C2248" t="inlineStr">
        <is>
          <t>engine_value</t>
        </is>
      </c>
    </row>
    <row r="2249">
      <c r="A2249" t="inlineStr">
        <is>
          <t>附表10!Q7</t>
        </is>
      </c>
      <c r="B2249" t="inlineStr">
        <is>
          <t>annual.capital_cashflow.atomic+annual.project_cashflow.period_14</t>
        </is>
      </c>
      <c r="C2249" t="inlineStr">
        <is>
          <t>engine_value</t>
        </is>
      </c>
    </row>
    <row r="2250">
      <c r="A2250" t="inlineStr">
        <is>
          <t>附表10!R7</t>
        </is>
      </c>
      <c r="B2250" t="inlineStr">
        <is>
          <t>annual.capital_cashflow.atomic+annual.project_cashflow.period_15</t>
        </is>
      </c>
      <c r="C2250" t="inlineStr">
        <is>
          <t>engine_value</t>
        </is>
      </c>
    </row>
    <row r="2251">
      <c r="A2251" t="inlineStr">
        <is>
          <t>附表10!S7</t>
        </is>
      </c>
      <c r="B2251" t="inlineStr">
        <is>
          <t>annual.capital_cashflow.atomic+annual.project_cashflow.period_16</t>
        </is>
      </c>
      <c r="C2251" t="inlineStr">
        <is>
          <t>engine_value</t>
        </is>
      </c>
    </row>
    <row r="2252">
      <c r="A2252" t="inlineStr">
        <is>
          <t>附表10!T7</t>
        </is>
      </c>
      <c r="B2252" t="inlineStr">
        <is>
          <t>annual.capital_cashflow.atomic+annual.project_cashflow.period_17</t>
        </is>
      </c>
      <c r="C2252" t="inlineStr">
        <is>
          <t>engine_value</t>
        </is>
      </c>
    </row>
    <row r="2253">
      <c r="A2253" t="inlineStr">
        <is>
          <t>附表10!U7</t>
        </is>
      </c>
      <c r="B2253" t="inlineStr">
        <is>
          <t>annual.capital_cashflow.atomic+annual.project_cashflow.period_18</t>
        </is>
      </c>
      <c r="C2253" t="inlineStr">
        <is>
          <t>engine_value</t>
        </is>
      </c>
    </row>
    <row r="2254">
      <c r="A2254" t="inlineStr">
        <is>
          <t>附表10!V7</t>
        </is>
      </c>
      <c r="B2254" t="inlineStr">
        <is>
          <t>annual.capital_cashflow.atomic+annual.project_cashflow.period_19</t>
        </is>
      </c>
      <c r="C2254" t="inlineStr">
        <is>
          <t>engine_value</t>
        </is>
      </c>
    </row>
    <row r="2255">
      <c r="A2255" t="inlineStr">
        <is>
          <t>附表10!W7</t>
        </is>
      </c>
      <c r="B2255" t="inlineStr">
        <is>
          <t>annual.capital_cashflow.atomic+annual.project_cashflow.period_20</t>
        </is>
      </c>
      <c r="C2255" t="inlineStr">
        <is>
          <t>engine_value</t>
        </is>
      </c>
    </row>
    <row r="2256">
      <c r="A2256" t="inlineStr">
        <is>
          <t>附表10!X7</t>
        </is>
      </c>
      <c r="B2256" t="inlineStr">
        <is>
          <t>annual.capital_cashflow.atomic+annual.project_cashflow.period_21</t>
        </is>
      </c>
      <c r="C2256" t="inlineStr">
        <is>
          <t>engine_value</t>
        </is>
      </c>
    </row>
    <row r="2257">
      <c r="A2257" t="inlineStr">
        <is>
          <t>附表10!Y7</t>
        </is>
      </c>
      <c r="B2257" t="inlineStr">
        <is>
          <t>annual.capital_cashflow.atomic+annual.project_cashflow.period_22</t>
        </is>
      </c>
      <c r="C2257" t="inlineStr">
        <is>
          <t>engine_value</t>
        </is>
      </c>
    </row>
    <row r="2258">
      <c r="A2258" t="inlineStr">
        <is>
          <t>附表10!Z7</t>
        </is>
      </c>
      <c r="B2258" t="inlineStr">
        <is>
          <t>annual.capital_cashflow.atomic+annual.project_cashflow.period_23</t>
        </is>
      </c>
      <c r="C2258" t="inlineStr">
        <is>
          <t>engine_value</t>
        </is>
      </c>
    </row>
    <row r="2259">
      <c r="A2259" t="inlineStr">
        <is>
          <t>附表10!AA7</t>
        </is>
      </c>
      <c r="B2259" t="inlineStr">
        <is>
          <t>annual.capital_cashflow.atomic+annual.project_cashflow.period_24</t>
        </is>
      </c>
      <c r="C2259" t="inlineStr">
        <is>
          <t>engine_value</t>
        </is>
      </c>
    </row>
    <row r="2260">
      <c r="A2260" t="inlineStr">
        <is>
          <t>附表10!AB7</t>
        </is>
      </c>
      <c r="B2260" t="inlineStr">
        <is>
          <t>annual.capital_cashflow.atomic+annual.project_cashflow.period_25</t>
        </is>
      </c>
      <c r="C2260" t="inlineStr">
        <is>
          <t>engine_value</t>
        </is>
      </c>
    </row>
    <row r="2261">
      <c r="A2261" t="inlineStr">
        <is>
          <t>附表10!A8</t>
        </is>
      </c>
      <c r="B2261" t="inlineStr">
        <is>
          <t>annual.capital_cashflow.atomic+annual.project_cashflow.no</t>
        </is>
      </c>
      <c r="C2261" t="inlineStr">
        <is>
          <t>engine_value</t>
        </is>
      </c>
    </row>
    <row r="2262">
      <c r="A2262" t="inlineStr">
        <is>
          <t>附表10!B8</t>
        </is>
      </c>
      <c r="B2262" t="inlineStr">
        <is>
          <t>annual.capital_cashflow.atomic+annual.project_cashflow.item</t>
        </is>
      </c>
      <c r="C2262" t="inlineStr">
        <is>
          <t>engine_value</t>
        </is>
      </c>
    </row>
    <row r="2263">
      <c r="A2263" t="inlineStr">
        <is>
          <t>附表10!C8</t>
        </is>
      </c>
      <c r="B2263" t="inlineStr">
        <is>
          <t>annual.capital_cashflow.atomic+annual.project_cashflow.total</t>
        </is>
      </c>
      <c r="C2263" t="inlineStr">
        <is>
          <t>engine_value</t>
        </is>
      </c>
    </row>
    <row r="2264">
      <c r="A2264" t="inlineStr">
        <is>
          <t>附表10!D8</t>
        </is>
      </c>
      <c r="B2264" t="inlineStr">
        <is>
          <t>annual.capital_cashflow.atomic+annual.project_cashflow.period_1</t>
        </is>
      </c>
      <c r="C2264" t="inlineStr">
        <is>
          <t>engine_value</t>
        </is>
      </c>
    </row>
    <row r="2265">
      <c r="A2265" t="inlineStr">
        <is>
          <t>附表10!E8</t>
        </is>
      </c>
      <c r="B2265" t="inlineStr">
        <is>
          <t>annual.capital_cashflow.atomic+annual.project_cashflow.period_2</t>
        </is>
      </c>
      <c r="C2265" t="inlineStr">
        <is>
          <t>engine_value</t>
        </is>
      </c>
    </row>
    <row r="2266">
      <c r="A2266" t="inlineStr">
        <is>
          <t>附表10!F8</t>
        </is>
      </c>
      <c r="B2266" t="inlineStr">
        <is>
          <t>annual.capital_cashflow.atomic+annual.project_cashflow.period_3</t>
        </is>
      </c>
      <c r="C2266" t="inlineStr">
        <is>
          <t>engine_value</t>
        </is>
      </c>
    </row>
    <row r="2267">
      <c r="A2267" t="inlineStr">
        <is>
          <t>附表10!G8</t>
        </is>
      </c>
      <c r="B2267" t="inlineStr">
        <is>
          <t>annual.capital_cashflow.atomic+annual.project_cashflow.period_4</t>
        </is>
      </c>
      <c r="C2267" t="inlineStr">
        <is>
          <t>engine_value</t>
        </is>
      </c>
    </row>
    <row r="2268">
      <c r="A2268" t="inlineStr">
        <is>
          <t>附表10!H8</t>
        </is>
      </c>
      <c r="B2268" t="inlineStr">
        <is>
          <t>annual.capital_cashflow.atomic+annual.project_cashflow.period_5</t>
        </is>
      </c>
      <c r="C2268" t="inlineStr">
        <is>
          <t>engine_value</t>
        </is>
      </c>
    </row>
    <row r="2269">
      <c r="A2269" t="inlineStr">
        <is>
          <t>附表10!I8</t>
        </is>
      </c>
      <c r="B2269" t="inlineStr">
        <is>
          <t>annual.capital_cashflow.atomic+annual.project_cashflow.period_6</t>
        </is>
      </c>
      <c r="C2269" t="inlineStr">
        <is>
          <t>engine_value</t>
        </is>
      </c>
    </row>
    <row r="2270">
      <c r="A2270" t="inlineStr">
        <is>
          <t>附表10!J8</t>
        </is>
      </c>
      <c r="B2270" t="inlineStr">
        <is>
          <t>annual.capital_cashflow.atomic+annual.project_cashflow.period_7</t>
        </is>
      </c>
      <c r="C2270" t="inlineStr">
        <is>
          <t>engine_value</t>
        </is>
      </c>
    </row>
    <row r="2271">
      <c r="A2271" t="inlineStr">
        <is>
          <t>附表10!K8</t>
        </is>
      </c>
      <c r="B2271" t="inlineStr">
        <is>
          <t>annual.capital_cashflow.atomic+annual.project_cashflow.period_8</t>
        </is>
      </c>
      <c r="C2271" t="inlineStr">
        <is>
          <t>engine_value</t>
        </is>
      </c>
    </row>
    <row r="2272">
      <c r="A2272" t="inlineStr">
        <is>
          <t>附表10!L8</t>
        </is>
      </c>
      <c r="B2272" t="inlineStr">
        <is>
          <t>annual.capital_cashflow.atomic+annual.project_cashflow.period_9</t>
        </is>
      </c>
      <c r="C2272" t="inlineStr">
        <is>
          <t>engine_value</t>
        </is>
      </c>
    </row>
    <row r="2273">
      <c r="A2273" t="inlineStr">
        <is>
          <t>附表10!M8</t>
        </is>
      </c>
      <c r="B2273" t="inlineStr">
        <is>
          <t>annual.capital_cashflow.atomic+annual.project_cashflow.period_10</t>
        </is>
      </c>
      <c r="C2273" t="inlineStr">
        <is>
          <t>engine_value</t>
        </is>
      </c>
    </row>
    <row r="2274">
      <c r="A2274" t="inlineStr">
        <is>
          <t>附表10!N8</t>
        </is>
      </c>
      <c r="B2274" t="inlineStr">
        <is>
          <t>annual.capital_cashflow.atomic+annual.project_cashflow.period_11</t>
        </is>
      </c>
      <c r="C2274" t="inlineStr">
        <is>
          <t>engine_value</t>
        </is>
      </c>
    </row>
    <row r="2275">
      <c r="A2275" t="inlineStr">
        <is>
          <t>附表10!O8</t>
        </is>
      </c>
      <c r="B2275" t="inlineStr">
        <is>
          <t>annual.capital_cashflow.atomic+annual.project_cashflow.period_12</t>
        </is>
      </c>
      <c r="C2275" t="inlineStr">
        <is>
          <t>engine_value</t>
        </is>
      </c>
    </row>
    <row r="2276">
      <c r="A2276" t="inlineStr">
        <is>
          <t>附表10!P8</t>
        </is>
      </c>
      <c r="B2276" t="inlineStr">
        <is>
          <t>annual.capital_cashflow.atomic+annual.project_cashflow.period_13</t>
        </is>
      </c>
      <c r="C2276" t="inlineStr">
        <is>
          <t>engine_value</t>
        </is>
      </c>
    </row>
    <row r="2277">
      <c r="A2277" t="inlineStr">
        <is>
          <t>附表10!Q8</t>
        </is>
      </c>
      <c r="B2277" t="inlineStr">
        <is>
          <t>annual.capital_cashflow.atomic+annual.project_cashflow.period_14</t>
        </is>
      </c>
      <c r="C2277" t="inlineStr">
        <is>
          <t>engine_value</t>
        </is>
      </c>
    </row>
    <row r="2278">
      <c r="A2278" t="inlineStr">
        <is>
          <t>附表10!R8</t>
        </is>
      </c>
      <c r="B2278" t="inlineStr">
        <is>
          <t>annual.capital_cashflow.atomic+annual.project_cashflow.period_15</t>
        </is>
      </c>
      <c r="C2278" t="inlineStr">
        <is>
          <t>engine_value</t>
        </is>
      </c>
    </row>
    <row r="2279">
      <c r="A2279" t="inlineStr">
        <is>
          <t>附表10!S8</t>
        </is>
      </c>
      <c r="B2279" t="inlineStr">
        <is>
          <t>annual.capital_cashflow.atomic+annual.project_cashflow.period_16</t>
        </is>
      </c>
      <c r="C2279" t="inlineStr">
        <is>
          <t>engine_value</t>
        </is>
      </c>
    </row>
    <row r="2280">
      <c r="A2280" t="inlineStr">
        <is>
          <t>附表10!T8</t>
        </is>
      </c>
      <c r="B2280" t="inlineStr">
        <is>
          <t>annual.capital_cashflow.atomic+annual.project_cashflow.period_17</t>
        </is>
      </c>
      <c r="C2280" t="inlineStr">
        <is>
          <t>engine_value</t>
        </is>
      </c>
    </row>
    <row r="2281">
      <c r="A2281" t="inlineStr">
        <is>
          <t>附表10!U8</t>
        </is>
      </c>
      <c r="B2281" t="inlineStr">
        <is>
          <t>annual.capital_cashflow.atomic+annual.project_cashflow.period_18</t>
        </is>
      </c>
      <c r="C2281" t="inlineStr">
        <is>
          <t>engine_value</t>
        </is>
      </c>
    </row>
    <row r="2282">
      <c r="A2282" t="inlineStr">
        <is>
          <t>附表10!V8</t>
        </is>
      </c>
      <c r="B2282" t="inlineStr">
        <is>
          <t>annual.capital_cashflow.atomic+annual.project_cashflow.period_19</t>
        </is>
      </c>
      <c r="C2282" t="inlineStr">
        <is>
          <t>engine_value</t>
        </is>
      </c>
    </row>
    <row r="2283">
      <c r="A2283" t="inlineStr">
        <is>
          <t>附表10!W8</t>
        </is>
      </c>
      <c r="B2283" t="inlineStr">
        <is>
          <t>annual.capital_cashflow.atomic+annual.project_cashflow.period_20</t>
        </is>
      </c>
      <c r="C2283" t="inlineStr">
        <is>
          <t>engine_value</t>
        </is>
      </c>
    </row>
    <row r="2284">
      <c r="A2284" t="inlineStr">
        <is>
          <t>附表10!X8</t>
        </is>
      </c>
      <c r="B2284" t="inlineStr">
        <is>
          <t>annual.capital_cashflow.atomic+annual.project_cashflow.period_21</t>
        </is>
      </c>
      <c r="C2284" t="inlineStr">
        <is>
          <t>engine_value</t>
        </is>
      </c>
    </row>
    <row r="2285">
      <c r="A2285" t="inlineStr">
        <is>
          <t>附表10!Y8</t>
        </is>
      </c>
      <c r="B2285" t="inlineStr">
        <is>
          <t>annual.capital_cashflow.atomic+annual.project_cashflow.period_22</t>
        </is>
      </c>
      <c r="C2285" t="inlineStr">
        <is>
          <t>engine_value</t>
        </is>
      </c>
    </row>
    <row r="2286">
      <c r="A2286" t="inlineStr">
        <is>
          <t>附表10!Z8</t>
        </is>
      </c>
      <c r="B2286" t="inlineStr">
        <is>
          <t>annual.capital_cashflow.atomic+annual.project_cashflow.period_23</t>
        </is>
      </c>
      <c r="C2286" t="inlineStr">
        <is>
          <t>engine_value</t>
        </is>
      </c>
    </row>
    <row r="2287">
      <c r="A2287" t="inlineStr">
        <is>
          <t>附表10!AA8</t>
        </is>
      </c>
      <c r="B2287" t="inlineStr">
        <is>
          <t>annual.capital_cashflow.atomic+annual.project_cashflow.period_24</t>
        </is>
      </c>
      <c r="C2287" t="inlineStr">
        <is>
          <t>engine_value</t>
        </is>
      </c>
    </row>
    <row r="2288">
      <c r="A2288" t="inlineStr">
        <is>
          <t>附表10!AB8</t>
        </is>
      </c>
      <c r="B2288" t="inlineStr">
        <is>
          <t>annual.capital_cashflow.atomic+annual.project_cashflow.period_25</t>
        </is>
      </c>
      <c r="C2288" t="inlineStr">
        <is>
          <t>engine_value</t>
        </is>
      </c>
    </row>
    <row r="2289">
      <c r="A2289" t="inlineStr">
        <is>
          <t>附表10!A9</t>
        </is>
      </c>
      <c r="B2289" t="inlineStr">
        <is>
          <t>annual.capital_cashflow.atomic+annual.project_cashflow.no</t>
        </is>
      </c>
      <c r="C2289" t="inlineStr">
        <is>
          <t>engine_value</t>
        </is>
      </c>
    </row>
    <row r="2290">
      <c r="A2290" t="inlineStr">
        <is>
          <t>附表10!B9</t>
        </is>
      </c>
      <c r="B2290" t="inlineStr">
        <is>
          <t>annual.capital_cashflow.atomic+annual.project_cashflow.item</t>
        </is>
      </c>
      <c r="C2290" t="inlineStr">
        <is>
          <t>engine_value</t>
        </is>
      </c>
    </row>
    <row r="2291">
      <c r="A2291" t="inlineStr">
        <is>
          <t>附表10!C9</t>
        </is>
      </c>
      <c r="B2291" t="inlineStr">
        <is>
          <t>annual.capital_cashflow.atomic+annual.project_cashflow.total</t>
        </is>
      </c>
      <c r="C2291" t="inlineStr">
        <is>
          <t>engine_value</t>
        </is>
      </c>
    </row>
    <row r="2292">
      <c r="A2292" t="inlineStr">
        <is>
          <t>附表10!D9</t>
        </is>
      </c>
      <c r="B2292" t="inlineStr">
        <is>
          <t>annual.capital_cashflow.atomic+annual.project_cashflow.period_1</t>
        </is>
      </c>
      <c r="C2292" t="inlineStr">
        <is>
          <t>engine_value</t>
        </is>
      </c>
    </row>
    <row r="2293">
      <c r="A2293" t="inlineStr">
        <is>
          <t>附表10!E9</t>
        </is>
      </c>
      <c r="B2293" t="inlineStr">
        <is>
          <t>annual.capital_cashflow.atomic+annual.project_cashflow.period_2</t>
        </is>
      </c>
      <c r="C2293" t="inlineStr">
        <is>
          <t>engine_value</t>
        </is>
      </c>
    </row>
    <row r="2294">
      <c r="A2294" t="inlineStr">
        <is>
          <t>附表10!F9</t>
        </is>
      </c>
      <c r="B2294" t="inlineStr">
        <is>
          <t>annual.capital_cashflow.atomic+annual.project_cashflow.period_3</t>
        </is>
      </c>
      <c r="C2294" t="inlineStr">
        <is>
          <t>engine_value</t>
        </is>
      </c>
    </row>
    <row r="2295">
      <c r="A2295" t="inlineStr">
        <is>
          <t>附表10!G9</t>
        </is>
      </c>
      <c r="B2295" t="inlineStr">
        <is>
          <t>annual.capital_cashflow.atomic+annual.project_cashflow.period_4</t>
        </is>
      </c>
      <c r="C2295" t="inlineStr">
        <is>
          <t>engine_value</t>
        </is>
      </c>
    </row>
    <row r="2296">
      <c r="A2296" t="inlineStr">
        <is>
          <t>附表10!H9</t>
        </is>
      </c>
      <c r="B2296" t="inlineStr">
        <is>
          <t>annual.capital_cashflow.atomic+annual.project_cashflow.period_5</t>
        </is>
      </c>
      <c r="C2296" t="inlineStr">
        <is>
          <t>engine_value</t>
        </is>
      </c>
    </row>
    <row r="2297">
      <c r="A2297" t="inlineStr">
        <is>
          <t>附表10!I9</t>
        </is>
      </c>
      <c r="B2297" t="inlineStr">
        <is>
          <t>annual.capital_cashflow.atomic+annual.project_cashflow.period_6</t>
        </is>
      </c>
      <c r="C2297" t="inlineStr">
        <is>
          <t>engine_value</t>
        </is>
      </c>
    </row>
    <row r="2298">
      <c r="A2298" t="inlineStr">
        <is>
          <t>附表10!J9</t>
        </is>
      </c>
      <c r="B2298" t="inlineStr">
        <is>
          <t>annual.capital_cashflow.atomic+annual.project_cashflow.period_7</t>
        </is>
      </c>
      <c r="C2298" t="inlineStr">
        <is>
          <t>engine_value</t>
        </is>
      </c>
    </row>
    <row r="2299">
      <c r="A2299" t="inlineStr">
        <is>
          <t>附表10!K9</t>
        </is>
      </c>
      <c r="B2299" t="inlineStr">
        <is>
          <t>annual.capital_cashflow.atomic+annual.project_cashflow.period_8</t>
        </is>
      </c>
      <c r="C2299" t="inlineStr">
        <is>
          <t>engine_value</t>
        </is>
      </c>
    </row>
    <row r="2300">
      <c r="A2300" t="inlineStr">
        <is>
          <t>附表10!L9</t>
        </is>
      </c>
      <c r="B2300" t="inlineStr">
        <is>
          <t>annual.capital_cashflow.atomic+annual.project_cashflow.period_9</t>
        </is>
      </c>
      <c r="C2300" t="inlineStr">
        <is>
          <t>engine_value</t>
        </is>
      </c>
    </row>
    <row r="2301">
      <c r="A2301" t="inlineStr">
        <is>
          <t>附表10!M9</t>
        </is>
      </c>
      <c r="B2301" t="inlineStr">
        <is>
          <t>annual.capital_cashflow.atomic+annual.project_cashflow.period_10</t>
        </is>
      </c>
      <c r="C2301" t="inlineStr">
        <is>
          <t>engine_value</t>
        </is>
      </c>
    </row>
    <row r="2302">
      <c r="A2302" t="inlineStr">
        <is>
          <t>附表10!N9</t>
        </is>
      </c>
      <c r="B2302" t="inlineStr">
        <is>
          <t>annual.capital_cashflow.atomic+annual.project_cashflow.period_11</t>
        </is>
      </c>
      <c r="C2302" t="inlineStr">
        <is>
          <t>engine_value</t>
        </is>
      </c>
    </row>
    <row r="2303">
      <c r="A2303" t="inlineStr">
        <is>
          <t>附表10!O9</t>
        </is>
      </c>
      <c r="B2303" t="inlineStr">
        <is>
          <t>annual.capital_cashflow.atomic+annual.project_cashflow.period_12</t>
        </is>
      </c>
      <c r="C2303" t="inlineStr">
        <is>
          <t>engine_value</t>
        </is>
      </c>
    </row>
    <row r="2304">
      <c r="A2304" t="inlineStr">
        <is>
          <t>附表10!P9</t>
        </is>
      </c>
      <c r="B2304" t="inlineStr">
        <is>
          <t>annual.capital_cashflow.atomic+annual.project_cashflow.period_13</t>
        </is>
      </c>
      <c r="C2304" t="inlineStr">
        <is>
          <t>engine_value</t>
        </is>
      </c>
    </row>
    <row r="2305">
      <c r="A2305" t="inlineStr">
        <is>
          <t>附表10!Q9</t>
        </is>
      </c>
      <c r="B2305" t="inlineStr">
        <is>
          <t>annual.capital_cashflow.atomic+annual.project_cashflow.period_14</t>
        </is>
      </c>
      <c r="C2305" t="inlineStr">
        <is>
          <t>engine_value</t>
        </is>
      </c>
    </row>
    <row r="2306">
      <c r="A2306" t="inlineStr">
        <is>
          <t>附表10!R9</t>
        </is>
      </c>
      <c r="B2306" t="inlineStr">
        <is>
          <t>annual.capital_cashflow.atomic+annual.project_cashflow.period_15</t>
        </is>
      </c>
      <c r="C2306" t="inlineStr">
        <is>
          <t>engine_value</t>
        </is>
      </c>
    </row>
    <row r="2307">
      <c r="A2307" t="inlineStr">
        <is>
          <t>附表10!S9</t>
        </is>
      </c>
      <c r="B2307" t="inlineStr">
        <is>
          <t>annual.capital_cashflow.atomic+annual.project_cashflow.period_16</t>
        </is>
      </c>
      <c r="C2307" t="inlineStr">
        <is>
          <t>engine_value</t>
        </is>
      </c>
    </row>
    <row r="2308">
      <c r="A2308" t="inlineStr">
        <is>
          <t>附表10!T9</t>
        </is>
      </c>
      <c r="B2308" t="inlineStr">
        <is>
          <t>annual.capital_cashflow.atomic+annual.project_cashflow.period_17</t>
        </is>
      </c>
      <c r="C2308" t="inlineStr">
        <is>
          <t>engine_value</t>
        </is>
      </c>
    </row>
    <row r="2309">
      <c r="A2309" t="inlineStr">
        <is>
          <t>附表10!U9</t>
        </is>
      </c>
      <c r="B2309" t="inlineStr">
        <is>
          <t>annual.capital_cashflow.atomic+annual.project_cashflow.period_18</t>
        </is>
      </c>
      <c r="C2309" t="inlineStr">
        <is>
          <t>engine_value</t>
        </is>
      </c>
    </row>
    <row r="2310">
      <c r="A2310" t="inlineStr">
        <is>
          <t>附表10!V9</t>
        </is>
      </c>
      <c r="B2310" t="inlineStr">
        <is>
          <t>annual.capital_cashflow.atomic+annual.project_cashflow.period_19</t>
        </is>
      </c>
      <c r="C2310" t="inlineStr">
        <is>
          <t>engine_value</t>
        </is>
      </c>
    </row>
    <row r="2311">
      <c r="A2311" t="inlineStr">
        <is>
          <t>附表10!W9</t>
        </is>
      </c>
      <c r="B2311" t="inlineStr">
        <is>
          <t>annual.capital_cashflow.atomic+annual.project_cashflow.period_20</t>
        </is>
      </c>
      <c r="C2311" t="inlineStr">
        <is>
          <t>engine_value</t>
        </is>
      </c>
    </row>
    <row r="2312">
      <c r="A2312" t="inlineStr">
        <is>
          <t>附表10!X9</t>
        </is>
      </c>
      <c r="B2312" t="inlineStr">
        <is>
          <t>annual.capital_cashflow.atomic+annual.project_cashflow.period_21</t>
        </is>
      </c>
      <c r="C2312" t="inlineStr">
        <is>
          <t>engine_value</t>
        </is>
      </c>
    </row>
    <row r="2313">
      <c r="A2313" t="inlineStr">
        <is>
          <t>附表10!Y9</t>
        </is>
      </c>
      <c r="B2313" t="inlineStr">
        <is>
          <t>annual.capital_cashflow.atomic+annual.project_cashflow.period_22</t>
        </is>
      </c>
      <c r="C2313" t="inlineStr">
        <is>
          <t>engine_value</t>
        </is>
      </c>
    </row>
    <row r="2314">
      <c r="A2314" t="inlineStr">
        <is>
          <t>附表10!Z9</t>
        </is>
      </c>
      <c r="B2314" t="inlineStr">
        <is>
          <t>annual.capital_cashflow.atomic+annual.project_cashflow.period_23</t>
        </is>
      </c>
      <c r="C2314" t="inlineStr">
        <is>
          <t>engine_value</t>
        </is>
      </c>
    </row>
    <row r="2315">
      <c r="A2315" t="inlineStr">
        <is>
          <t>附表10!AA9</t>
        </is>
      </c>
      <c r="B2315" t="inlineStr">
        <is>
          <t>annual.capital_cashflow.atomic+annual.project_cashflow.period_24</t>
        </is>
      </c>
      <c r="C2315" t="inlineStr">
        <is>
          <t>engine_value</t>
        </is>
      </c>
    </row>
    <row r="2316">
      <c r="A2316" t="inlineStr">
        <is>
          <t>附表10!AB9</t>
        </is>
      </c>
      <c r="B2316" t="inlineStr">
        <is>
          <t>annual.capital_cashflow.atomic+annual.project_cashflow.period_25</t>
        </is>
      </c>
      <c r="C2316" t="inlineStr">
        <is>
          <t>engine_value</t>
        </is>
      </c>
    </row>
    <row r="2317">
      <c r="A2317" t="inlineStr">
        <is>
          <t>附表10!A10</t>
        </is>
      </c>
      <c r="B2317" t="inlineStr">
        <is>
          <t>annual.capital_cashflow.atomic+annual.project_cashflow.no</t>
        </is>
      </c>
      <c r="C2317" t="inlineStr">
        <is>
          <t>engine_value</t>
        </is>
      </c>
    </row>
    <row r="2318">
      <c r="A2318" t="inlineStr">
        <is>
          <t>附表10!B10</t>
        </is>
      </c>
      <c r="B2318" t="inlineStr">
        <is>
          <t>annual.capital_cashflow.atomic+annual.project_cashflow.item</t>
        </is>
      </c>
      <c r="C2318" t="inlineStr">
        <is>
          <t>engine_value</t>
        </is>
      </c>
    </row>
    <row r="2319">
      <c r="A2319" t="inlineStr">
        <is>
          <t>附表10!C10</t>
        </is>
      </c>
      <c r="B2319" t="inlineStr">
        <is>
          <t>annual.capital_cashflow.atomic+annual.project_cashflow.total</t>
        </is>
      </c>
      <c r="C2319" t="inlineStr">
        <is>
          <t>engine_value</t>
        </is>
      </c>
    </row>
    <row r="2320">
      <c r="A2320" t="inlineStr">
        <is>
          <t>附表10!D10</t>
        </is>
      </c>
      <c r="B2320" t="inlineStr">
        <is>
          <t>annual.capital_cashflow.atomic+annual.project_cashflow.period_1</t>
        </is>
      </c>
      <c r="C2320" t="inlineStr">
        <is>
          <t>engine_value</t>
        </is>
      </c>
    </row>
    <row r="2321">
      <c r="A2321" t="inlineStr">
        <is>
          <t>附表10!E10</t>
        </is>
      </c>
      <c r="B2321" t="inlineStr">
        <is>
          <t>annual.capital_cashflow.atomic+annual.project_cashflow.period_2</t>
        </is>
      </c>
      <c r="C2321" t="inlineStr">
        <is>
          <t>engine_value</t>
        </is>
      </c>
    </row>
    <row r="2322">
      <c r="A2322" t="inlineStr">
        <is>
          <t>附表10!F10</t>
        </is>
      </c>
      <c r="B2322" t="inlineStr">
        <is>
          <t>annual.capital_cashflow.atomic+annual.project_cashflow.period_3</t>
        </is>
      </c>
      <c r="C2322" t="inlineStr">
        <is>
          <t>engine_value</t>
        </is>
      </c>
    </row>
    <row r="2323">
      <c r="A2323" t="inlineStr">
        <is>
          <t>附表10!G10</t>
        </is>
      </c>
      <c r="B2323" t="inlineStr">
        <is>
          <t>annual.capital_cashflow.atomic+annual.project_cashflow.period_4</t>
        </is>
      </c>
      <c r="C2323" t="inlineStr">
        <is>
          <t>engine_value</t>
        </is>
      </c>
    </row>
    <row r="2324">
      <c r="A2324" t="inlineStr">
        <is>
          <t>附表10!H10</t>
        </is>
      </c>
      <c r="B2324" t="inlineStr">
        <is>
          <t>annual.capital_cashflow.atomic+annual.project_cashflow.period_5</t>
        </is>
      </c>
      <c r="C2324" t="inlineStr">
        <is>
          <t>engine_value</t>
        </is>
      </c>
    </row>
    <row r="2325">
      <c r="A2325" t="inlineStr">
        <is>
          <t>附表10!I10</t>
        </is>
      </c>
      <c r="B2325" t="inlineStr">
        <is>
          <t>annual.capital_cashflow.atomic+annual.project_cashflow.period_6</t>
        </is>
      </c>
      <c r="C2325" t="inlineStr">
        <is>
          <t>engine_value</t>
        </is>
      </c>
    </row>
    <row r="2326">
      <c r="A2326" t="inlineStr">
        <is>
          <t>附表10!J10</t>
        </is>
      </c>
      <c r="B2326" t="inlineStr">
        <is>
          <t>annual.capital_cashflow.atomic+annual.project_cashflow.period_7</t>
        </is>
      </c>
      <c r="C2326" t="inlineStr">
        <is>
          <t>engine_value</t>
        </is>
      </c>
    </row>
    <row r="2327">
      <c r="A2327" t="inlineStr">
        <is>
          <t>附表10!K10</t>
        </is>
      </c>
      <c r="B2327" t="inlineStr">
        <is>
          <t>annual.capital_cashflow.atomic+annual.project_cashflow.period_8</t>
        </is>
      </c>
      <c r="C2327" t="inlineStr">
        <is>
          <t>engine_value</t>
        </is>
      </c>
    </row>
    <row r="2328">
      <c r="A2328" t="inlineStr">
        <is>
          <t>附表10!L10</t>
        </is>
      </c>
      <c r="B2328" t="inlineStr">
        <is>
          <t>annual.capital_cashflow.atomic+annual.project_cashflow.period_9</t>
        </is>
      </c>
      <c r="C2328" t="inlineStr">
        <is>
          <t>engine_value</t>
        </is>
      </c>
    </row>
    <row r="2329">
      <c r="A2329" t="inlineStr">
        <is>
          <t>附表10!M10</t>
        </is>
      </c>
      <c r="B2329" t="inlineStr">
        <is>
          <t>annual.capital_cashflow.atomic+annual.project_cashflow.period_10</t>
        </is>
      </c>
      <c r="C2329" t="inlineStr">
        <is>
          <t>engine_value</t>
        </is>
      </c>
    </row>
    <row r="2330">
      <c r="A2330" t="inlineStr">
        <is>
          <t>附表10!N10</t>
        </is>
      </c>
      <c r="B2330" t="inlineStr">
        <is>
          <t>annual.capital_cashflow.atomic+annual.project_cashflow.period_11</t>
        </is>
      </c>
      <c r="C2330" t="inlineStr">
        <is>
          <t>engine_value</t>
        </is>
      </c>
    </row>
    <row r="2331">
      <c r="A2331" t="inlineStr">
        <is>
          <t>附表10!O10</t>
        </is>
      </c>
      <c r="B2331" t="inlineStr">
        <is>
          <t>annual.capital_cashflow.atomic+annual.project_cashflow.period_12</t>
        </is>
      </c>
      <c r="C2331" t="inlineStr">
        <is>
          <t>engine_value</t>
        </is>
      </c>
    </row>
    <row r="2332">
      <c r="A2332" t="inlineStr">
        <is>
          <t>附表10!P10</t>
        </is>
      </c>
      <c r="B2332" t="inlineStr">
        <is>
          <t>annual.capital_cashflow.atomic+annual.project_cashflow.period_13</t>
        </is>
      </c>
      <c r="C2332" t="inlineStr">
        <is>
          <t>engine_value</t>
        </is>
      </c>
    </row>
    <row r="2333">
      <c r="A2333" t="inlineStr">
        <is>
          <t>附表10!Q10</t>
        </is>
      </c>
      <c r="B2333" t="inlineStr">
        <is>
          <t>annual.capital_cashflow.atomic+annual.project_cashflow.period_14</t>
        </is>
      </c>
      <c r="C2333" t="inlineStr">
        <is>
          <t>engine_value</t>
        </is>
      </c>
    </row>
    <row r="2334">
      <c r="A2334" t="inlineStr">
        <is>
          <t>附表10!R10</t>
        </is>
      </c>
      <c r="B2334" t="inlineStr">
        <is>
          <t>annual.capital_cashflow.atomic+annual.project_cashflow.period_15</t>
        </is>
      </c>
      <c r="C2334" t="inlineStr">
        <is>
          <t>engine_value</t>
        </is>
      </c>
    </row>
    <row r="2335">
      <c r="A2335" t="inlineStr">
        <is>
          <t>附表10!S10</t>
        </is>
      </c>
      <c r="B2335" t="inlineStr">
        <is>
          <t>annual.capital_cashflow.atomic+annual.project_cashflow.period_16</t>
        </is>
      </c>
      <c r="C2335" t="inlineStr">
        <is>
          <t>engine_value</t>
        </is>
      </c>
    </row>
    <row r="2336">
      <c r="A2336" t="inlineStr">
        <is>
          <t>附表10!T10</t>
        </is>
      </c>
      <c r="B2336" t="inlineStr">
        <is>
          <t>annual.capital_cashflow.atomic+annual.project_cashflow.period_17</t>
        </is>
      </c>
      <c r="C2336" t="inlineStr">
        <is>
          <t>engine_value</t>
        </is>
      </c>
    </row>
    <row r="2337">
      <c r="A2337" t="inlineStr">
        <is>
          <t>附表10!U10</t>
        </is>
      </c>
      <c r="B2337" t="inlineStr">
        <is>
          <t>annual.capital_cashflow.atomic+annual.project_cashflow.period_18</t>
        </is>
      </c>
      <c r="C2337" t="inlineStr">
        <is>
          <t>engine_value</t>
        </is>
      </c>
    </row>
    <row r="2338">
      <c r="A2338" t="inlineStr">
        <is>
          <t>附表10!V10</t>
        </is>
      </c>
      <c r="B2338" t="inlineStr">
        <is>
          <t>annual.capital_cashflow.atomic+annual.project_cashflow.period_19</t>
        </is>
      </c>
      <c r="C2338" t="inlineStr">
        <is>
          <t>engine_value</t>
        </is>
      </c>
    </row>
    <row r="2339">
      <c r="A2339" t="inlineStr">
        <is>
          <t>附表10!W10</t>
        </is>
      </c>
      <c r="B2339" t="inlineStr">
        <is>
          <t>annual.capital_cashflow.atomic+annual.project_cashflow.period_20</t>
        </is>
      </c>
      <c r="C2339" t="inlineStr">
        <is>
          <t>engine_value</t>
        </is>
      </c>
    </row>
    <row r="2340">
      <c r="A2340" t="inlineStr">
        <is>
          <t>附表10!X10</t>
        </is>
      </c>
      <c r="B2340" t="inlineStr">
        <is>
          <t>annual.capital_cashflow.atomic+annual.project_cashflow.period_21</t>
        </is>
      </c>
      <c r="C2340" t="inlineStr">
        <is>
          <t>engine_value</t>
        </is>
      </c>
    </row>
    <row r="2341">
      <c r="A2341" t="inlineStr">
        <is>
          <t>附表10!Y10</t>
        </is>
      </c>
      <c r="B2341" t="inlineStr">
        <is>
          <t>annual.capital_cashflow.atomic+annual.project_cashflow.period_22</t>
        </is>
      </c>
      <c r="C2341" t="inlineStr">
        <is>
          <t>engine_value</t>
        </is>
      </c>
    </row>
    <row r="2342">
      <c r="A2342" t="inlineStr">
        <is>
          <t>附表10!Z10</t>
        </is>
      </c>
      <c r="B2342" t="inlineStr">
        <is>
          <t>annual.capital_cashflow.atomic+annual.project_cashflow.period_23</t>
        </is>
      </c>
      <c r="C2342" t="inlineStr">
        <is>
          <t>engine_value</t>
        </is>
      </c>
    </row>
    <row r="2343">
      <c r="A2343" t="inlineStr">
        <is>
          <t>附表10!AA10</t>
        </is>
      </c>
      <c r="B2343" t="inlineStr">
        <is>
          <t>annual.capital_cashflow.atomic+annual.project_cashflow.period_24</t>
        </is>
      </c>
      <c r="C2343" t="inlineStr">
        <is>
          <t>engine_value</t>
        </is>
      </c>
    </row>
    <row r="2344">
      <c r="A2344" t="inlineStr">
        <is>
          <t>附表10!AB10</t>
        </is>
      </c>
      <c r="B2344" t="inlineStr">
        <is>
          <t>annual.capital_cashflow.atomic+annual.project_cashflow.period_25</t>
        </is>
      </c>
      <c r="C2344" t="inlineStr">
        <is>
          <t>engine_value</t>
        </is>
      </c>
    </row>
    <row r="2345">
      <c r="A2345" t="inlineStr">
        <is>
          <t>附表10!A11</t>
        </is>
      </c>
      <c r="B2345" t="inlineStr">
        <is>
          <t>annual.capital_cashflow.atomic+annual.project_cashflow.no</t>
        </is>
      </c>
      <c r="C2345" t="inlineStr">
        <is>
          <t>engine_value</t>
        </is>
      </c>
    </row>
    <row r="2346">
      <c r="A2346" t="inlineStr">
        <is>
          <t>附表10!B11</t>
        </is>
      </c>
      <c r="B2346" t="inlineStr">
        <is>
          <t>annual.capital_cashflow.atomic+annual.project_cashflow.item</t>
        </is>
      </c>
      <c r="C2346" t="inlineStr">
        <is>
          <t>engine_value</t>
        </is>
      </c>
    </row>
    <row r="2347">
      <c r="A2347" t="inlineStr">
        <is>
          <t>附表10!C11</t>
        </is>
      </c>
      <c r="B2347" t="inlineStr">
        <is>
          <t>annual.capital_cashflow.atomic+annual.project_cashflow.total</t>
        </is>
      </c>
      <c r="C2347" t="inlineStr">
        <is>
          <t>engine_value</t>
        </is>
      </c>
    </row>
    <row r="2348">
      <c r="A2348" t="inlineStr">
        <is>
          <t>附表10!D11</t>
        </is>
      </c>
      <c r="B2348" t="inlineStr">
        <is>
          <t>annual.capital_cashflow.atomic+annual.project_cashflow.period_1</t>
        </is>
      </c>
      <c r="C2348" t="inlineStr">
        <is>
          <t>engine_value</t>
        </is>
      </c>
    </row>
    <row r="2349">
      <c r="A2349" t="inlineStr">
        <is>
          <t>附表10!E11</t>
        </is>
      </c>
      <c r="B2349" t="inlineStr">
        <is>
          <t>annual.capital_cashflow.atomic+annual.project_cashflow.period_2</t>
        </is>
      </c>
      <c r="C2349" t="inlineStr">
        <is>
          <t>engine_value</t>
        </is>
      </c>
    </row>
    <row r="2350">
      <c r="A2350" t="inlineStr">
        <is>
          <t>附表10!F11</t>
        </is>
      </c>
      <c r="B2350" t="inlineStr">
        <is>
          <t>annual.capital_cashflow.atomic+annual.project_cashflow.period_3</t>
        </is>
      </c>
      <c r="C2350" t="inlineStr">
        <is>
          <t>engine_value</t>
        </is>
      </c>
    </row>
    <row r="2351">
      <c r="A2351" t="inlineStr">
        <is>
          <t>附表10!G11</t>
        </is>
      </c>
      <c r="B2351" t="inlineStr">
        <is>
          <t>annual.capital_cashflow.atomic+annual.project_cashflow.period_4</t>
        </is>
      </c>
      <c r="C2351" t="inlineStr">
        <is>
          <t>engine_value</t>
        </is>
      </c>
    </row>
    <row r="2352">
      <c r="A2352" t="inlineStr">
        <is>
          <t>附表10!H11</t>
        </is>
      </c>
      <c r="B2352" t="inlineStr">
        <is>
          <t>annual.capital_cashflow.atomic+annual.project_cashflow.period_5</t>
        </is>
      </c>
      <c r="C2352" t="inlineStr">
        <is>
          <t>engine_value</t>
        </is>
      </c>
    </row>
    <row r="2353">
      <c r="A2353" t="inlineStr">
        <is>
          <t>附表10!I11</t>
        </is>
      </c>
      <c r="B2353" t="inlineStr">
        <is>
          <t>annual.capital_cashflow.atomic+annual.project_cashflow.period_6</t>
        </is>
      </c>
      <c r="C2353" t="inlineStr">
        <is>
          <t>engine_value</t>
        </is>
      </c>
    </row>
    <row r="2354">
      <c r="A2354" t="inlineStr">
        <is>
          <t>附表10!J11</t>
        </is>
      </c>
      <c r="B2354" t="inlineStr">
        <is>
          <t>annual.capital_cashflow.atomic+annual.project_cashflow.period_7</t>
        </is>
      </c>
      <c r="C2354" t="inlineStr">
        <is>
          <t>engine_value</t>
        </is>
      </c>
    </row>
    <row r="2355">
      <c r="A2355" t="inlineStr">
        <is>
          <t>附表10!K11</t>
        </is>
      </c>
      <c r="B2355" t="inlineStr">
        <is>
          <t>annual.capital_cashflow.atomic+annual.project_cashflow.period_8</t>
        </is>
      </c>
      <c r="C2355" t="inlineStr">
        <is>
          <t>engine_value</t>
        </is>
      </c>
    </row>
    <row r="2356">
      <c r="A2356" t="inlineStr">
        <is>
          <t>附表10!L11</t>
        </is>
      </c>
      <c r="B2356" t="inlineStr">
        <is>
          <t>annual.capital_cashflow.atomic+annual.project_cashflow.period_9</t>
        </is>
      </c>
      <c r="C2356" t="inlineStr">
        <is>
          <t>engine_value</t>
        </is>
      </c>
    </row>
    <row r="2357">
      <c r="A2357" t="inlineStr">
        <is>
          <t>附表10!M11</t>
        </is>
      </c>
      <c r="B2357" t="inlineStr">
        <is>
          <t>annual.capital_cashflow.atomic+annual.project_cashflow.period_10</t>
        </is>
      </c>
      <c r="C2357" t="inlineStr">
        <is>
          <t>engine_value</t>
        </is>
      </c>
    </row>
    <row r="2358">
      <c r="A2358" t="inlineStr">
        <is>
          <t>附表10!N11</t>
        </is>
      </c>
      <c r="B2358" t="inlineStr">
        <is>
          <t>annual.capital_cashflow.atomic+annual.project_cashflow.period_11</t>
        </is>
      </c>
      <c r="C2358" t="inlineStr">
        <is>
          <t>engine_value</t>
        </is>
      </c>
    </row>
    <row r="2359">
      <c r="A2359" t="inlineStr">
        <is>
          <t>附表10!O11</t>
        </is>
      </c>
      <c r="B2359" t="inlineStr">
        <is>
          <t>annual.capital_cashflow.atomic+annual.project_cashflow.period_12</t>
        </is>
      </c>
      <c r="C2359" t="inlineStr">
        <is>
          <t>engine_value</t>
        </is>
      </c>
    </row>
    <row r="2360">
      <c r="A2360" t="inlineStr">
        <is>
          <t>附表10!P11</t>
        </is>
      </c>
      <c r="B2360" t="inlineStr">
        <is>
          <t>annual.capital_cashflow.atomic+annual.project_cashflow.period_13</t>
        </is>
      </c>
      <c r="C2360" t="inlineStr">
        <is>
          <t>engine_value</t>
        </is>
      </c>
    </row>
    <row r="2361">
      <c r="A2361" t="inlineStr">
        <is>
          <t>附表10!Q11</t>
        </is>
      </c>
      <c r="B2361" t="inlineStr">
        <is>
          <t>annual.capital_cashflow.atomic+annual.project_cashflow.period_14</t>
        </is>
      </c>
      <c r="C2361" t="inlineStr">
        <is>
          <t>engine_value</t>
        </is>
      </c>
    </row>
    <row r="2362">
      <c r="A2362" t="inlineStr">
        <is>
          <t>附表10!R11</t>
        </is>
      </c>
      <c r="B2362" t="inlineStr">
        <is>
          <t>annual.capital_cashflow.atomic+annual.project_cashflow.period_15</t>
        </is>
      </c>
      <c r="C2362" t="inlineStr">
        <is>
          <t>engine_value</t>
        </is>
      </c>
    </row>
    <row r="2363">
      <c r="A2363" t="inlineStr">
        <is>
          <t>附表10!S11</t>
        </is>
      </c>
      <c r="B2363" t="inlineStr">
        <is>
          <t>annual.capital_cashflow.atomic+annual.project_cashflow.period_16</t>
        </is>
      </c>
      <c r="C2363" t="inlineStr">
        <is>
          <t>engine_value</t>
        </is>
      </c>
    </row>
    <row r="2364">
      <c r="A2364" t="inlineStr">
        <is>
          <t>附表10!T11</t>
        </is>
      </c>
      <c r="B2364" t="inlineStr">
        <is>
          <t>annual.capital_cashflow.atomic+annual.project_cashflow.period_17</t>
        </is>
      </c>
      <c r="C2364" t="inlineStr">
        <is>
          <t>engine_value</t>
        </is>
      </c>
    </row>
    <row r="2365">
      <c r="A2365" t="inlineStr">
        <is>
          <t>附表10!U11</t>
        </is>
      </c>
      <c r="B2365" t="inlineStr">
        <is>
          <t>annual.capital_cashflow.atomic+annual.project_cashflow.period_18</t>
        </is>
      </c>
      <c r="C2365" t="inlineStr">
        <is>
          <t>engine_value</t>
        </is>
      </c>
    </row>
    <row r="2366">
      <c r="A2366" t="inlineStr">
        <is>
          <t>附表10!V11</t>
        </is>
      </c>
      <c r="B2366" t="inlineStr">
        <is>
          <t>annual.capital_cashflow.atomic+annual.project_cashflow.period_19</t>
        </is>
      </c>
      <c r="C2366" t="inlineStr">
        <is>
          <t>engine_value</t>
        </is>
      </c>
    </row>
    <row r="2367">
      <c r="A2367" t="inlineStr">
        <is>
          <t>附表10!W11</t>
        </is>
      </c>
      <c r="B2367" t="inlineStr">
        <is>
          <t>annual.capital_cashflow.atomic+annual.project_cashflow.period_20</t>
        </is>
      </c>
      <c r="C2367" t="inlineStr">
        <is>
          <t>engine_value</t>
        </is>
      </c>
    </row>
    <row r="2368">
      <c r="A2368" t="inlineStr">
        <is>
          <t>附表10!X11</t>
        </is>
      </c>
      <c r="B2368" t="inlineStr">
        <is>
          <t>annual.capital_cashflow.atomic+annual.project_cashflow.period_21</t>
        </is>
      </c>
      <c r="C2368" t="inlineStr">
        <is>
          <t>engine_value</t>
        </is>
      </c>
    </row>
    <row r="2369">
      <c r="A2369" t="inlineStr">
        <is>
          <t>附表10!Y11</t>
        </is>
      </c>
      <c r="B2369" t="inlineStr">
        <is>
          <t>annual.capital_cashflow.atomic+annual.project_cashflow.period_22</t>
        </is>
      </c>
      <c r="C2369" t="inlineStr">
        <is>
          <t>engine_value</t>
        </is>
      </c>
    </row>
    <row r="2370">
      <c r="A2370" t="inlineStr">
        <is>
          <t>附表10!Z11</t>
        </is>
      </c>
      <c r="B2370" t="inlineStr">
        <is>
          <t>annual.capital_cashflow.atomic+annual.project_cashflow.period_23</t>
        </is>
      </c>
      <c r="C2370" t="inlineStr">
        <is>
          <t>engine_value</t>
        </is>
      </c>
    </row>
    <row r="2371">
      <c r="A2371" t="inlineStr">
        <is>
          <t>附表10!AA11</t>
        </is>
      </c>
      <c r="B2371" t="inlineStr">
        <is>
          <t>annual.capital_cashflow.atomic+annual.project_cashflow.period_24</t>
        </is>
      </c>
      <c r="C2371" t="inlineStr">
        <is>
          <t>engine_value</t>
        </is>
      </c>
    </row>
    <row r="2372">
      <c r="A2372" t="inlineStr">
        <is>
          <t>附表10!AB11</t>
        </is>
      </c>
      <c r="B2372" t="inlineStr">
        <is>
          <t>annual.capital_cashflow.atomic+annual.project_cashflow.period_25</t>
        </is>
      </c>
      <c r="C2372" t="inlineStr">
        <is>
          <t>engine_value</t>
        </is>
      </c>
    </row>
    <row r="2373">
      <c r="A2373" t="inlineStr">
        <is>
          <t>附表10!A12</t>
        </is>
      </c>
      <c r="B2373" t="inlineStr">
        <is>
          <t>annual.capital_cashflow.atomic+annual.project_cashflow.no</t>
        </is>
      </c>
      <c r="C2373" t="inlineStr">
        <is>
          <t>engine_value</t>
        </is>
      </c>
    </row>
    <row r="2374">
      <c r="A2374" t="inlineStr">
        <is>
          <t>附表10!B12</t>
        </is>
      </c>
      <c r="B2374" t="inlineStr">
        <is>
          <t>annual.capital_cashflow.atomic+annual.project_cashflow.item</t>
        </is>
      </c>
      <c r="C2374" t="inlineStr">
        <is>
          <t>engine_value</t>
        </is>
      </c>
    </row>
    <row r="2375">
      <c r="A2375" t="inlineStr">
        <is>
          <t>附表10!C12</t>
        </is>
      </c>
      <c r="B2375" t="inlineStr">
        <is>
          <t>annual.capital_cashflow.atomic+annual.project_cashflow.total</t>
        </is>
      </c>
      <c r="C2375" t="inlineStr">
        <is>
          <t>engine_value</t>
        </is>
      </c>
    </row>
    <row r="2376">
      <c r="A2376" t="inlineStr">
        <is>
          <t>附表10!D12</t>
        </is>
      </c>
      <c r="B2376" t="inlineStr">
        <is>
          <t>annual.capital_cashflow.atomic+annual.project_cashflow.period_1</t>
        </is>
      </c>
      <c r="C2376" t="inlineStr">
        <is>
          <t>engine_value</t>
        </is>
      </c>
    </row>
    <row r="2377">
      <c r="A2377" t="inlineStr">
        <is>
          <t>附表10!E12</t>
        </is>
      </c>
      <c r="B2377" t="inlineStr">
        <is>
          <t>annual.capital_cashflow.atomic+annual.project_cashflow.period_2</t>
        </is>
      </c>
      <c r="C2377" t="inlineStr">
        <is>
          <t>engine_value</t>
        </is>
      </c>
    </row>
    <row r="2378">
      <c r="A2378" t="inlineStr">
        <is>
          <t>附表10!F12</t>
        </is>
      </c>
      <c r="B2378" t="inlineStr">
        <is>
          <t>annual.capital_cashflow.atomic+annual.project_cashflow.period_3</t>
        </is>
      </c>
      <c r="C2378" t="inlineStr">
        <is>
          <t>engine_value</t>
        </is>
      </c>
    </row>
    <row r="2379">
      <c r="A2379" t="inlineStr">
        <is>
          <t>附表10!G12</t>
        </is>
      </c>
      <c r="B2379" t="inlineStr">
        <is>
          <t>annual.capital_cashflow.atomic+annual.project_cashflow.period_4</t>
        </is>
      </c>
      <c r="C2379" t="inlineStr">
        <is>
          <t>engine_value</t>
        </is>
      </c>
    </row>
    <row r="2380">
      <c r="A2380" t="inlineStr">
        <is>
          <t>附表10!H12</t>
        </is>
      </c>
      <c r="B2380" t="inlineStr">
        <is>
          <t>annual.capital_cashflow.atomic+annual.project_cashflow.period_5</t>
        </is>
      </c>
      <c r="C2380" t="inlineStr">
        <is>
          <t>engine_value</t>
        </is>
      </c>
    </row>
    <row r="2381">
      <c r="A2381" t="inlineStr">
        <is>
          <t>附表10!I12</t>
        </is>
      </c>
      <c r="B2381" t="inlineStr">
        <is>
          <t>annual.capital_cashflow.atomic+annual.project_cashflow.period_6</t>
        </is>
      </c>
      <c r="C2381" t="inlineStr">
        <is>
          <t>engine_value</t>
        </is>
      </c>
    </row>
    <row r="2382">
      <c r="A2382" t="inlineStr">
        <is>
          <t>附表10!J12</t>
        </is>
      </c>
      <c r="B2382" t="inlineStr">
        <is>
          <t>annual.capital_cashflow.atomic+annual.project_cashflow.period_7</t>
        </is>
      </c>
      <c r="C2382" t="inlineStr">
        <is>
          <t>engine_value</t>
        </is>
      </c>
    </row>
    <row r="2383">
      <c r="A2383" t="inlineStr">
        <is>
          <t>附表10!K12</t>
        </is>
      </c>
      <c r="B2383" t="inlineStr">
        <is>
          <t>annual.capital_cashflow.atomic+annual.project_cashflow.period_8</t>
        </is>
      </c>
      <c r="C2383" t="inlineStr">
        <is>
          <t>engine_value</t>
        </is>
      </c>
    </row>
    <row r="2384">
      <c r="A2384" t="inlineStr">
        <is>
          <t>附表10!L12</t>
        </is>
      </c>
      <c r="B2384" t="inlineStr">
        <is>
          <t>annual.capital_cashflow.atomic+annual.project_cashflow.period_9</t>
        </is>
      </c>
      <c r="C2384" t="inlineStr">
        <is>
          <t>engine_value</t>
        </is>
      </c>
    </row>
    <row r="2385">
      <c r="A2385" t="inlineStr">
        <is>
          <t>附表10!M12</t>
        </is>
      </c>
      <c r="B2385" t="inlineStr">
        <is>
          <t>annual.capital_cashflow.atomic+annual.project_cashflow.period_10</t>
        </is>
      </c>
      <c r="C2385" t="inlineStr">
        <is>
          <t>engine_value</t>
        </is>
      </c>
    </row>
    <row r="2386">
      <c r="A2386" t="inlineStr">
        <is>
          <t>附表10!N12</t>
        </is>
      </c>
      <c r="B2386" t="inlineStr">
        <is>
          <t>annual.capital_cashflow.atomic+annual.project_cashflow.period_11</t>
        </is>
      </c>
      <c r="C2386" t="inlineStr">
        <is>
          <t>engine_value</t>
        </is>
      </c>
    </row>
    <row r="2387">
      <c r="A2387" t="inlineStr">
        <is>
          <t>附表10!O12</t>
        </is>
      </c>
      <c r="B2387" t="inlineStr">
        <is>
          <t>annual.capital_cashflow.atomic+annual.project_cashflow.period_12</t>
        </is>
      </c>
      <c r="C2387" t="inlineStr">
        <is>
          <t>engine_value</t>
        </is>
      </c>
    </row>
    <row r="2388">
      <c r="A2388" t="inlineStr">
        <is>
          <t>附表10!P12</t>
        </is>
      </c>
      <c r="B2388" t="inlineStr">
        <is>
          <t>annual.capital_cashflow.atomic+annual.project_cashflow.period_13</t>
        </is>
      </c>
      <c r="C2388" t="inlineStr">
        <is>
          <t>engine_value</t>
        </is>
      </c>
    </row>
    <row r="2389">
      <c r="A2389" t="inlineStr">
        <is>
          <t>附表10!Q12</t>
        </is>
      </c>
      <c r="B2389" t="inlineStr">
        <is>
          <t>annual.capital_cashflow.atomic+annual.project_cashflow.period_14</t>
        </is>
      </c>
      <c r="C2389" t="inlineStr">
        <is>
          <t>engine_value</t>
        </is>
      </c>
    </row>
    <row r="2390">
      <c r="A2390" t="inlineStr">
        <is>
          <t>附表10!R12</t>
        </is>
      </c>
      <c r="B2390" t="inlineStr">
        <is>
          <t>annual.capital_cashflow.atomic+annual.project_cashflow.period_15</t>
        </is>
      </c>
      <c r="C2390" t="inlineStr">
        <is>
          <t>engine_value</t>
        </is>
      </c>
    </row>
    <row r="2391">
      <c r="A2391" t="inlineStr">
        <is>
          <t>附表10!S12</t>
        </is>
      </c>
      <c r="B2391" t="inlineStr">
        <is>
          <t>annual.capital_cashflow.atomic+annual.project_cashflow.period_16</t>
        </is>
      </c>
      <c r="C2391" t="inlineStr">
        <is>
          <t>engine_value</t>
        </is>
      </c>
    </row>
    <row r="2392">
      <c r="A2392" t="inlineStr">
        <is>
          <t>附表10!T12</t>
        </is>
      </c>
      <c r="B2392" t="inlineStr">
        <is>
          <t>annual.capital_cashflow.atomic+annual.project_cashflow.period_17</t>
        </is>
      </c>
      <c r="C2392" t="inlineStr">
        <is>
          <t>engine_value</t>
        </is>
      </c>
    </row>
    <row r="2393">
      <c r="A2393" t="inlineStr">
        <is>
          <t>附表10!U12</t>
        </is>
      </c>
      <c r="B2393" t="inlineStr">
        <is>
          <t>annual.capital_cashflow.atomic+annual.project_cashflow.period_18</t>
        </is>
      </c>
      <c r="C2393" t="inlineStr">
        <is>
          <t>engine_value</t>
        </is>
      </c>
    </row>
    <row r="2394">
      <c r="A2394" t="inlineStr">
        <is>
          <t>附表10!V12</t>
        </is>
      </c>
      <c r="B2394" t="inlineStr">
        <is>
          <t>annual.capital_cashflow.atomic+annual.project_cashflow.period_19</t>
        </is>
      </c>
      <c r="C2394" t="inlineStr">
        <is>
          <t>engine_value</t>
        </is>
      </c>
    </row>
    <row r="2395">
      <c r="A2395" t="inlineStr">
        <is>
          <t>附表10!W12</t>
        </is>
      </c>
      <c r="B2395" t="inlineStr">
        <is>
          <t>annual.capital_cashflow.atomic+annual.project_cashflow.period_20</t>
        </is>
      </c>
      <c r="C2395" t="inlineStr">
        <is>
          <t>engine_value</t>
        </is>
      </c>
    </row>
    <row r="2396">
      <c r="A2396" t="inlineStr">
        <is>
          <t>附表10!X12</t>
        </is>
      </c>
      <c r="B2396" t="inlineStr">
        <is>
          <t>annual.capital_cashflow.atomic+annual.project_cashflow.period_21</t>
        </is>
      </c>
      <c r="C2396" t="inlineStr">
        <is>
          <t>engine_value</t>
        </is>
      </c>
    </row>
    <row r="2397">
      <c r="A2397" t="inlineStr">
        <is>
          <t>附表10!Y12</t>
        </is>
      </c>
      <c r="B2397" t="inlineStr">
        <is>
          <t>annual.capital_cashflow.atomic+annual.project_cashflow.period_22</t>
        </is>
      </c>
      <c r="C2397" t="inlineStr">
        <is>
          <t>engine_value</t>
        </is>
      </c>
    </row>
    <row r="2398">
      <c r="A2398" t="inlineStr">
        <is>
          <t>附表10!Z12</t>
        </is>
      </c>
      <c r="B2398" t="inlineStr">
        <is>
          <t>annual.capital_cashflow.atomic+annual.project_cashflow.period_23</t>
        </is>
      </c>
      <c r="C2398" t="inlineStr">
        <is>
          <t>engine_value</t>
        </is>
      </c>
    </row>
    <row r="2399">
      <c r="A2399" t="inlineStr">
        <is>
          <t>附表10!AA12</t>
        </is>
      </c>
      <c r="B2399" t="inlineStr">
        <is>
          <t>annual.capital_cashflow.atomic+annual.project_cashflow.period_24</t>
        </is>
      </c>
      <c r="C2399" t="inlineStr">
        <is>
          <t>engine_value</t>
        </is>
      </c>
    </row>
    <row r="2400">
      <c r="A2400" t="inlineStr">
        <is>
          <t>附表10!AB12</t>
        </is>
      </c>
      <c r="B2400" t="inlineStr">
        <is>
          <t>annual.capital_cashflow.atomic+annual.project_cashflow.period_25</t>
        </is>
      </c>
      <c r="C2400" t="inlineStr">
        <is>
          <t>engine_value</t>
        </is>
      </c>
    </row>
    <row r="2401">
      <c r="A2401" t="inlineStr">
        <is>
          <t>附表10!A13</t>
        </is>
      </c>
      <c r="B2401" t="inlineStr">
        <is>
          <t>annual.capital_cashflow.atomic+annual.project_cashflow.no</t>
        </is>
      </c>
      <c r="C2401" t="inlineStr">
        <is>
          <t>engine_value</t>
        </is>
      </c>
    </row>
    <row r="2402">
      <c r="A2402" t="inlineStr">
        <is>
          <t>附表10!B13</t>
        </is>
      </c>
      <c r="B2402" t="inlineStr">
        <is>
          <t>annual.capital_cashflow.atomic+annual.project_cashflow.item</t>
        </is>
      </c>
      <c r="C2402" t="inlineStr">
        <is>
          <t>engine_value</t>
        </is>
      </c>
    </row>
    <row r="2403">
      <c r="A2403" t="inlineStr">
        <is>
          <t>附表10!C13</t>
        </is>
      </c>
      <c r="B2403" t="inlineStr">
        <is>
          <t>annual.capital_cashflow.atomic+annual.project_cashflow.total</t>
        </is>
      </c>
      <c r="C2403" t="inlineStr">
        <is>
          <t>engine_value</t>
        </is>
      </c>
    </row>
    <row r="2404">
      <c r="A2404" t="inlineStr">
        <is>
          <t>附表10!D13</t>
        </is>
      </c>
      <c r="B2404" t="inlineStr">
        <is>
          <t>annual.capital_cashflow.atomic+annual.project_cashflow.period_1</t>
        </is>
      </c>
      <c r="C2404" t="inlineStr">
        <is>
          <t>engine_value</t>
        </is>
      </c>
    </row>
    <row r="2405">
      <c r="A2405" t="inlineStr">
        <is>
          <t>附表10!E13</t>
        </is>
      </c>
      <c r="B2405" t="inlineStr">
        <is>
          <t>annual.capital_cashflow.atomic+annual.project_cashflow.period_2</t>
        </is>
      </c>
      <c r="C2405" t="inlineStr">
        <is>
          <t>engine_value</t>
        </is>
      </c>
    </row>
    <row r="2406">
      <c r="A2406" t="inlineStr">
        <is>
          <t>附表10!F13</t>
        </is>
      </c>
      <c r="B2406" t="inlineStr">
        <is>
          <t>annual.capital_cashflow.atomic+annual.project_cashflow.period_3</t>
        </is>
      </c>
      <c r="C2406" t="inlineStr">
        <is>
          <t>engine_value</t>
        </is>
      </c>
    </row>
    <row r="2407">
      <c r="A2407" t="inlineStr">
        <is>
          <t>附表10!G13</t>
        </is>
      </c>
      <c r="B2407" t="inlineStr">
        <is>
          <t>annual.capital_cashflow.atomic+annual.project_cashflow.period_4</t>
        </is>
      </c>
      <c r="C2407" t="inlineStr">
        <is>
          <t>engine_value</t>
        </is>
      </c>
    </row>
    <row r="2408">
      <c r="A2408" t="inlineStr">
        <is>
          <t>附表10!H13</t>
        </is>
      </c>
      <c r="B2408" t="inlineStr">
        <is>
          <t>annual.capital_cashflow.atomic+annual.project_cashflow.period_5</t>
        </is>
      </c>
      <c r="C2408" t="inlineStr">
        <is>
          <t>engine_value</t>
        </is>
      </c>
    </row>
    <row r="2409">
      <c r="A2409" t="inlineStr">
        <is>
          <t>附表10!I13</t>
        </is>
      </c>
      <c r="B2409" t="inlineStr">
        <is>
          <t>annual.capital_cashflow.atomic+annual.project_cashflow.period_6</t>
        </is>
      </c>
      <c r="C2409" t="inlineStr">
        <is>
          <t>engine_value</t>
        </is>
      </c>
    </row>
    <row r="2410">
      <c r="A2410" t="inlineStr">
        <is>
          <t>附表10!J13</t>
        </is>
      </c>
      <c r="B2410" t="inlineStr">
        <is>
          <t>annual.capital_cashflow.atomic+annual.project_cashflow.period_7</t>
        </is>
      </c>
      <c r="C2410" t="inlineStr">
        <is>
          <t>engine_value</t>
        </is>
      </c>
    </row>
    <row r="2411">
      <c r="A2411" t="inlineStr">
        <is>
          <t>附表10!K13</t>
        </is>
      </c>
      <c r="B2411" t="inlineStr">
        <is>
          <t>annual.capital_cashflow.atomic+annual.project_cashflow.period_8</t>
        </is>
      </c>
      <c r="C2411" t="inlineStr">
        <is>
          <t>engine_value</t>
        </is>
      </c>
    </row>
    <row r="2412">
      <c r="A2412" t="inlineStr">
        <is>
          <t>附表10!L13</t>
        </is>
      </c>
      <c r="B2412" t="inlineStr">
        <is>
          <t>annual.capital_cashflow.atomic+annual.project_cashflow.period_9</t>
        </is>
      </c>
      <c r="C2412" t="inlineStr">
        <is>
          <t>engine_value</t>
        </is>
      </c>
    </row>
    <row r="2413">
      <c r="A2413" t="inlineStr">
        <is>
          <t>附表10!M13</t>
        </is>
      </c>
      <c r="B2413" t="inlineStr">
        <is>
          <t>annual.capital_cashflow.atomic+annual.project_cashflow.period_10</t>
        </is>
      </c>
      <c r="C2413" t="inlineStr">
        <is>
          <t>engine_value</t>
        </is>
      </c>
    </row>
    <row r="2414">
      <c r="A2414" t="inlineStr">
        <is>
          <t>附表10!N13</t>
        </is>
      </c>
      <c r="B2414" t="inlineStr">
        <is>
          <t>annual.capital_cashflow.atomic+annual.project_cashflow.period_11</t>
        </is>
      </c>
      <c r="C2414" t="inlineStr">
        <is>
          <t>engine_value</t>
        </is>
      </c>
    </row>
    <row r="2415">
      <c r="A2415" t="inlineStr">
        <is>
          <t>附表10!O13</t>
        </is>
      </c>
      <c r="B2415" t="inlineStr">
        <is>
          <t>annual.capital_cashflow.atomic+annual.project_cashflow.period_12</t>
        </is>
      </c>
      <c r="C2415" t="inlineStr">
        <is>
          <t>engine_value</t>
        </is>
      </c>
    </row>
    <row r="2416">
      <c r="A2416" t="inlineStr">
        <is>
          <t>附表10!P13</t>
        </is>
      </c>
      <c r="B2416" t="inlineStr">
        <is>
          <t>annual.capital_cashflow.atomic+annual.project_cashflow.period_13</t>
        </is>
      </c>
      <c r="C2416" t="inlineStr">
        <is>
          <t>engine_value</t>
        </is>
      </c>
    </row>
    <row r="2417">
      <c r="A2417" t="inlineStr">
        <is>
          <t>附表10!Q13</t>
        </is>
      </c>
      <c r="B2417" t="inlineStr">
        <is>
          <t>annual.capital_cashflow.atomic+annual.project_cashflow.period_14</t>
        </is>
      </c>
      <c r="C2417" t="inlineStr">
        <is>
          <t>engine_value</t>
        </is>
      </c>
    </row>
    <row r="2418">
      <c r="A2418" t="inlineStr">
        <is>
          <t>附表10!R13</t>
        </is>
      </c>
      <c r="B2418" t="inlineStr">
        <is>
          <t>annual.capital_cashflow.atomic+annual.project_cashflow.period_15</t>
        </is>
      </c>
      <c r="C2418" t="inlineStr">
        <is>
          <t>engine_value</t>
        </is>
      </c>
    </row>
    <row r="2419">
      <c r="A2419" t="inlineStr">
        <is>
          <t>附表10!S13</t>
        </is>
      </c>
      <c r="B2419" t="inlineStr">
        <is>
          <t>annual.capital_cashflow.atomic+annual.project_cashflow.period_16</t>
        </is>
      </c>
      <c r="C2419" t="inlineStr">
        <is>
          <t>engine_value</t>
        </is>
      </c>
    </row>
    <row r="2420">
      <c r="A2420" t="inlineStr">
        <is>
          <t>附表10!T13</t>
        </is>
      </c>
      <c r="B2420" t="inlineStr">
        <is>
          <t>annual.capital_cashflow.atomic+annual.project_cashflow.period_17</t>
        </is>
      </c>
      <c r="C2420" t="inlineStr">
        <is>
          <t>engine_value</t>
        </is>
      </c>
    </row>
    <row r="2421">
      <c r="A2421" t="inlineStr">
        <is>
          <t>附表10!U13</t>
        </is>
      </c>
      <c r="B2421" t="inlineStr">
        <is>
          <t>annual.capital_cashflow.atomic+annual.project_cashflow.period_18</t>
        </is>
      </c>
      <c r="C2421" t="inlineStr">
        <is>
          <t>engine_value</t>
        </is>
      </c>
    </row>
    <row r="2422">
      <c r="A2422" t="inlineStr">
        <is>
          <t>附表10!V13</t>
        </is>
      </c>
      <c r="B2422" t="inlineStr">
        <is>
          <t>annual.capital_cashflow.atomic+annual.project_cashflow.period_19</t>
        </is>
      </c>
      <c r="C2422" t="inlineStr">
        <is>
          <t>engine_value</t>
        </is>
      </c>
    </row>
    <row r="2423">
      <c r="A2423" t="inlineStr">
        <is>
          <t>附表10!W13</t>
        </is>
      </c>
      <c r="B2423" t="inlineStr">
        <is>
          <t>annual.capital_cashflow.atomic+annual.project_cashflow.period_20</t>
        </is>
      </c>
      <c r="C2423" t="inlineStr">
        <is>
          <t>engine_value</t>
        </is>
      </c>
    </row>
    <row r="2424">
      <c r="A2424" t="inlineStr">
        <is>
          <t>附表10!X13</t>
        </is>
      </c>
      <c r="B2424" t="inlineStr">
        <is>
          <t>annual.capital_cashflow.atomic+annual.project_cashflow.period_21</t>
        </is>
      </c>
      <c r="C2424" t="inlineStr">
        <is>
          <t>engine_value</t>
        </is>
      </c>
    </row>
    <row r="2425">
      <c r="A2425" t="inlineStr">
        <is>
          <t>附表10!Y13</t>
        </is>
      </c>
      <c r="B2425" t="inlineStr">
        <is>
          <t>annual.capital_cashflow.atomic+annual.project_cashflow.period_22</t>
        </is>
      </c>
      <c r="C2425" t="inlineStr">
        <is>
          <t>engine_value</t>
        </is>
      </c>
    </row>
    <row r="2426">
      <c r="A2426" t="inlineStr">
        <is>
          <t>附表10!Z13</t>
        </is>
      </c>
      <c r="B2426" t="inlineStr">
        <is>
          <t>annual.capital_cashflow.atomic+annual.project_cashflow.period_23</t>
        </is>
      </c>
      <c r="C2426" t="inlineStr">
        <is>
          <t>engine_value</t>
        </is>
      </c>
    </row>
    <row r="2427">
      <c r="A2427" t="inlineStr">
        <is>
          <t>附表10!AA13</t>
        </is>
      </c>
      <c r="B2427" t="inlineStr">
        <is>
          <t>annual.capital_cashflow.atomic+annual.project_cashflow.period_24</t>
        </is>
      </c>
      <c r="C2427" t="inlineStr">
        <is>
          <t>engine_value</t>
        </is>
      </c>
    </row>
    <row r="2428">
      <c r="A2428" t="inlineStr">
        <is>
          <t>附表10!AB13</t>
        </is>
      </c>
      <c r="B2428" t="inlineStr">
        <is>
          <t>annual.capital_cashflow.atomic+annual.project_cashflow.period_25</t>
        </is>
      </c>
      <c r="C2428" t="inlineStr">
        <is>
          <t>engine_value</t>
        </is>
      </c>
    </row>
    <row r="2429">
      <c r="A2429" t="inlineStr">
        <is>
          <t>附表10!A14</t>
        </is>
      </c>
      <c r="B2429" t="inlineStr">
        <is>
          <t>annual.capital_cashflow.atomic+annual.project_cashflow.no</t>
        </is>
      </c>
      <c r="C2429" t="inlineStr">
        <is>
          <t>engine_value</t>
        </is>
      </c>
    </row>
    <row r="2430">
      <c r="A2430" t="inlineStr">
        <is>
          <t>附表10!B14</t>
        </is>
      </c>
      <c r="B2430" t="inlineStr">
        <is>
          <t>annual.capital_cashflow.atomic+annual.project_cashflow.item</t>
        </is>
      </c>
      <c r="C2430" t="inlineStr">
        <is>
          <t>engine_value</t>
        </is>
      </c>
    </row>
    <row r="2431">
      <c r="A2431" t="inlineStr">
        <is>
          <t>附表10!C14</t>
        </is>
      </c>
      <c r="B2431" t="inlineStr">
        <is>
          <t>annual.capital_cashflow.atomic+annual.project_cashflow.total</t>
        </is>
      </c>
      <c r="C2431" t="inlineStr">
        <is>
          <t>engine_value</t>
        </is>
      </c>
    </row>
    <row r="2432">
      <c r="A2432" t="inlineStr">
        <is>
          <t>附表10!D14</t>
        </is>
      </c>
      <c r="B2432" t="inlineStr">
        <is>
          <t>annual.capital_cashflow.atomic+annual.project_cashflow.period_1</t>
        </is>
      </c>
      <c r="C2432" t="inlineStr">
        <is>
          <t>engine_value</t>
        </is>
      </c>
    </row>
    <row r="2433">
      <c r="A2433" t="inlineStr">
        <is>
          <t>附表10!E14</t>
        </is>
      </c>
      <c r="B2433" t="inlineStr">
        <is>
          <t>annual.capital_cashflow.atomic+annual.project_cashflow.period_2</t>
        </is>
      </c>
      <c r="C2433" t="inlineStr">
        <is>
          <t>engine_value</t>
        </is>
      </c>
    </row>
    <row r="2434">
      <c r="A2434" t="inlineStr">
        <is>
          <t>附表10!F14</t>
        </is>
      </c>
      <c r="B2434" t="inlineStr">
        <is>
          <t>annual.capital_cashflow.atomic+annual.project_cashflow.period_3</t>
        </is>
      </c>
      <c r="C2434" t="inlineStr">
        <is>
          <t>engine_value</t>
        </is>
      </c>
    </row>
    <row r="2435">
      <c r="A2435" t="inlineStr">
        <is>
          <t>附表10!G14</t>
        </is>
      </c>
      <c r="B2435" t="inlineStr">
        <is>
          <t>annual.capital_cashflow.atomic+annual.project_cashflow.period_4</t>
        </is>
      </c>
      <c r="C2435" t="inlineStr">
        <is>
          <t>engine_value</t>
        </is>
      </c>
    </row>
    <row r="2436">
      <c r="A2436" t="inlineStr">
        <is>
          <t>附表10!H14</t>
        </is>
      </c>
      <c r="B2436" t="inlineStr">
        <is>
          <t>annual.capital_cashflow.atomic+annual.project_cashflow.period_5</t>
        </is>
      </c>
      <c r="C2436" t="inlineStr">
        <is>
          <t>engine_value</t>
        </is>
      </c>
    </row>
    <row r="2437">
      <c r="A2437" t="inlineStr">
        <is>
          <t>附表10!I14</t>
        </is>
      </c>
      <c r="B2437" t="inlineStr">
        <is>
          <t>annual.capital_cashflow.atomic+annual.project_cashflow.period_6</t>
        </is>
      </c>
      <c r="C2437" t="inlineStr">
        <is>
          <t>engine_value</t>
        </is>
      </c>
    </row>
    <row r="2438">
      <c r="A2438" t="inlineStr">
        <is>
          <t>附表10!J14</t>
        </is>
      </c>
      <c r="B2438" t="inlineStr">
        <is>
          <t>annual.capital_cashflow.atomic+annual.project_cashflow.period_7</t>
        </is>
      </c>
      <c r="C2438" t="inlineStr">
        <is>
          <t>engine_value</t>
        </is>
      </c>
    </row>
    <row r="2439">
      <c r="A2439" t="inlineStr">
        <is>
          <t>附表10!K14</t>
        </is>
      </c>
      <c r="B2439" t="inlineStr">
        <is>
          <t>annual.capital_cashflow.atomic+annual.project_cashflow.period_8</t>
        </is>
      </c>
      <c r="C2439" t="inlineStr">
        <is>
          <t>engine_value</t>
        </is>
      </c>
    </row>
    <row r="2440">
      <c r="A2440" t="inlineStr">
        <is>
          <t>附表10!L14</t>
        </is>
      </c>
      <c r="B2440" t="inlineStr">
        <is>
          <t>annual.capital_cashflow.atomic+annual.project_cashflow.period_9</t>
        </is>
      </c>
      <c r="C2440" t="inlineStr">
        <is>
          <t>engine_value</t>
        </is>
      </c>
    </row>
    <row r="2441">
      <c r="A2441" t="inlineStr">
        <is>
          <t>附表10!M14</t>
        </is>
      </c>
      <c r="B2441" t="inlineStr">
        <is>
          <t>annual.capital_cashflow.atomic+annual.project_cashflow.period_10</t>
        </is>
      </c>
      <c r="C2441" t="inlineStr">
        <is>
          <t>engine_value</t>
        </is>
      </c>
    </row>
    <row r="2442">
      <c r="A2442" t="inlineStr">
        <is>
          <t>附表10!N14</t>
        </is>
      </c>
      <c r="B2442" t="inlineStr">
        <is>
          <t>annual.capital_cashflow.atomic+annual.project_cashflow.period_11</t>
        </is>
      </c>
      <c r="C2442" t="inlineStr">
        <is>
          <t>engine_value</t>
        </is>
      </c>
    </row>
    <row r="2443">
      <c r="A2443" t="inlineStr">
        <is>
          <t>附表10!O14</t>
        </is>
      </c>
      <c r="B2443" t="inlineStr">
        <is>
          <t>annual.capital_cashflow.atomic+annual.project_cashflow.period_12</t>
        </is>
      </c>
      <c r="C2443" t="inlineStr">
        <is>
          <t>engine_value</t>
        </is>
      </c>
    </row>
    <row r="2444">
      <c r="A2444" t="inlineStr">
        <is>
          <t>附表10!P14</t>
        </is>
      </c>
      <c r="B2444" t="inlineStr">
        <is>
          <t>annual.capital_cashflow.atomic+annual.project_cashflow.period_13</t>
        </is>
      </c>
      <c r="C2444" t="inlineStr">
        <is>
          <t>engine_value</t>
        </is>
      </c>
    </row>
    <row r="2445">
      <c r="A2445" t="inlineStr">
        <is>
          <t>附表10!Q14</t>
        </is>
      </c>
      <c r="B2445" t="inlineStr">
        <is>
          <t>annual.capital_cashflow.atomic+annual.project_cashflow.period_14</t>
        </is>
      </c>
      <c r="C2445" t="inlineStr">
        <is>
          <t>engine_value</t>
        </is>
      </c>
    </row>
    <row r="2446">
      <c r="A2446" t="inlineStr">
        <is>
          <t>附表10!R14</t>
        </is>
      </c>
      <c r="B2446" t="inlineStr">
        <is>
          <t>annual.capital_cashflow.atomic+annual.project_cashflow.period_15</t>
        </is>
      </c>
      <c r="C2446" t="inlineStr">
        <is>
          <t>engine_value</t>
        </is>
      </c>
    </row>
    <row r="2447">
      <c r="A2447" t="inlineStr">
        <is>
          <t>附表10!S14</t>
        </is>
      </c>
      <c r="B2447" t="inlineStr">
        <is>
          <t>annual.capital_cashflow.atomic+annual.project_cashflow.period_16</t>
        </is>
      </c>
      <c r="C2447" t="inlineStr">
        <is>
          <t>engine_value</t>
        </is>
      </c>
    </row>
    <row r="2448">
      <c r="A2448" t="inlineStr">
        <is>
          <t>附表10!T14</t>
        </is>
      </c>
      <c r="B2448" t="inlineStr">
        <is>
          <t>annual.capital_cashflow.atomic+annual.project_cashflow.period_17</t>
        </is>
      </c>
      <c r="C2448" t="inlineStr">
        <is>
          <t>engine_value</t>
        </is>
      </c>
    </row>
    <row r="2449">
      <c r="A2449" t="inlineStr">
        <is>
          <t>附表10!U14</t>
        </is>
      </c>
      <c r="B2449" t="inlineStr">
        <is>
          <t>annual.capital_cashflow.atomic+annual.project_cashflow.period_18</t>
        </is>
      </c>
      <c r="C2449" t="inlineStr">
        <is>
          <t>engine_value</t>
        </is>
      </c>
    </row>
    <row r="2450">
      <c r="A2450" t="inlineStr">
        <is>
          <t>附表10!V14</t>
        </is>
      </c>
      <c r="B2450" t="inlineStr">
        <is>
          <t>annual.capital_cashflow.atomic+annual.project_cashflow.period_19</t>
        </is>
      </c>
      <c r="C2450" t="inlineStr">
        <is>
          <t>engine_value</t>
        </is>
      </c>
    </row>
    <row r="2451">
      <c r="A2451" t="inlineStr">
        <is>
          <t>附表10!W14</t>
        </is>
      </c>
      <c r="B2451" t="inlineStr">
        <is>
          <t>annual.capital_cashflow.atomic+annual.project_cashflow.period_20</t>
        </is>
      </c>
      <c r="C2451" t="inlineStr">
        <is>
          <t>engine_value</t>
        </is>
      </c>
    </row>
    <row r="2452">
      <c r="A2452" t="inlineStr">
        <is>
          <t>附表10!X14</t>
        </is>
      </c>
      <c r="B2452" t="inlineStr">
        <is>
          <t>annual.capital_cashflow.atomic+annual.project_cashflow.period_21</t>
        </is>
      </c>
      <c r="C2452" t="inlineStr">
        <is>
          <t>engine_value</t>
        </is>
      </c>
    </row>
    <row r="2453">
      <c r="A2453" t="inlineStr">
        <is>
          <t>附表10!Y14</t>
        </is>
      </c>
      <c r="B2453" t="inlineStr">
        <is>
          <t>annual.capital_cashflow.atomic+annual.project_cashflow.period_22</t>
        </is>
      </c>
      <c r="C2453" t="inlineStr">
        <is>
          <t>engine_value</t>
        </is>
      </c>
    </row>
    <row r="2454">
      <c r="A2454" t="inlineStr">
        <is>
          <t>附表10!Z14</t>
        </is>
      </c>
      <c r="B2454" t="inlineStr">
        <is>
          <t>annual.capital_cashflow.atomic+annual.project_cashflow.period_23</t>
        </is>
      </c>
      <c r="C2454" t="inlineStr">
        <is>
          <t>engine_value</t>
        </is>
      </c>
    </row>
    <row r="2455">
      <c r="A2455" t="inlineStr">
        <is>
          <t>附表10!AA14</t>
        </is>
      </c>
      <c r="B2455" t="inlineStr">
        <is>
          <t>annual.capital_cashflow.atomic+annual.project_cashflow.period_24</t>
        </is>
      </c>
      <c r="C2455" t="inlineStr">
        <is>
          <t>engine_value</t>
        </is>
      </c>
    </row>
    <row r="2456">
      <c r="A2456" t="inlineStr">
        <is>
          <t>附表10!AB14</t>
        </is>
      </c>
      <c r="B2456" t="inlineStr">
        <is>
          <t>annual.capital_cashflow.atomic+annual.project_cashflow.period_25</t>
        </is>
      </c>
      <c r="C2456" t="inlineStr">
        <is>
          <t>engine_value</t>
        </is>
      </c>
    </row>
    <row r="2457">
      <c r="A2457" t="inlineStr">
        <is>
          <t>附表10!A15</t>
        </is>
      </c>
      <c r="B2457" t="inlineStr">
        <is>
          <t>annual.capital_cashflow.atomic+annual.project_cashflow.no</t>
        </is>
      </c>
      <c r="C2457" t="inlineStr">
        <is>
          <t>engine_value</t>
        </is>
      </c>
    </row>
    <row r="2458">
      <c r="A2458" t="inlineStr">
        <is>
          <t>附表10!B15</t>
        </is>
      </c>
      <c r="B2458" t="inlineStr">
        <is>
          <t>annual.capital_cashflow.atomic+annual.project_cashflow.item</t>
        </is>
      </c>
      <c r="C2458" t="inlineStr">
        <is>
          <t>engine_value</t>
        </is>
      </c>
    </row>
    <row r="2459">
      <c r="A2459" t="inlineStr">
        <is>
          <t>附表10!C15</t>
        </is>
      </c>
      <c r="B2459" t="inlineStr">
        <is>
          <t>annual.capital_cashflow.atomic+annual.project_cashflow.total</t>
        </is>
      </c>
      <c r="C2459" t="inlineStr">
        <is>
          <t>engine_value</t>
        </is>
      </c>
    </row>
    <row r="2460">
      <c r="A2460" t="inlineStr">
        <is>
          <t>附表10!D15</t>
        </is>
      </c>
      <c r="B2460" t="inlineStr">
        <is>
          <t>annual.capital_cashflow.atomic+annual.project_cashflow.period_1</t>
        </is>
      </c>
      <c r="C2460" t="inlineStr">
        <is>
          <t>engine_value</t>
        </is>
      </c>
    </row>
    <row r="2461">
      <c r="A2461" t="inlineStr">
        <is>
          <t>附表10!E15</t>
        </is>
      </c>
      <c r="B2461" t="inlineStr">
        <is>
          <t>annual.capital_cashflow.atomic+annual.project_cashflow.period_2</t>
        </is>
      </c>
      <c r="C2461" t="inlineStr">
        <is>
          <t>engine_value</t>
        </is>
      </c>
    </row>
    <row r="2462">
      <c r="A2462" t="inlineStr">
        <is>
          <t>附表10!F15</t>
        </is>
      </c>
      <c r="B2462" t="inlineStr">
        <is>
          <t>annual.capital_cashflow.atomic+annual.project_cashflow.period_3</t>
        </is>
      </c>
      <c r="C2462" t="inlineStr">
        <is>
          <t>engine_value</t>
        </is>
      </c>
    </row>
    <row r="2463">
      <c r="A2463" t="inlineStr">
        <is>
          <t>附表10!G15</t>
        </is>
      </c>
      <c r="B2463" t="inlineStr">
        <is>
          <t>annual.capital_cashflow.atomic+annual.project_cashflow.period_4</t>
        </is>
      </c>
      <c r="C2463" t="inlineStr">
        <is>
          <t>engine_value</t>
        </is>
      </c>
    </row>
    <row r="2464">
      <c r="A2464" t="inlineStr">
        <is>
          <t>附表10!H15</t>
        </is>
      </c>
      <c r="B2464" t="inlineStr">
        <is>
          <t>annual.capital_cashflow.atomic+annual.project_cashflow.period_5</t>
        </is>
      </c>
      <c r="C2464" t="inlineStr">
        <is>
          <t>engine_value</t>
        </is>
      </c>
    </row>
    <row r="2465">
      <c r="A2465" t="inlineStr">
        <is>
          <t>附表10!I15</t>
        </is>
      </c>
      <c r="B2465" t="inlineStr">
        <is>
          <t>annual.capital_cashflow.atomic+annual.project_cashflow.period_6</t>
        </is>
      </c>
      <c r="C2465" t="inlineStr">
        <is>
          <t>engine_value</t>
        </is>
      </c>
    </row>
    <row r="2466">
      <c r="A2466" t="inlineStr">
        <is>
          <t>附表10!J15</t>
        </is>
      </c>
      <c r="B2466" t="inlineStr">
        <is>
          <t>annual.capital_cashflow.atomic+annual.project_cashflow.period_7</t>
        </is>
      </c>
      <c r="C2466" t="inlineStr">
        <is>
          <t>engine_value</t>
        </is>
      </c>
    </row>
    <row r="2467">
      <c r="A2467" t="inlineStr">
        <is>
          <t>附表10!K15</t>
        </is>
      </c>
      <c r="B2467" t="inlineStr">
        <is>
          <t>annual.capital_cashflow.atomic+annual.project_cashflow.period_8</t>
        </is>
      </c>
      <c r="C2467" t="inlineStr">
        <is>
          <t>engine_value</t>
        </is>
      </c>
    </row>
    <row r="2468">
      <c r="A2468" t="inlineStr">
        <is>
          <t>附表10!L15</t>
        </is>
      </c>
      <c r="B2468" t="inlineStr">
        <is>
          <t>annual.capital_cashflow.atomic+annual.project_cashflow.period_9</t>
        </is>
      </c>
      <c r="C2468" t="inlineStr">
        <is>
          <t>engine_value</t>
        </is>
      </c>
    </row>
    <row r="2469">
      <c r="A2469" t="inlineStr">
        <is>
          <t>附表10!M15</t>
        </is>
      </c>
      <c r="B2469" t="inlineStr">
        <is>
          <t>annual.capital_cashflow.atomic+annual.project_cashflow.period_10</t>
        </is>
      </c>
      <c r="C2469" t="inlineStr">
        <is>
          <t>engine_value</t>
        </is>
      </c>
    </row>
    <row r="2470">
      <c r="A2470" t="inlineStr">
        <is>
          <t>附表10!N15</t>
        </is>
      </c>
      <c r="B2470" t="inlineStr">
        <is>
          <t>annual.capital_cashflow.atomic+annual.project_cashflow.period_11</t>
        </is>
      </c>
      <c r="C2470" t="inlineStr">
        <is>
          <t>engine_value</t>
        </is>
      </c>
    </row>
    <row r="2471">
      <c r="A2471" t="inlineStr">
        <is>
          <t>附表10!O15</t>
        </is>
      </c>
      <c r="B2471" t="inlineStr">
        <is>
          <t>annual.capital_cashflow.atomic+annual.project_cashflow.period_12</t>
        </is>
      </c>
      <c r="C2471" t="inlineStr">
        <is>
          <t>engine_value</t>
        </is>
      </c>
    </row>
    <row r="2472">
      <c r="A2472" t="inlineStr">
        <is>
          <t>附表10!P15</t>
        </is>
      </c>
      <c r="B2472" t="inlineStr">
        <is>
          <t>annual.capital_cashflow.atomic+annual.project_cashflow.period_13</t>
        </is>
      </c>
      <c r="C2472" t="inlineStr">
        <is>
          <t>engine_value</t>
        </is>
      </c>
    </row>
    <row r="2473">
      <c r="A2473" t="inlineStr">
        <is>
          <t>附表10!Q15</t>
        </is>
      </c>
      <c r="B2473" t="inlineStr">
        <is>
          <t>annual.capital_cashflow.atomic+annual.project_cashflow.period_14</t>
        </is>
      </c>
      <c r="C2473" t="inlineStr">
        <is>
          <t>engine_value</t>
        </is>
      </c>
    </row>
    <row r="2474">
      <c r="A2474" t="inlineStr">
        <is>
          <t>附表10!R15</t>
        </is>
      </c>
      <c r="B2474" t="inlineStr">
        <is>
          <t>annual.capital_cashflow.atomic+annual.project_cashflow.period_15</t>
        </is>
      </c>
      <c r="C2474" t="inlineStr">
        <is>
          <t>engine_value</t>
        </is>
      </c>
    </row>
    <row r="2475">
      <c r="A2475" t="inlineStr">
        <is>
          <t>附表10!S15</t>
        </is>
      </c>
      <c r="B2475" t="inlineStr">
        <is>
          <t>annual.capital_cashflow.atomic+annual.project_cashflow.period_16</t>
        </is>
      </c>
      <c r="C2475" t="inlineStr">
        <is>
          <t>engine_value</t>
        </is>
      </c>
    </row>
    <row r="2476">
      <c r="A2476" t="inlineStr">
        <is>
          <t>附表10!T15</t>
        </is>
      </c>
      <c r="B2476" t="inlineStr">
        <is>
          <t>annual.capital_cashflow.atomic+annual.project_cashflow.period_17</t>
        </is>
      </c>
      <c r="C2476" t="inlineStr">
        <is>
          <t>engine_value</t>
        </is>
      </c>
    </row>
    <row r="2477">
      <c r="A2477" t="inlineStr">
        <is>
          <t>附表10!U15</t>
        </is>
      </c>
      <c r="B2477" t="inlineStr">
        <is>
          <t>annual.capital_cashflow.atomic+annual.project_cashflow.period_18</t>
        </is>
      </c>
      <c r="C2477" t="inlineStr">
        <is>
          <t>engine_value</t>
        </is>
      </c>
    </row>
    <row r="2478">
      <c r="A2478" t="inlineStr">
        <is>
          <t>附表10!V15</t>
        </is>
      </c>
      <c r="B2478" t="inlineStr">
        <is>
          <t>annual.capital_cashflow.atomic+annual.project_cashflow.period_19</t>
        </is>
      </c>
      <c r="C2478" t="inlineStr">
        <is>
          <t>engine_value</t>
        </is>
      </c>
    </row>
    <row r="2479">
      <c r="A2479" t="inlineStr">
        <is>
          <t>附表10!W15</t>
        </is>
      </c>
      <c r="B2479" t="inlineStr">
        <is>
          <t>annual.capital_cashflow.atomic+annual.project_cashflow.period_20</t>
        </is>
      </c>
      <c r="C2479" t="inlineStr">
        <is>
          <t>engine_value</t>
        </is>
      </c>
    </row>
    <row r="2480">
      <c r="A2480" t="inlineStr">
        <is>
          <t>附表10!X15</t>
        </is>
      </c>
      <c r="B2480" t="inlineStr">
        <is>
          <t>annual.capital_cashflow.atomic+annual.project_cashflow.period_21</t>
        </is>
      </c>
      <c r="C2480" t="inlineStr">
        <is>
          <t>engine_value</t>
        </is>
      </c>
    </row>
    <row r="2481">
      <c r="A2481" t="inlineStr">
        <is>
          <t>附表10!Y15</t>
        </is>
      </c>
      <c r="B2481" t="inlineStr">
        <is>
          <t>annual.capital_cashflow.atomic+annual.project_cashflow.period_22</t>
        </is>
      </c>
      <c r="C2481" t="inlineStr">
        <is>
          <t>engine_value</t>
        </is>
      </c>
    </row>
    <row r="2482">
      <c r="A2482" t="inlineStr">
        <is>
          <t>附表10!Z15</t>
        </is>
      </c>
      <c r="B2482" t="inlineStr">
        <is>
          <t>annual.capital_cashflow.atomic+annual.project_cashflow.period_23</t>
        </is>
      </c>
      <c r="C2482" t="inlineStr">
        <is>
          <t>engine_value</t>
        </is>
      </c>
    </row>
    <row r="2483">
      <c r="A2483" t="inlineStr">
        <is>
          <t>附表10!AA15</t>
        </is>
      </c>
      <c r="B2483" t="inlineStr">
        <is>
          <t>annual.capital_cashflow.atomic+annual.project_cashflow.period_24</t>
        </is>
      </c>
      <c r="C2483" t="inlineStr">
        <is>
          <t>engine_value</t>
        </is>
      </c>
    </row>
    <row r="2484">
      <c r="A2484" t="inlineStr">
        <is>
          <t>附表10!AB15</t>
        </is>
      </c>
      <c r="B2484" t="inlineStr">
        <is>
          <t>annual.capital_cashflow.atomic+annual.project_cashflow.period_25</t>
        </is>
      </c>
      <c r="C2484" t="inlineStr">
        <is>
          <t>engine_value</t>
        </is>
      </c>
    </row>
    <row r="2485">
      <c r="A2485" t="inlineStr">
        <is>
          <t>附表10!A16</t>
        </is>
      </c>
      <c r="B2485" t="inlineStr">
        <is>
          <t>annual.capital_cashflow.atomic+annual.project_cashflow.no</t>
        </is>
      </c>
      <c r="C2485" t="inlineStr">
        <is>
          <t>engine_value</t>
        </is>
      </c>
    </row>
    <row r="2486">
      <c r="A2486" t="inlineStr">
        <is>
          <t>附表10!B16</t>
        </is>
      </c>
      <c r="B2486" t="inlineStr">
        <is>
          <t>annual.capital_cashflow.atomic+annual.project_cashflow.item</t>
        </is>
      </c>
      <c r="C2486" t="inlineStr">
        <is>
          <t>engine_value</t>
        </is>
      </c>
    </row>
    <row r="2487">
      <c r="A2487" t="inlineStr">
        <is>
          <t>附表10!C16</t>
        </is>
      </c>
      <c r="B2487" t="inlineStr">
        <is>
          <t>annual.capital_cashflow.atomic+annual.project_cashflow.total</t>
        </is>
      </c>
      <c r="C2487" t="inlineStr">
        <is>
          <t>engine_value</t>
        </is>
      </c>
    </row>
    <row r="2488">
      <c r="A2488" t="inlineStr">
        <is>
          <t>附表10!D16</t>
        </is>
      </c>
      <c r="B2488" t="inlineStr">
        <is>
          <t>annual.capital_cashflow.atomic+annual.project_cashflow.period_1</t>
        </is>
      </c>
      <c r="C2488" t="inlineStr">
        <is>
          <t>engine_value</t>
        </is>
      </c>
    </row>
    <row r="2489">
      <c r="A2489" t="inlineStr">
        <is>
          <t>附表10!E16</t>
        </is>
      </c>
      <c r="B2489" t="inlineStr">
        <is>
          <t>annual.capital_cashflow.atomic+annual.project_cashflow.period_2</t>
        </is>
      </c>
      <c r="C2489" t="inlineStr">
        <is>
          <t>engine_value</t>
        </is>
      </c>
    </row>
    <row r="2490">
      <c r="A2490" t="inlineStr">
        <is>
          <t>附表10!F16</t>
        </is>
      </c>
      <c r="B2490" t="inlineStr">
        <is>
          <t>annual.capital_cashflow.atomic+annual.project_cashflow.period_3</t>
        </is>
      </c>
      <c r="C2490" t="inlineStr">
        <is>
          <t>engine_value</t>
        </is>
      </c>
    </row>
    <row r="2491">
      <c r="A2491" t="inlineStr">
        <is>
          <t>附表10!G16</t>
        </is>
      </c>
      <c r="B2491" t="inlineStr">
        <is>
          <t>annual.capital_cashflow.atomic+annual.project_cashflow.period_4</t>
        </is>
      </c>
      <c r="C2491" t="inlineStr">
        <is>
          <t>engine_value</t>
        </is>
      </c>
    </row>
    <row r="2492">
      <c r="A2492" t="inlineStr">
        <is>
          <t>附表10!H16</t>
        </is>
      </c>
      <c r="B2492" t="inlineStr">
        <is>
          <t>annual.capital_cashflow.atomic+annual.project_cashflow.period_5</t>
        </is>
      </c>
      <c r="C2492" t="inlineStr">
        <is>
          <t>engine_value</t>
        </is>
      </c>
    </row>
    <row r="2493">
      <c r="A2493" t="inlineStr">
        <is>
          <t>附表10!I16</t>
        </is>
      </c>
      <c r="B2493" t="inlineStr">
        <is>
          <t>annual.capital_cashflow.atomic+annual.project_cashflow.period_6</t>
        </is>
      </c>
      <c r="C2493" t="inlineStr">
        <is>
          <t>engine_value</t>
        </is>
      </c>
    </row>
    <row r="2494">
      <c r="A2494" t="inlineStr">
        <is>
          <t>附表10!J16</t>
        </is>
      </c>
      <c r="B2494" t="inlineStr">
        <is>
          <t>annual.capital_cashflow.atomic+annual.project_cashflow.period_7</t>
        </is>
      </c>
      <c r="C2494" t="inlineStr">
        <is>
          <t>engine_value</t>
        </is>
      </c>
    </row>
    <row r="2495">
      <c r="A2495" t="inlineStr">
        <is>
          <t>附表10!K16</t>
        </is>
      </c>
      <c r="B2495" t="inlineStr">
        <is>
          <t>annual.capital_cashflow.atomic+annual.project_cashflow.period_8</t>
        </is>
      </c>
      <c r="C2495" t="inlineStr">
        <is>
          <t>engine_value</t>
        </is>
      </c>
    </row>
    <row r="2496">
      <c r="A2496" t="inlineStr">
        <is>
          <t>附表10!L16</t>
        </is>
      </c>
      <c r="B2496" t="inlineStr">
        <is>
          <t>annual.capital_cashflow.atomic+annual.project_cashflow.period_9</t>
        </is>
      </c>
      <c r="C2496" t="inlineStr">
        <is>
          <t>engine_value</t>
        </is>
      </c>
    </row>
    <row r="2497">
      <c r="A2497" t="inlineStr">
        <is>
          <t>附表10!M16</t>
        </is>
      </c>
      <c r="B2497" t="inlineStr">
        <is>
          <t>annual.capital_cashflow.atomic+annual.project_cashflow.period_10</t>
        </is>
      </c>
      <c r="C2497" t="inlineStr">
        <is>
          <t>engine_value</t>
        </is>
      </c>
    </row>
    <row r="2498">
      <c r="A2498" t="inlineStr">
        <is>
          <t>附表10!N16</t>
        </is>
      </c>
      <c r="B2498" t="inlineStr">
        <is>
          <t>annual.capital_cashflow.atomic+annual.project_cashflow.period_11</t>
        </is>
      </c>
      <c r="C2498" t="inlineStr">
        <is>
          <t>engine_value</t>
        </is>
      </c>
    </row>
    <row r="2499">
      <c r="A2499" t="inlineStr">
        <is>
          <t>附表10!O16</t>
        </is>
      </c>
      <c r="B2499" t="inlineStr">
        <is>
          <t>annual.capital_cashflow.atomic+annual.project_cashflow.period_12</t>
        </is>
      </c>
      <c r="C2499" t="inlineStr">
        <is>
          <t>engine_value</t>
        </is>
      </c>
    </row>
    <row r="2500">
      <c r="A2500" t="inlineStr">
        <is>
          <t>附表10!P16</t>
        </is>
      </c>
      <c r="B2500" t="inlineStr">
        <is>
          <t>annual.capital_cashflow.atomic+annual.project_cashflow.period_13</t>
        </is>
      </c>
      <c r="C2500" t="inlineStr">
        <is>
          <t>engine_value</t>
        </is>
      </c>
    </row>
    <row r="2501">
      <c r="A2501" t="inlineStr">
        <is>
          <t>附表10!Q16</t>
        </is>
      </c>
      <c r="B2501" t="inlineStr">
        <is>
          <t>annual.capital_cashflow.atomic+annual.project_cashflow.period_14</t>
        </is>
      </c>
      <c r="C2501" t="inlineStr">
        <is>
          <t>engine_value</t>
        </is>
      </c>
    </row>
    <row r="2502">
      <c r="A2502" t="inlineStr">
        <is>
          <t>附表10!R16</t>
        </is>
      </c>
      <c r="B2502" t="inlineStr">
        <is>
          <t>annual.capital_cashflow.atomic+annual.project_cashflow.period_15</t>
        </is>
      </c>
      <c r="C2502" t="inlineStr">
        <is>
          <t>engine_value</t>
        </is>
      </c>
    </row>
    <row r="2503">
      <c r="A2503" t="inlineStr">
        <is>
          <t>附表10!S16</t>
        </is>
      </c>
      <c r="B2503" t="inlineStr">
        <is>
          <t>annual.capital_cashflow.atomic+annual.project_cashflow.period_16</t>
        </is>
      </c>
      <c r="C2503" t="inlineStr">
        <is>
          <t>engine_value</t>
        </is>
      </c>
    </row>
    <row r="2504">
      <c r="A2504" t="inlineStr">
        <is>
          <t>附表10!T16</t>
        </is>
      </c>
      <c r="B2504" t="inlineStr">
        <is>
          <t>annual.capital_cashflow.atomic+annual.project_cashflow.period_17</t>
        </is>
      </c>
      <c r="C2504" t="inlineStr">
        <is>
          <t>engine_value</t>
        </is>
      </c>
    </row>
    <row r="2505">
      <c r="A2505" t="inlineStr">
        <is>
          <t>附表10!U16</t>
        </is>
      </c>
      <c r="B2505" t="inlineStr">
        <is>
          <t>annual.capital_cashflow.atomic+annual.project_cashflow.period_18</t>
        </is>
      </c>
      <c r="C2505" t="inlineStr">
        <is>
          <t>engine_value</t>
        </is>
      </c>
    </row>
    <row r="2506">
      <c r="A2506" t="inlineStr">
        <is>
          <t>附表10!V16</t>
        </is>
      </c>
      <c r="B2506" t="inlineStr">
        <is>
          <t>annual.capital_cashflow.atomic+annual.project_cashflow.period_19</t>
        </is>
      </c>
      <c r="C2506" t="inlineStr">
        <is>
          <t>engine_value</t>
        </is>
      </c>
    </row>
    <row r="2507">
      <c r="A2507" t="inlineStr">
        <is>
          <t>附表10!W16</t>
        </is>
      </c>
      <c r="B2507" t="inlineStr">
        <is>
          <t>annual.capital_cashflow.atomic+annual.project_cashflow.period_20</t>
        </is>
      </c>
      <c r="C2507" t="inlineStr">
        <is>
          <t>engine_value</t>
        </is>
      </c>
    </row>
    <row r="2508">
      <c r="A2508" t="inlineStr">
        <is>
          <t>附表10!X16</t>
        </is>
      </c>
      <c r="B2508" t="inlineStr">
        <is>
          <t>annual.capital_cashflow.atomic+annual.project_cashflow.period_21</t>
        </is>
      </c>
      <c r="C2508" t="inlineStr">
        <is>
          <t>engine_value</t>
        </is>
      </c>
    </row>
    <row r="2509">
      <c r="A2509" t="inlineStr">
        <is>
          <t>附表10!Y16</t>
        </is>
      </c>
      <c r="B2509" t="inlineStr">
        <is>
          <t>annual.capital_cashflow.atomic+annual.project_cashflow.period_22</t>
        </is>
      </c>
      <c r="C2509" t="inlineStr">
        <is>
          <t>engine_value</t>
        </is>
      </c>
    </row>
    <row r="2510">
      <c r="A2510" t="inlineStr">
        <is>
          <t>附表10!Z16</t>
        </is>
      </c>
      <c r="B2510" t="inlineStr">
        <is>
          <t>annual.capital_cashflow.atomic+annual.project_cashflow.period_23</t>
        </is>
      </c>
      <c r="C2510" t="inlineStr">
        <is>
          <t>engine_value</t>
        </is>
      </c>
    </row>
    <row r="2511">
      <c r="A2511" t="inlineStr">
        <is>
          <t>附表10!AA16</t>
        </is>
      </c>
      <c r="B2511" t="inlineStr">
        <is>
          <t>annual.capital_cashflow.atomic+annual.project_cashflow.period_24</t>
        </is>
      </c>
      <c r="C2511" t="inlineStr">
        <is>
          <t>engine_value</t>
        </is>
      </c>
    </row>
    <row r="2512">
      <c r="A2512" t="inlineStr">
        <is>
          <t>附表10!AB16</t>
        </is>
      </c>
      <c r="B2512" t="inlineStr">
        <is>
          <t>annual.capital_cashflow.atomic+annual.project_cashflow.period_25</t>
        </is>
      </c>
      <c r="C2512" t="inlineStr">
        <is>
          <t>engine_value</t>
        </is>
      </c>
    </row>
    <row r="2513">
      <c r="A2513" t="inlineStr">
        <is>
          <t>附表1!J5</t>
        </is>
      </c>
      <c r="B2513" t="inlineStr">
        <is>
          <t>附表1!D5*E5</t>
        </is>
      </c>
      <c r="C2513" t="inlineStr">
        <is>
          <t>excel_formula</t>
        </is>
      </c>
    </row>
    <row r="2514">
      <c r="A2514" t="inlineStr">
        <is>
          <t>附表1!J6</t>
        </is>
      </c>
      <c r="B2514" t="inlineStr">
        <is>
          <t>附表1!D6*E6</t>
        </is>
      </c>
      <c r="C2514" t="inlineStr">
        <is>
          <t>excel_formula</t>
        </is>
      </c>
    </row>
    <row r="2515">
      <c r="A2515" t="inlineStr">
        <is>
          <t>附表1!J7</t>
        </is>
      </c>
      <c r="B2515" t="inlineStr">
        <is>
          <t>附表1!D7*E7</t>
        </is>
      </c>
      <c r="C2515" t="inlineStr">
        <is>
          <t>excel_formula</t>
        </is>
      </c>
    </row>
    <row r="2516">
      <c r="A2516" t="inlineStr">
        <is>
          <t>附表1!J10</t>
        </is>
      </c>
      <c r="B2516" t="inlineStr">
        <is>
          <t>附表1!D10*E10</t>
        </is>
      </c>
      <c r="C2516" t="inlineStr">
        <is>
          <t>excel_formula</t>
        </is>
      </c>
    </row>
    <row r="2517">
      <c r="A2517" t="inlineStr">
        <is>
          <t>附表6!F16</t>
        </is>
      </c>
      <c r="B2517" t="inlineStr">
        <is>
          <t>B16+C16+D16+E16</t>
        </is>
      </c>
      <c r="C2517" t="inlineStr">
        <is>
          <t>excel_formula</t>
        </is>
      </c>
    </row>
    <row r="2518">
      <c r="A2518" t="inlineStr">
        <is>
          <t>附表6!F17</t>
        </is>
      </c>
      <c r="B2518" t="inlineStr">
        <is>
          <t>B17+C17+D17+E17</t>
        </is>
      </c>
      <c r="C2518" t="inlineStr">
        <is>
          <t>excel_formula</t>
        </is>
      </c>
    </row>
    <row r="2519">
      <c r="A2519" t="inlineStr">
        <is>
          <t>附表6!F18</t>
        </is>
      </c>
      <c r="B2519" t="inlineStr">
        <is>
          <t>B18+C18+D18+E18</t>
        </is>
      </c>
      <c r="C2519" t="inlineStr">
        <is>
          <t>excel_formula</t>
        </is>
      </c>
    </row>
    <row r="2520">
      <c r="A2520" t="inlineStr">
        <is>
          <t>附表6!F19</t>
        </is>
      </c>
      <c r="B2520" t="inlineStr">
        <is>
          <t>B19+C19+D19+E19</t>
        </is>
      </c>
      <c r="C2520" t="inlineStr">
        <is>
          <t>excel_formula</t>
        </is>
      </c>
    </row>
    <row r="2521">
      <c r="A2521" t="inlineStr">
        <is>
          <t>附表6!F20</t>
        </is>
      </c>
      <c r="B2521" t="inlineStr">
        <is>
          <t>B20+C20+D20+E20</t>
        </is>
      </c>
      <c r="C2521" t="inlineStr">
        <is>
          <t>excel_formula</t>
        </is>
      </c>
    </row>
    <row r="2522">
      <c r="A2522" t="inlineStr">
        <is>
          <t>附表6!F21</t>
        </is>
      </c>
      <c r="B2522" t="inlineStr">
        <is>
          <t>B21+C21+D21+E21</t>
        </is>
      </c>
      <c r="C2522" t="inlineStr">
        <is>
          <t>excel_formula</t>
        </is>
      </c>
    </row>
    <row r="2523">
      <c r="A2523" t="inlineStr">
        <is>
          <t>附表6!F22</t>
        </is>
      </c>
      <c r="B2523" t="inlineStr">
        <is>
          <t>B22+C22+D22+E22</t>
        </is>
      </c>
      <c r="C2523" t="inlineStr">
        <is>
          <t>excel_formula</t>
        </is>
      </c>
    </row>
    <row r="2524">
      <c r="A2524" t="inlineStr">
        <is>
          <t>附表6!F23</t>
        </is>
      </c>
      <c r="B2524" t="inlineStr">
        <is>
          <t>B23+C23+D23+E23</t>
        </is>
      </c>
      <c r="C2524" t="inlineStr">
        <is>
          <t>excel_formula</t>
        </is>
      </c>
    </row>
    <row r="2525">
      <c r="A2525" t="inlineStr">
        <is>
          <t>附表6!F24</t>
        </is>
      </c>
      <c r="B2525" t="inlineStr">
        <is>
          <t>B24+C24+D24+E24</t>
        </is>
      </c>
      <c r="C2525" t="inlineStr">
        <is>
          <t>excel_formula</t>
        </is>
      </c>
    </row>
    <row r="2526">
      <c r="A2526" t="inlineStr">
        <is>
          <t>附表6!F25</t>
        </is>
      </c>
      <c r="B2526" t="inlineStr">
        <is>
          <t>B25+C25+D25+E25</t>
        </is>
      </c>
      <c r="C2526" t="inlineStr">
        <is>
          <t>excel_formula</t>
        </is>
      </c>
    </row>
    <row r="2527">
      <c r="A2527" t="inlineStr">
        <is>
          <t>附表6!F26</t>
        </is>
      </c>
      <c r="B2527" t="inlineStr">
        <is>
          <t>B26+C26+D26+E26</t>
        </is>
      </c>
      <c r="C2527" t="inlineStr">
        <is>
          <t>excel_formula</t>
        </is>
      </c>
    </row>
    <row r="2528">
      <c r="A2528" t="inlineStr">
        <is>
          <t>附表6!F27</t>
        </is>
      </c>
      <c r="B2528" t="inlineStr">
        <is>
          <t>B27+C27+D27+E27</t>
        </is>
      </c>
      <c r="C2528" t="inlineStr">
        <is>
          <t>excel_formula</t>
        </is>
      </c>
    </row>
    <row r="2529">
      <c r="A2529" t="inlineStr">
        <is>
          <t>附表6!F28</t>
        </is>
      </c>
      <c r="B2529" t="inlineStr">
        <is>
          <t>B28+C28+D28+E28</t>
        </is>
      </c>
      <c r="C2529" t="inlineStr">
        <is>
          <t>excel_formula</t>
        </is>
      </c>
    </row>
    <row r="2530">
      <c r="A2530" t="inlineStr">
        <is>
          <t>附表6!F29</t>
        </is>
      </c>
      <c r="B2530" t="inlineStr">
        <is>
          <t>B29+C29+D29+E29</t>
        </is>
      </c>
      <c r="C2530" t="inlineStr">
        <is>
          <t>excel_formula</t>
        </is>
      </c>
    </row>
    <row r="2531">
      <c r="A2531" t="inlineStr">
        <is>
          <t>附表6!F30</t>
        </is>
      </c>
      <c r="B2531" t="inlineStr">
        <is>
          <t>B30+C30+D30+E30</t>
        </is>
      </c>
      <c r="C2531" t="inlineStr">
        <is>
          <t>excel_formula</t>
        </is>
      </c>
    </row>
    <row r="2532">
      <c r="A2532" t="inlineStr">
        <is>
          <t>附表6!F31</t>
        </is>
      </c>
      <c r="B2532" t="inlineStr">
        <is>
          <t>B31+C31+D31+E31</t>
        </is>
      </c>
      <c r="C2532" t="inlineStr">
        <is>
          <t>excel_formula</t>
        </is>
      </c>
    </row>
    <row r="2533">
      <c r="A2533" t="inlineStr">
        <is>
          <t>附表6!F32</t>
        </is>
      </c>
      <c r="B2533" t="inlineStr">
        <is>
          <t>B32+C32+D32+E32</t>
        </is>
      </c>
      <c r="C2533" t="inlineStr">
        <is>
          <t>excel_formula</t>
        </is>
      </c>
    </row>
    <row r="2534">
      <c r="A2534" t="inlineStr">
        <is>
          <t>附表6!F33</t>
        </is>
      </c>
      <c r="B2534" t="inlineStr">
        <is>
          <t>B33+C33+D33+E33</t>
        </is>
      </c>
      <c r="C2534" t="inlineStr">
        <is>
          <t>excel_formula</t>
        </is>
      </c>
    </row>
    <row r="2535">
      <c r="A2535" t="inlineStr">
        <is>
          <t>附表6!F34</t>
        </is>
      </c>
      <c r="B2535" t="inlineStr">
        <is>
          <t>B34+C34+D34+E34</t>
        </is>
      </c>
      <c r="C2535" t="inlineStr">
        <is>
          <t>excel_formula</t>
        </is>
      </c>
    </row>
    <row r="2536">
      <c r="A2536" t="inlineStr">
        <is>
          <t>附表6!F35</t>
        </is>
      </c>
      <c r="B2536" t="inlineStr">
        <is>
          <t>B35+C35+D35+E35</t>
        </is>
      </c>
      <c r="C2536" t="inlineStr">
        <is>
          <t>excel_formula</t>
        </is>
      </c>
    </row>
    <row r="2537">
      <c r="A2537" t="inlineStr">
        <is>
          <t>附表6!F36</t>
        </is>
      </c>
      <c r="B2537" t="inlineStr">
        <is>
          <t>B36+C36+D36+E36</t>
        </is>
      </c>
      <c r="C2537" t="inlineStr">
        <is>
          <t>excel_formula</t>
        </is>
      </c>
    </row>
    <row r="2538">
      <c r="A2538" t="inlineStr">
        <is>
          <t>附表6!F37</t>
        </is>
      </c>
      <c r="B2538" t="inlineStr">
        <is>
          <t>B37+C37+D37+E37</t>
        </is>
      </c>
      <c r="C2538" t="inlineStr">
        <is>
          <t>excel_formula</t>
        </is>
      </c>
    </row>
    <row r="2539">
      <c r="A2539" t="inlineStr">
        <is>
          <t>附表6!F38</t>
        </is>
      </c>
      <c r="B2539" t="inlineStr">
        <is>
          <t>B38+C38+D38+E38</t>
        </is>
      </c>
      <c r="C2539" t="inlineStr">
        <is>
          <t>excel_formula</t>
        </is>
      </c>
    </row>
    <row r="2540">
      <c r="A2540" t="inlineStr">
        <is>
          <t>附表6!F39</t>
        </is>
      </c>
      <c r="B2540" t="inlineStr">
        <is>
          <t>B39+C39+D39+E39</t>
        </is>
      </c>
      <c r="C2540" t="inlineStr">
        <is>
          <t>excel_formula</t>
        </is>
      </c>
    </row>
    <row r="2541">
      <c r="A2541" t="inlineStr">
        <is>
          <t>附表8!M24</t>
        </is>
      </c>
      <c r="B2541" t="inlineStr">
        <is>
          <t>'附表7'!F24</t>
        </is>
      </c>
      <c r="C2541" t="inlineStr">
        <is>
          <t>excel_formula</t>
        </is>
      </c>
    </row>
    <row r="2542">
      <c r="A2542" t="inlineStr">
        <is>
          <t>附表8!M25</t>
        </is>
      </c>
      <c r="B2542" t="inlineStr">
        <is>
          <t>'附表7'!F25</t>
        </is>
      </c>
      <c r="C2542" t="inlineStr">
        <is>
          <t>excel_formula</t>
        </is>
      </c>
    </row>
    <row r="2543">
      <c r="A2543" t="inlineStr">
        <is>
          <t>附表8!M26</t>
        </is>
      </c>
      <c r="B2543" t="inlineStr">
        <is>
          <t>'附表7'!F26</t>
        </is>
      </c>
      <c r="C2543" t="inlineStr">
        <is>
          <t>excel_formula</t>
        </is>
      </c>
    </row>
    <row r="2544">
      <c r="A2544" t="inlineStr">
        <is>
          <t>附表8!M27</t>
        </is>
      </c>
      <c r="B2544" t="inlineStr">
        <is>
          <t>'附表7'!F27</t>
        </is>
      </c>
      <c r="C2544" t="inlineStr">
        <is>
          <t>excel_formula</t>
        </is>
      </c>
    </row>
    <row r="2545">
      <c r="A2545" t="inlineStr">
        <is>
          <t>附表8!M28</t>
        </is>
      </c>
      <c r="B2545" t="inlineStr">
        <is>
          <t>'附表7'!F28</t>
        </is>
      </c>
      <c r="C2545" t="inlineStr">
        <is>
          <t>excel_formula</t>
        </is>
      </c>
    </row>
    <row r="2546">
      <c r="A2546" t="inlineStr">
        <is>
          <t>附表8!M29</t>
        </is>
      </c>
      <c r="B2546" t="inlineStr">
        <is>
          <t>'附表7'!F29</t>
        </is>
      </c>
      <c r="C2546" t="inlineStr">
        <is>
          <t>excel_formula</t>
        </is>
      </c>
    </row>
    <row r="2547">
      <c r="A2547" t="inlineStr">
        <is>
          <t>附表8!M30</t>
        </is>
      </c>
      <c r="B2547" t="inlineStr">
        <is>
          <t>'附表7'!F30</t>
        </is>
      </c>
      <c r="C2547" t="inlineStr">
        <is>
          <t>excel_formula</t>
        </is>
      </c>
    </row>
    <row r="2548">
      <c r="A2548" t="inlineStr">
        <is>
          <t>附表8!M31</t>
        </is>
      </c>
      <c r="B2548" t="inlineStr">
        <is>
          <t>'附表7'!F31</t>
        </is>
      </c>
      <c r="C2548" t="inlineStr">
        <is>
          <t>excel_formula</t>
        </is>
      </c>
    </row>
    <row r="2549">
      <c r="A2549" t="inlineStr">
        <is>
          <t>附表8!M32</t>
        </is>
      </c>
      <c r="B2549" t="inlineStr">
        <is>
          <t>'附表7'!F32</t>
        </is>
      </c>
      <c r="C2549" t="inlineStr">
        <is>
          <t>excel_formula</t>
        </is>
      </c>
    </row>
    <row r="2550">
      <c r="A2550" t="inlineStr">
        <is>
          <t>附表8!M33</t>
        </is>
      </c>
      <c r="B2550" t="inlineStr">
        <is>
          <t>'附表7'!F33</t>
        </is>
      </c>
      <c r="C2550" t="inlineStr">
        <is>
          <t>excel_formula</t>
        </is>
      </c>
    </row>
    <row r="2551">
      <c r="A2551" t="inlineStr">
        <is>
          <t>附表8!M34</t>
        </is>
      </c>
      <c r="B2551" t="inlineStr">
        <is>
          <t>'附表7'!F34</t>
        </is>
      </c>
      <c r="C2551" t="inlineStr">
        <is>
          <t>excel_formula</t>
        </is>
      </c>
    </row>
    <row r="2552">
      <c r="A2552" t="inlineStr">
        <is>
          <t>附表8!M35</t>
        </is>
      </c>
      <c r="B2552" t="inlineStr">
        <is>
          <t>'附表7'!F35</t>
        </is>
      </c>
      <c r="C2552" t="inlineStr">
        <is>
          <t>excel_formula</t>
        </is>
      </c>
    </row>
    <row r="2553">
      <c r="A2553" t="inlineStr">
        <is>
          <t>附表8!M36</t>
        </is>
      </c>
      <c r="B2553" t="inlineStr">
        <is>
          <t>'附表7'!F36</t>
        </is>
      </c>
      <c r="C2553" t="inlineStr">
        <is>
          <t>excel_formula</t>
        </is>
      </c>
    </row>
    <row r="2554">
      <c r="A2554" t="inlineStr">
        <is>
          <t>附表8!M37</t>
        </is>
      </c>
      <c r="B2554" t="inlineStr">
        <is>
          <t>'附表7'!F37</t>
        </is>
      </c>
      <c r="C2554" t="inlineStr">
        <is>
          <t>excel_formula</t>
        </is>
      </c>
    </row>
    <row r="2555">
      <c r="A2555" t="inlineStr">
        <is>
          <t>附表8!M38</t>
        </is>
      </c>
      <c r="B2555" t="inlineStr">
        <is>
          <t>'附表7'!F38</t>
        </is>
      </c>
      <c r="C2555" t="inlineStr">
        <is>
          <t>excel_formula</t>
        </is>
      </c>
    </row>
    <row r="2556">
      <c r="A2556" t="inlineStr">
        <is>
          <t>附表8!M39</t>
        </is>
      </c>
      <c r="B2556" t="inlineStr">
        <is>
          <t>'附表7'!F39</t>
        </is>
      </c>
      <c r="C2556" t="inlineStr">
        <is>
          <t>excel_formula</t>
        </is>
      </c>
    </row>
    <row r="2557">
      <c r="A2557" t="inlineStr">
        <is>
          <t>附表8!M40</t>
        </is>
      </c>
      <c r="B2557" t="inlineStr">
        <is>
          <t>'附表7'!F40</t>
        </is>
      </c>
      <c r="C2557" t="inlineStr">
        <is>
          <t>excel_formula</t>
        </is>
      </c>
    </row>
    <row r="2558">
      <c r="A2558" t="inlineStr">
        <is>
          <t>附表8!M41</t>
        </is>
      </c>
      <c r="B2558" t="inlineStr">
        <is>
          <t>'附表7'!F41</t>
        </is>
      </c>
      <c r="C2558" t="inlineStr">
        <is>
          <t>excel_formula</t>
        </is>
      </c>
    </row>
    <row r="2559">
      <c r="A2559" t="inlineStr">
        <is>
          <t>附表8!M42</t>
        </is>
      </c>
      <c r="B2559" t="inlineStr">
        <is>
          <t>'附表7'!F42</t>
        </is>
      </c>
      <c r="C2559" t="inlineStr">
        <is>
          <t>excel_formula</t>
        </is>
      </c>
    </row>
    <row r="2560">
      <c r="A2560" t="inlineStr">
        <is>
          <t>附表8!M43</t>
        </is>
      </c>
      <c r="B2560" t="inlineStr">
        <is>
          <t>'附表7'!F43</t>
        </is>
      </c>
      <c r="C2560" t="inlineStr">
        <is>
          <t>excel_formula</t>
        </is>
      </c>
    </row>
    <row r="2561">
      <c r="A2561" t="inlineStr">
        <is>
          <t>附表8!M44</t>
        </is>
      </c>
      <c r="B2561" t="inlineStr">
        <is>
          <t>'附表7'!F44</t>
        </is>
      </c>
      <c r="C2561" t="inlineStr">
        <is>
          <t>excel_formula</t>
        </is>
      </c>
    </row>
    <row r="2562">
      <c r="A2562" t="inlineStr">
        <is>
          <t>附表8!M45</t>
        </is>
      </c>
      <c r="B2562" t="inlineStr">
        <is>
          <t>'附表7'!F45</t>
        </is>
      </c>
      <c r="C2562" t="inlineStr">
        <is>
          <t>excel_formula</t>
        </is>
      </c>
    </row>
    <row r="2563">
      <c r="A2563" t="inlineStr">
        <is>
          <t>附表8!M46</t>
        </is>
      </c>
      <c r="B2563" t="inlineStr">
        <is>
          <t>'附表7'!F46</t>
        </is>
      </c>
      <c r="C2563" t="inlineStr">
        <is>
          <t>excel_formula</t>
        </is>
      </c>
    </row>
    <row r="2564">
      <c r="A2564" t="inlineStr">
        <is>
          <t>附表8!M47</t>
        </is>
      </c>
      <c r="B2564" t="inlineStr">
        <is>
          <t>'附表7'!F47</t>
        </is>
      </c>
      <c r="C2564" t="inlineStr">
        <is>
          <t>excel_formula</t>
        </is>
      </c>
    </row>
    <row r="2565">
      <c r="A2565" t="inlineStr">
        <is>
          <t>附表7!B24</t>
        </is>
      </c>
      <c r="B2565" t="inlineStr">
        <is>
          <t>'附表5'!B16</t>
        </is>
      </c>
      <c r="C2565" t="inlineStr">
        <is>
          <t>excel_formula</t>
        </is>
      </c>
    </row>
    <row r="2566">
      <c r="A2566" t="inlineStr">
        <is>
          <t>附表7!D24</t>
        </is>
      </c>
      <c r="B2566" t="inlineStr">
        <is>
          <t>'附表5'!E16</t>
        </is>
      </c>
      <c r="C2566" t="inlineStr">
        <is>
          <t>excel_formula</t>
        </is>
      </c>
    </row>
    <row r="2567">
      <c r="A2567" t="inlineStr">
        <is>
          <t>附表7!C24</t>
        </is>
      </c>
      <c r="B2567" t="inlineStr">
        <is>
          <t>'附表6'!F16</t>
        </is>
      </c>
      <c r="C2567" t="inlineStr">
        <is>
          <t>excel_formula</t>
        </is>
      </c>
    </row>
    <row r="2568">
      <c r="A2568" t="inlineStr">
        <is>
          <t>附表7!E24</t>
        </is>
      </c>
      <c r="B2568" t="inlineStr">
        <is>
          <t>B24-C24-D24</t>
        </is>
      </c>
      <c r="C2568" t="inlineStr">
        <is>
          <t>excel_formula</t>
        </is>
      </c>
    </row>
    <row r="2569">
      <c r="A2569" t="inlineStr">
        <is>
          <t>附表7!F24</t>
        </is>
      </c>
      <c r="B2569" t="inlineStr">
        <is>
          <t>'附表6'!E16</t>
        </is>
      </c>
      <c r="C2569" t="inlineStr">
        <is>
          <t>excel_formula</t>
        </is>
      </c>
    </row>
    <row r="2570">
      <c r="A2570" t="inlineStr">
        <is>
          <t>附表7!G24</t>
        </is>
      </c>
      <c r="B2570" t="inlineStr">
        <is>
          <t>'附表6'!C16+'附表6'!D16</t>
        </is>
      </c>
      <c r="C2570" t="inlineStr">
        <is>
          <t>excel_formula</t>
        </is>
      </c>
    </row>
    <row r="2571">
      <c r="A2571" t="inlineStr">
        <is>
          <t>附表7!I24</t>
        </is>
      </c>
      <c r="B2571" t="inlineStr">
        <is>
          <t>H24</t>
        </is>
      </c>
      <c r="C2571" t="inlineStr">
        <is>
          <t>excel_formula</t>
        </is>
      </c>
    </row>
    <row r="2572">
      <c r="A2572" t="inlineStr">
        <is>
          <t>附表7!K24</t>
        </is>
      </c>
      <c r="B2572" t="inlineStr">
        <is>
          <t>J24</t>
        </is>
      </c>
      <c r="C2572" t="inlineStr">
        <is>
          <t>excel_formula</t>
        </is>
      </c>
    </row>
    <row r="2573">
      <c r="A2573" t="inlineStr">
        <is>
          <t>附表7!M24</t>
        </is>
      </c>
      <c r="B2573" t="inlineStr">
        <is>
          <t>L24+K24</t>
        </is>
      </c>
      <c r="C2573" t="inlineStr">
        <is>
          <t>excel_formula</t>
        </is>
      </c>
    </row>
    <row r="2574">
      <c r="A2574" t="inlineStr">
        <is>
          <t>附表7!N24</t>
        </is>
      </c>
      <c r="B2574" t="inlineStr">
        <is>
          <t>K24</t>
        </is>
      </c>
      <c r="C2574" t="inlineStr">
        <is>
          <t>excel_formula</t>
        </is>
      </c>
    </row>
    <row r="2575">
      <c r="A2575" t="inlineStr">
        <is>
          <t>附表7!O24</t>
        </is>
      </c>
      <c r="B2575" t="inlineStr">
        <is>
          <t>M24-N24</t>
        </is>
      </c>
      <c r="C2575" t="inlineStr">
        <is>
          <t>excel_formula</t>
        </is>
      </c>
    </row>
    <row r="2576">
      <c r="A2576" t="inlineStr">
        <is>
          <t>附表7!R24</t>
        </is>
      </c>
      <c r="B2576" t="inlineStr">
        <is>
          <t>O24-P24-Q24</t>
        </is>
      </c>
      <c r="C2576" t="inlineStr">
        <is>
          <t>excel_formula</t>
        </is>
      </c>
    </row>
    <row r="2577">
      <c r="A2577" t="inlineStr">
        <is>
          <t>附表7!B25</t>
        </is>
      </c>
      <c r="B2577" t="inlineStr">
        <is>
          <t>'附表5'!B17</t>
        </is>
      </c>
      <c r="C2577" t="inlineStr">
        <is>
          <t>excel_formula</t>
        </is>
      </c>
    </row>
    <row r="2578">
      <c r="A2578" t="inlineStr">
        <is>
          <t>附表7!D25</t>
        </is>
      </c>
      <c r="B2578" t="inlineStr">
        <is>
          <t>'附表5'!E17</t>
        </is>
      </c>
      <c r="C2578" t="inlineStr">
        <is>
          <t>excel_formula</t>
        </is>
      </c>
    </row>
    <row r="2579">
      <c r="A2579" t="inlineStr">
        <is>
          <t>附表7!C25</t>
        </is>
      </c>
      <c r="B2579" t="inlineStr">
        <is>
          <t>'附表6'!F17</t>
        </is>
      </c>
      <c r="C2579" t="inlineStr">
        <is>
          <t>excel_formula</t>
        </is>
      </c>
    </row>
    <row r="2580">
      <c r="A2580" t="inlineStr">
        <is>
          <t>附表7!E25</t>
        </is>
      </c>
      <c r="B2580" t="inlineStr">
        <is>
          <t>B25-C25-D25</t>
        </is>
      </c>
      <c r="C2580" t="inlineStr">
        <is>
          <t>excel_formula</t>
        </is>
      </c>
    </row>
    <row r="2581">
      <c r="A2581" t="inlineStr">
        <is>
          <t>附表7!F25</t>
        </is>
      </c>
      <c r="B2581" t="inlineStr">
        <is>
          <t>'附表6'!E17</t>
        </is>
      </c>
      <c r="C2581" t="inlineStr">
        <is>
          <t>excel_formula</t>
        </is>
      </c>
    </row>
    <row r="2582">
      <c r="A2582" t="inlineStr">
        <is>
          <t>附表7!G25</t>
        </is>
      </c>
      <c r="B2582" t="inlineStr">
        <is>
          <t>'附表6'!C17+'附表6'!D17</t>
        </is>
      </c>
      <c r="C2582" t="inlineStr">
        <is>
          <t>excel_formula</t>
        </is>
      </c>
    </row>
    <row r="2583">
      <c r="A2583" t="inlineStr">
        <is>
          <t>附表7!I25</t>
        </is>
      </c>
      <c r="B2583" t="inlineStr">
        <is>
          <t>H25</t>
        </is>
      </c>
      <c r="C2583" t="inlineStr">
        <is>
          <t>excel_formula</t>
        </is>
      </c>
    </row>
    <row r="2584">
      <c r="A2584" t="inlineStr">
        <is>
          <t>附表7!K25</t>
        </is>
      </c>
      <c r="B2584" t="inlineStr">
        <is>
          <t>J25</t>
        </is>
      </c>
      <c r="C2584" t="inlineStr">
        <is>
          <t>excel_formula</t>
        </is>
      </c>
    </row>
    <row r="2585">
      <c r="A2585" t="inlineStr">
        <is>
          <t>附表7!L25</t>
        </is>
      </c>
      <c r="B2585" t="inlineStr">
        <is>
          <t>R24</t>
        </is>
      </c>
      <c r="C2585" t="inlineStr">
        <is>
          <t>excel_formula</t>
        </is>
      </c>
    </row>
    <row r="2586">
      <c r="A2586" t="inlineStr">
        <is>
          <t>附表7!M25</t>
        </is>
      </c>
      <c r="B2586" t="inlineStr">
        <is>
          <t>L25+K25</t>
        </is>
      </c>
      <c r="C2586" t="inlineStr">
        <is>
          <t>excel_formula</t>
        </is>
      </c>
    </row>
    <row r="2587">
      <c r="A2587" t="inlineStr">
        <is>
          <t>附表7!N25</t>
        </is>
      </c>
      <c r="B2587" t="inlineStr">
        <is>
          <t>K25</t>
        </is>
      </c>
      <c r="C2587" t="inlineStr">
        <is>
          <t>excel_formula</t>
        </is>
      </c>
    </row>
    <row r="2588">
      <c r="A2588" t="inlineStr">
        <is>
          <t>附表7!O25</t>
        </is>
      </c>
      <c r="B2588" t="inlineStr">
        <is>
          <t>M25-N25</t>
        </is>
      </c>
      <c r="C2588" t="inlineStr">
        <is>
          <t>excel_formula</t>
        </is>
      </c>
    </row>
    <row r="2589">
      <c r="A2589" t="inlineStr">
        <is>
          <t>附表7!R25</t>
        </is>
      </c>
      <c r="B2589" t="inlineStr">
        <is>
          <t>O25-P25-Q25</t>
        </is>
      </c>
      <c r="C2589" t="inlineStr">
        <is>
          <t>excel_formula</t>
        </is>
      </c>
    </row>
    <row r="2590">
      <c r="A2590" t="inlineStr">
        <is>
          <t>附表7!B26</t>
        </is>
      </c>
      <c r="B2590" t="inlineStr">
        <is>
          <t>'附表5'!B18</t>
        </is>
      </c>
      <c r="C2590" t="inlineStr">
        <is>
          <t>excel_formula</t>
        </is>
      </c>
    </row>
    <row r="2591">
      <c r="A2591" t="inlineStr">
        <is>
          <t>附表7!D26</t>
        </is>
      </c>
      <c r="B2591" t="inlineStr">
        <is>
          <t>'附表5'!E18</t>
        </is>
      </c>
      <c r="C2591" t="inlineStr">
        <is>
          <t>excel_formula</t>
        </is>
      </c>
    </row>
    <row r="2592">
      <c r="A2592" t="inlineStr">
        <is>
          <t>附表7!C26</t>
        </is>
      </c>
      <c r="B2592" t="inlineStr">
        <is>
          <t>'附表6'!F18</t>
        </is>
      </c>
      <c r="C2592" t="inlineStr">
        <is>
          <t>excel_formula</t>
        </is>
      </c>
    </row>
    <row r="2593">
      <c r="A2593" t="inlineStr">
        <is>
          <t>附表7!E26</t>
        </is>
      </c>
      <c r="B2593" t="inlineStr">
        <is>
          <t>B26-C26-D26</t>
        </is>
      </c>
      <c r="C2593" t="inlineStr">
        <is>
          <t>excel_formula</t>
        </is>
      </c>
    </row>
    <row r="2594">
      <c r="A2594" t="inlineStr">
        <is>
          <t>附表7!F26</t>
        </is>
      </c>
      <c r="B2594" t="inlineStr">
        <is>
          <t>'附表6'!E18</t>
        </is>
      </c>
      <c r="C2594" t="inlineStr">
        <is>
          <t>excel_formula</t>
        </is>
      </c>
    </row>
    <row r="2595">
      <c r="A2595" t="inlineStr">
        <is>
          <t>附表7!G26</t>
        </is>
      </c>
      <c r="B2595" t="inlineStr">
        <is>
          <t>'附表6'!C18+'附表6'!D18</t>
        </is>
      </c>
      <c r="C2595" t="inlineStr">
        <is>
          <t>excel_formula</t>
        </is>
      </c>
    </row>
    <row r="2596">
      <c r="A2596" t="inlineStr">
        <is>
          <t>附表7!I26</t>
        </is>
      </c>
      <c r="B2596" t="inlineStr">
        <is>
          <t>H26</t>
        </is>
      </c>
      <c r="C2596" t="inlineStr">
        <is>
          <t>excel_formula</t>
        </is>
      </c>
    </row>
    <row r="2597">
      <c r="A2597" t="inlineStr">
        <is>
          <t>附表7!K26</t>
        </is>
      </c>
      <c r="B2597" t="inlineStr">
        <is>
          <t>J26</t>
        </is>
      </c>
      <c r="C2597" t="inlineStr">
        <is>
          <t>excel_formula</t>
        </is>
      </c>
    </row>
    <row r="2598">
      <c r="A2598" t="inlineStr">
        <is>
          <t>附表7!L26</t>
        </is>
      </c>
      <c r="B2598" t="inlineStr">
        <is>
          <t>R25</t>
        </is>
      </c>
      <c r="C2598" t="inlineStr">
        <is>
          <t>excel_formula</t>
        </is>
      </c>
    </row>
    <row r="2599">
      <c r="A2599" t="inlineStr">
        <is>
          <t>附表7!M26</t>
        </is>
      </c>
      <c r="B2599" t="inlineStr">
        <is>
          <t>L26+K26</t>
        </is>
      </c>
      <c r="C2599" t="inlineStr">
        <is>
          <t>excel_formula</t>
        </is>
      </c>
    </row>
    <row r="2600">
      <c r="A2600" t="inlineStr">
        <is>
          <t>附表7!N26</t>
        </is>
      </c>
      <c r="B2600" t="inlineStr">
        <is>
          <t>K26</t>
        </is>
      </c>
      <c r="C2600" t="inlineStr">
        <is>
          <t>excel_formula</t>
        </is>
      </c>
    </row>
    <row r="2601">
      <c r="A2601" t="inlineStr">
        <is>
          <t>附表7!O26</t>
        </is>
      </c>
      <c r="B2601" t="inlineStr">
        <is>
          <t>M26-N26</t>
        </is>
      </c>
      <c r="C2601" t="inlineStr">
        <is>
          <t>excel_formula</t>
        </is>
      </c>
    </row>
    <row r="2602">
      <c r="A2602" t="inlineStr">
        <is>
          <t>附表7!R26</t>
        </is>
      </c>
      <c r="B2602" t="inlineStr">
        <is>
          <t>O26-P26-Q26</t>
        </is>
      </c>
      <c r="C2602" t="inlineStr">
        <is>
          <t>excel_formula</t>
        </is>
      </c>
    </row>
    <row r="2603">
      <c r="A2603" t="inlineStr">
        <is>
          <t>附表7!B27</t>
        </is>
      </c>
      <c r="B2603" t="inlineStr">
        <is>
          <t>'附表5'!B19</t>
        </is>
      </c>
      <c r="C2603" t="inlineStr">
        <is>
          <t>excel_formula</t>
        </is>
      </c>
    </row>
    <row r="2604">
      <c r="A2604" t="inlineStr">
        <is>
          <t>附表7!D27</t>
        </is>
      </c>
      <c r="B2604" t="inlineStr">
        <is>
          <t>'附表5'!E19</t>
        </is>
      </c>
      <c r="C2604" t="inlineStr">
        <is>
          <t>excel_formula</t>
        </is>
      </c>
    </row>
    <row r="2605">
      <c r="A2605" t="inlineStr">
        <is>
          <t>附表7!C27</t>
        </is>
      </c>
      <c r="B2605" t="inlineStr">
        <is>
          <t>'附表6'!F19</t>
        </is>
      </c>
      <c r="C2605" t="inlineStr">
        <is>
          <t>excel_formula</t>
        </is>
      </c>
    </row>
    <row r="2606">
      <c r="A2606" t="inlineStr">
        <is>
          <t>附表7!E27</t>
        </is>
      </c>
      <c r="B2606" t="inlineStr">
        <is>
          <t>B27-C27-D27</t>
        </is>
      </c>
      <c r="C2606" t="inlineStr">
        <is>
          <t>excel_formula</t>
        </is>
      </c>
    </row>
    <row r="2607">
      <c r="A2607" t="inlineStr">
        <is>
          <t>附表7!F27</t>
        </is>
      </c>
      <c r="B2607" t="inlineStr">
        <is>
          <t>'附表6'!E19</t>
        </is>
      </c>
      <c r="C2607" t="inlineStr">
        <is>
          <t>excel_formula</t>
        </is>
      </c>
    </row>
    <row r="2608">
      <c r="A2608" t="inlineStr">
        <is>
          <t>附表7!G27</t>
        </is>
      </c>
      <c r="B2608" t="inlineStr">
        <is>
          <t>'附表6'!C19+'附表6'!D19</t>
        </is>
      </c>
      <c r="C2608" t="inlineStr">
        <is>
          <t>excel_formula</t>
        </is>
      </c>
    </row>
    <row r="2609">
      <c r="A2609" t="inlineStr">
        <is>
          <t>附表7!I27</t>
        </is>
      </c>
      <c r="B2609" t="inlineStr">
        <is>
          <t>H27</t>
        </is>
      </c>
      <c r="C2609" t="inlineStr">
        <is>
          <t>excel_formula</t>
        </is>
      </c>
    </row>
    <row r="2610">
      <c r="A2610" t="inlineStr">
        <is>
          <t>附表7!K27</t>
        </is>
      </c>
      <c r="B2610" t="inlineStr">
        <is>
          <t>J27</t>
        </is>
      </c>
      <c r="C2610" t="inlineStr">
        <is>
          <t>excel_formula</t>
        </is>
      </c>
    </row>
    <row r="2611">
      <c r="A2611" t="inlineStr">
        <is>
          <t>附表7!L27</t>
        </is>
      </c>
      <c r="B2611" t="inlineStr">
        <is>
          <t>R26</t>
        </is>
      </c>
      <c r="C2611" t="inlineStr">
        <is>
          <t>excel_formula</t>
        </is>
      </c>
    </row>
    <row r="2612">
      <c r="A2612" t="inlineStr">
        <is>
          <t>附表7!M27</t>
        </is>
      </c>
      <c r="B2612" t="inlineStr">
        <is>
          <t>L27+K27</t>
        </is>
      </c>
      <c r="C2612" t="inlineStr">
        <is>
          <t>excel_formula</t>
        </is>
      </c>
    </row>
    <row r="2613">
      <c r="A2613" t="inlineStr">
        <is>
          <t>附表7!N27</t>
        </is>
      </c>
      <c r="B2613" t="inlineStr">
        <is>
          <t>K27</t>
        </is>
      </c>
      <c r="C2613" t="inlineStr">
        <is>
          <t>excel_formula</t>
        </is>
      </c>
    </row>
    <row r="2614">
      <c r="A2614" t="inlineStr">
        <is>
          <t>附表7!O27</t>
        </is>
      </c>
      <c r="B2614" t="inlineStr">
        <is>
          <t>M27-N27</t>
        </is>
      </c>
      <c r="C2614" t="inlineStr">
        <is>
          <t>excel_formula</t>
        </is>
      </c>
    </row>
    <row r="2615">
      <c r="A2615" t="inlineStr">
        <is>
          <t>附表7!R27</t>
        </is>
      </c>
      <c r="B2615" t="inlineStr">
        <is>
          <t>O27-P27-Q27</t>
        </is>
      </c>
      <c r="C2615" t="inlineStr">
        <is>
          <t>excel_formula</t>
        </is>
      </c>
    </row>
    <row r="2616">
      <c r="A2616" t="inlineStr">
        <is>
          <t>附表7!B28</t>
        </is>
      </c>
      <c r="B2616" t="inlineStr">
        <is>
          <t>'附表5'!B20</t>
        </is>
      </c>
      <c r="C2616" t="inlineStr">
        <is>
          <t>excel_formula</t>
        </is>
      </c>
    </row>
    <row r="2617">
      <c r="A2617" t="inlineStr">
        <is>
          <t>附表7!D28</t>
        </is>
      </c>
      <c r="B2617" t="inlineStr">
        <is>
          <t>'附表5'!E20</t>
        </is>
      </c>
      <c r="C2617" t="inlineStr">
        <is>
          <t>excel_formula</t>
        </is>
      </c>
    </row>
    <row r="2618">
      <c r="A2618" t="inlineStr">
        <is>
          <t>附表7!C28</t>
        </is>
      </c>
      <c r="B2618" t="inlineStr">
        <is>
          <t>'附表6'!F20</t>
        </is>
      </c>
      <c r="C2618" t="inlineStr">
        <is>
          <t>excel_formula</t>
        </is>
      </c>
    </row>
    <row r="2619">
      <c r="A2619" t="inlineStr">
        <is>
          <t>附表7!E28</t>
        </is>
      </c>
      <c r="B2619" t="inlineStr">
        <is>
          <t>B28-C28-D28</t>
        </is>
      </c>
      <c r="C2619" t="inlineStr">
        <is>
          <t>excel_formula</t>
        </is>
      </c>
    </row>
    <row r="2620">
      <c r="A2620" t="inlineStr">
        <is>
          <t>附表7!F28</t>
        </is>
      </c>
      <c r="B2620" t="inlineStr">
        <is>
          <t>'附表6'!E20</t>
        </is>
      </c>
      <c r="C2620" t="inlineStr">
        <is>
          <t>excel_formula</t>
        </is>
      </c>
    </row>
    <row r="2621">
      <c r="A2621" t="inlineStr">
        <is>
          <t>附表7!G28</t>
        </is>
      </c>
      <c r="B2621" t="inlineStr">
        <is>
          <t>'附表6'!C20+'附表6'!D20</t>
        </is>
      </c>
      <c r="C2621" t="inlineStr">
        <is>
          <t>excel_formula</t>
        </is>
      </c>
    </row>
    <row r="2622">
      <c r="A2622" t="inlineStr">
        <is>
          <t>附表7!I28</t>
        </is>
      </c>
      <c r="B2622" t="inlineStr">
        <is>
          <t>H28</t>
        </is>
      </c>
      <c r="C2622" t="inlineStr">
        <is>
          <t>excel_formula</t>
        </is>
      </c>
    </row>
    <row r="2623">
      <c r="A2623" t="inlineStr">
        <is>
          <t>附表7!K28</t>
        </is>
      </c>
      <c r="B2623" t="inlineStr">
        <is>
          <t>J28</t>
        </is>
      </c>
      <c r="C2623" t="inlineStr">
        <is>
          <t>excel_formula</t>
        </is>
      </c>
    </row>
    <row r="2624">
      <c r="A2624" t="inlineStr">
        <is>
          <t>附表7!L28</t>
        </is>
      </c>
      <c r="B2624" t="inlineStr">
        <is>
          <t>R27</t>
        </is>
      </c>
      <c r="C2624" t="inlineStr">
        <is>
          <t>excel_formula</t>
        </is>
      </c>
    </row>
    <row r="2625">
      <c r="A2625" t="inlineStr">
        <is>
          <t>附表7!M28</t>
        </is>
      </c>
      <c r="B2625" t="inlineStr">
        <is>
          <t>L28+K28</t>
        </is>
      </c>
      <c r="C2625" t="inlineStr">
        <is>
          <t>excel_formula</t>
        </is>
      </c>
    </row>
    <row r="2626">
      <c r="A2626" t="inlineStr">
        <is>
          <t>附表7!N28</t>
        </is>
      </c>
      <c r="B2626" t="inlineStr">
        <is>
          <t>K28</t>
        </is>
      </c>
      <c r="C2626" t="inlineStr">
        <is>
          <t>excel_formula</t>
        </is>
      </c>
    </row>
    <row r="2627">
      <c r="A2627" t="inlineStr">
        <is>
          <t>附表7!O28</t>
        </is>
      </c>
      <c r="B2627" t="inlineStr">
        <is>
          <t>M28-N28</t>
        </is>
      </c>
      <c r="C2627" t="inlineStr">
        <is>
          <t>excel_formula</t>
        </is>
      </c>
    </row>
    <row r="2628">
      <c r="A2628" t="inlineStr">
        <is>
          <t>附表7!R28</t>
        </is>
      </c>
      <c r="B2628" t="inlineStr">
        <is>
          <t>O28-P28-Q28</t>
        </is>
      </c>
      <c r="C2628" t="inlineStr">
        <is>
          <t>excel_formula</t>
        </is>
      </c>
    </row>
    <row r="2629">
      <c r="A2629" t="inlineStr">
        <is>
          <t>附表7!B29</t>
        </is>
      </c>
      <c r="B2629" t="inlineStr">
        <is>
          <t>'附表5'!B21</t>
        </is>
      </c>
      <c r="C2629" t="inlineStr">
        <is>
          <t>excel_formula</t>
        </is>
      </c>
    </row>
    <row r="2630">
      <c r="A2630" t="inlineStr">
        <is>
          <t>附表7!D29</t>
        </is>
      </c>
      <c r="B2630" t="inlineStr">
        <is>
          <t>'附表5'!E21</t>
        </is>
      </c>
      <c r="C2630" t="inlineStr">
        <is>
          <t>excel_formula</t>
        </is>
      </c>
    </row>
    <row r="2631">
      <c r="A2631" t="inlineStr">
        <is>
          <t>附表7!C29</t>
        </is>
      </c>
      <c r="B2631" t="inlineStr">
        <is>
          <t>'附表6'!F21</t>
        </is>
      </c>
      <c r="C2631" t="inlineStr">
        <is>
          <t>excel_formula</t>
        </is>
      </c>
    </row>
    <row r="2632">
      <c r="A2632" t="inlineStr">
        <is>
          <t>附表7!E29</t>
        </is>
      </c>
      <c r="B2632" t="inlineStr">
        <is>
          <t>B29-C29-D29</t>
        </is>
      </c>
      <c r="C2632" t="inlineStr">
        <is>
          <t>excel_formula</t>
        </is>
      </c>
    </row>
    <row r="2633">
      <c r="A2633" t="inlineStr">
        <is>
          <t>附表7!F29</t>
        </is>
      </c>
      <c r="B2633" t="inlineStr">
        <is>
          <t>'附表6'!E21</t>
        </is>
      </c>
      <c r="C2633" t="inlineStr">
        <is>
          <t>excel_formula</t>
        </is>
      </c>
    </row>
    <row r="2634">
      <c r="A2634" t="inlineStr">
        <is>
          <t>附表7!G29</t>
        </is>
      </c>
      <c r="B2634" t="inlineStr">
        <is>
          <t>'附表6'!C21+'附表6'!D21</t>
        </is>
      </c>
      <c r="C2634" t="inlineStr">
        <is>
          <t>excel_formula</t>
        </is>
      </c>
    </row>
    <row r="2635">
      <c r="A2635" t="inlineStr">
        <is>
          <t>附表7!I29</t>
        </is>
      </c>
      <c r="B2635" t="inlineStr">
        <is>
          <t>H29</t>
        </is>
      </c>
      <c r="C2635" t="inlineStr">
        <is>
          <t>excel_formula</t>
        </is>
      </c>
    </row>
    <row r="2636">
      <c r="A2636" t="inlineStr">
        <is>
          <t>附表7!K29</t>
        </is>
      </c>
      <c r="B2636" t="inlineStr">
        <is>
          <t>J29</t>
        </is>
      </c>
      <c r="C2636" t="inlineStr">
        <is>
          <t>excel_formula</t>
        </is>
      </c>
    </row>
    <row r="2637">
      <c r="A2637" t="inlineStr">
        <is>
          <t>附表7!L29</t>
        </is>
      </c>
      <c r="B2637" t="inlineStr">
        <is>
          <t>R28</t>
        </is>
      </c>
      <c r="C2637" t="inlineStr">
        <is>
          <t>excel_formula</t>
        </is>
      </c>
    </row>
    <row r="2638">
      <c r="A2638" t="inlineStr">
        <is>
          <t>附表7!M29</t>
        </is>
      </c>
      <c r="B2638" t="inlineStr">
        <is>
          <t>L29+K29</t>
        </is>
      </c>
      <c r="C2638" t="inlineStr">
        <is>
          <t>excel_formula</t>
        </is>
      </c>
    </row>
    <row r="2639">
      <c r="A2639" t="inlineStr">
        <is>
          <t>附表7!N29</t>
        </is>
      </c>
      <c r="B2639" t="inlineStr">
        <is>
          <t>K29</t>
        </is>
      </c>
      <c r="C2639" t="inlineStr">
        <is>
          <t>excel_formula</t>
        </is>
      </c>
    </row>
    <row r="2640">
      <c r="A2640" t="inlineStr">
        <is>
          <t>附表7!O29</t>
        </is>
      </c>
      <c r="B2640" t="inlineStr">
        <is>
          <t>M29-N29</t>
        </is>
      </c>
      <c r="C2640" t="inlineStr">
        <is>
          <t>excel_formula</t>
        </is>
      </c>
    </row>
    <row r="2641">
      <c r="A2641" t="inlineStr">
        <is>
          <t>附表7!R29</t>
        </is>
      </c>
      <c r="B2641" t="inlineStr">
        <is>
          <t>O29-P29-Q29</t>
        </is>
      </c>
      <c r="C2641" t="inlineStr">
        <is>
          <t>excel_formula</t>
        </is>
      </c>
    </row>
    <row r="2642">
      <c r="A2642" t="inlineStr">
        <is>
          <t>附表7!B30</t>
        </is>
      </c>
      <c r="B2642" t="inlineStr">
        <is>
          <t>'附表5'!B22</t>
        </is>
      </c>
      <c r="C2642" t="inlineStr">
        <is>
          <t>excel_formula</t>
        </is>
      </c>
    </row>
    <row r="2643">
      <c r="A2643" t="inlineStr">
        <is>
          <t>附表7!D30</t>
        </is>
      </c>
      <c r="B2643" t="inlineStr">
        <is>
          <t>'附表5'!E22</t>
        </is>
      </c>
      <c r="C2643" t="inlineStr">
        <is>
          <t>excel_formula</t>
        </is>
      </c>
    </row>
    <row r="2644">
      <c r="A2644" t="inlineStr">
        <is>
          <t>附表7!C30</t>
        </is>
      </c>
      <c r="B2644" t="inlineStr">
        <is>
          <t>'附表6'!F22</t>
        </is>
      </c>
      <c r="C2644" t="inlineStr">
        <is>
          <t>excel_formula</t>
        </is>
      </c>
    </row>
    <row r="2645">
      <c r="A2645" t="inlineStr">
        <is>
          <t>附表7!E30</t>
        </is>
      </c>
      <c r="B2645" t="inlineStr">
        <is>
          <t>B30-C30-D30</t>
        </is>
      </c>
      <c r="C2645" t="inlineStr">
        <is>
          <t>excel_formula</t>
        </is>
      </c>
    </row>
    <row r="2646">
      <c r="A2646" t="inlineStr">
        <is>
          <t>附表7!F30</t>
        </is>
      </c>
      <c r="B2646" t="inlineStr">
        <is>
          <t>'附表6'!E22</t>
        </is>
      </c>
      <c r="C2646" t="inlineStr">
        <is>
          <t>excel_formula</t>
        </is>
      </c>
    </row>
    <row r="2647">
      <c r="A2647" t="inlineStr">
        <is>
          <t>附表7!G30</t>
        </is>
      </c>
      <c r="B2647" t="inlineStr">
        <is>
          <t>'附表6'!C22+'附表6'!D22</t>
        </is>
      </c>
      <c r="C2647" t="inlineStr">
        <is>
          <t>excel_formula</t>
        </is>
      </c>
    </row>
    <row r="2648">
      <c r="A2648" t="inlineStr">
        <is>
          <t>附表7!I30</t>
        </is>
      </c>
      <c r="B2648" t="inlineStr">
        <is>
          <t>H30</t>
        </is>
      </c>
      <c r="C2648" t="inlineStr">
        <is>
          <t>excel_formula</t>
        </is>
      </c>
    </row>
    <row r="2649">
      <c r="A2649" t="inlineStr">
        <is>
          <t>附表7!K30</t>
        </is>
      </c>
      <c r="B2649" t="inlineStr">
        <is>
          <t>J30</t>
        </is>
      </c>
      <c r="C2649" t="inlineStr">
        <is>
          <t>excel_formula</t>
        </is>
      </c>
    </row>
    <row r="2650">
      <c r="A2650" t="inlineStr">
        <is>
          <t>附表7!L30</t>
        </is>
      </c>
      <c r="B2650" t="inlineStr">
        <is>
          <t>R29</t>
        </is>
      </c>
      <c r="C2650" t="inlineStr">
        <is>
          <t>excel_formula</t>
        </is>
      </c>
    </row>
    <row r="2651">
      <c r="A2651" t="inlineStr">
        <is>
          <t>附表7!M30</t>
        </is>
      </c>
      <c r="B2651" t="inlineStr">
        <is>
          <t>L30+K30</t>
        </is>
      </c>
      <c r="C2651" t="inlineStr">
        <is>
          <t>excel_formula</t>
        </is>
      </c>
    </row>
    <row r="2652">
      <c r="A2652" t="inlineStr">
        <is>
          <t>附表7!N30</t>
        </is>
      </c>
      <c r="B2652" t="inlineStr">
        <is>
          <t>K30</t>
        </is>
      </c>
      <c r="C2652" t="inlineStr">
        <is>
          <t>excel_formula</t>
        </is>
      </c>
    </row>
    <row r="2653">
      <c r="A2653" t="inlineStr">
        <is>
          <t>附表7!O30</t>
        </is>
      </c>
      <c r="B2653" t="inlineStr">
        <is>
          <t>M30-N30</t>
        </is>
      </c>
      <c r="C2653" t="inlineStr">
        <is>
          <t>excel_formula</t>
        </is>
      </c>
    </row>
    <row r="2654">
      <c r="A2654" t="inlineStr">
        <is>
          <t>附表7!R30</t>
        </is>
      </c>
      <c r="B2654" t="inlineStr">
        <is>
          <t>O30-P30-Q30</t>
        </is>
      </c>
      <c r="C2654" t="inlineStr">
        <is>
          <t>excel_formula</t>
        </is>
      </c>
    </row>
    <row r="2655">
      <c r="A2655" t="inlineStr">
        <is>
          <t>附表7!B31</t>
        </is>
      </c>
      <c r="B2655" t="inlineStr">
        <is>
          <t>'附表5'!B23</t>
        </is>
      </c>
      <c r="C2655" t="inlineStr">
        <is>
          <t>excel_formula</t>
        </is>
      </c>
    </row>
    <row r="2656">
      <c r="A2656" t="inlineStr">
        <is>
          <t>附表7!D31</t>
        </is>
      </c>
      <c r="B2656" t="inlineStr">
        <is>
          <t>'附表5'!E23</t>
        </is>
      </c>
      <c r="C2656" t="inlineStr">
        <is>
          <t>excel_formula</t>
        </is>
      </c>
    </row>
    <row r="2657">
      <c r="A2657" t="inlineStr">
        <is>
          <t>附表7!C31</t>
        </is>
      </c>
      <c r="B2657" t="inlineStr">
        <is>
          <t>'附表6'!F23</t>
        </is>
      </c>
      <c r="C2657" t="inlineStr">
        <is>
          <t>excel_formula</t>
        </is>
      </c>
    </row>
    <row r="2658">
      <c r="A2658" t="inlineStr">
        <is>
          <t>附表7!E31</t>
        </is>
      </c>
      <c r="B2658" t="inlineStr">
        <is>
          <t>B31-C31-D31</t>
        </is>
      </c>
      <c r="C2658" t="inlineStr">
        <is>
          <t>excel_formula</t>
        </is>
      </c>
    </row>
    <row r="2659">
      <c r="A2659" t="inlineStr">
        <is>
          <t>附表7!F31</t>
        </is>
      </c>
      <c r="B2659" t="inlineStr">
        <is>
          <t>'附表6'!E23</t>
        </is>
      </c>
      <c r="C2659" t="inlineStr">
        <is>
          <t>excel_formula</t>
        </is>
      </c>
    </row>
    <row r="2660">
      <c r="A2660" t="inlineStr">
        <is>
          <t>附表7!G31</t>
        </is>
      </c>
      <c r="B2660" t="inlineStr">
        <is>
          <t>'附表6'!C23+'附表6'!D23</t>
        </is>
      </c>
      <c r="C2660" t="inlineStr">
        <is>
          <t>excel_formula</t>
        </is>
      </c>
    </row>
    <row r="2661">
      <c r="A2661" t="inlineStr">
        <is>
          <t>附表7!I31</t>
        </is>
      </c>
      <c r="B2661" t="inlineStr">
        <is>
          <t>H31</t>
        </is>
      </c>
      <c r="C2661" t="inlineStr">
        <is>
          <t>excel_formula</t>
        </is>
      </c>
    </row>
    <row r="2662">
      <c r="A2662" t="inlineStr">
        <is>
          <t>附表7!K31</t>
        </is>
      </c>
      <c r="B2662" t="inlineStr">
        <is>
          <t>J31</t>
        </is>
      </c>
      <c r="C2662" t="inlineStr">
        <is>
          <t>excel_formula</t>
        </is>
      </c>
    </row>
    <row r="2663">
      <c r="A2663" t="inlineStr">
        <is>
          <t>附表7!L31</t>
        </is>
      </c>
      <c r="B2663" t="inlineStr">
        <is>
          <t>R30</t>
        </is>
      </c>
      <c r="C2663" t="inlineStr">
        <is>
          <t>excel_formula</t>
        </is>
      </c>
    </row>
    <row r="2664">
      <c r="A2664" t="inlineStr">
        <is>
          <t>附表7!M31</t>
        </is>
      </c>
      <c r="B2664" t="inlineStr">
        <is>
          <t>L31+K31</t>
        </is>
      </c>
      <c r="C2664" t="inlineStr">
        <is>
          <t>excel_formula</t>
        </is>
      </c>
    </row>
    <row r="2665">
      <c r="A2665" t="inlineStr">
        <is>
          <t>附表7!N31</t>
        </is>
      </c>
      <c r="B2665" t="inlineStr">
        <is>
          <t>K31</t>
        </is>
      </c>
      <c r="C2665" t="inlineStr">
        <is>
          <t>excel_formula</t>
        </is>
      </c>
    </row>
    <row r="2666">
      <c r="A2666" t="inlineStr">
        <is>
          <t>附表7!O31</t>
        </is>
      </c>
      <c r="B2666" t="inlineStr">
        <is>
          <t>M31-N31</t>
        </is>
      </c>
      <c r="C2666" t="inlineStr">
        <is>
          <t>excel_formula</t>
        </is>
      </c>
    </row>
    <row r="2667">
      <c r="A2667" t="inlineStr">
        <is>
          <t>附表7!R31</t>
        </is>
      </c>
      <c r="B2667" t="inlineStr">
        <is>
          <t>O31-P31-Q31</t>
        </is>
      </c>
      <c r="C2667" t="inlineStr">
        <is>
          <t>excel_formula</t>
        </is>
      </c>
    </row>
    <row r="2668">
      <c r="A2668" t="inlineStr">
        <is>
          <t>附表7!B32</t>
        </is>
      </c>
      <c r="B2668" t="inlineStr">
        <is>
          <t>'附表5'!B24</t>
        </is>
      </c>
      <c r="C2668" t="inlineStr">
        <is>
          <t>excel_formula</t>
        </is>
      </c>
    </row>
    <row r="2669">
      <c r="A2669" t="inlineStr">
        <is>
          <t>附表7!D32</t>
        </is>
      </c>
      <c r="B2669" t="inlineStr">
        <is>
          <t>'附表5'!E24</t>
        </is>
      </c>
      <c r="C2669" t="inlineStr">
        <is>
          <t>excel_formula</t>
        </is>
      </c>
    </row>
    <row r="2670">
      <c r="A2670" t="inlineStr">
        <is>
          <t>附表7!C32</t>
        </is>
      </c>
      <c r="B2670" t="inlineStr">
        <is>
          <t>'附表6'!F24</t>
        </is>
      </c>
      <c r="C2670" t="inlineStr">
        <is>
          <t>excel_formula</t>
        </is>
      </c>
    </row>
    <row r="2671">
      <c r="A2671" t="inlineStr">
        <is>
          <t>附表7!E32</t>
        </is>
      </c>
      <c r="B2671" t="inlineStr">
        <is>
          <t>B32-C32-D32</t>
        </is>
      </c>
      <c r="C2671" t="inlineStr">
        <is>
          <t>excel_formula</t>
        </is>
      </c>
    </row>
    <row r="2672">
      <c r="A2672" t="inlineStr">
        <is>
          <t>附表7!F32</t>
        </is>
      </c>
      <c r="B2672" t="inlineStr">
        <is>
          <t>'附表6'!E24</t>
        </is>
      </c>
      <c r="C2672" t="inlineStr">
        <is>
          <t>excel_formula</t>
        </is>
      </c>
    </row>
    <row r="2673">
      <c r="A2673" t="inlineStr">
        <is>
          <t>附表7!G32</t>
        </is>
      </c>
      <c r="B2673" t="inlineStr">
        <is>
          <t>'附表6'!C24+'附表6'!D24</t>
        </is>
      </c>
      <c r="C2673" t="inlineStr">
        <is>
          <t>excel_formula</t>
        </is>
      </c>
    </row>
    <row r="2674">
      <c r="A2674" t="inlineStr">
        <is>
          <t>附表7!I32</t>
        </is>
      </c>
      <c r="B2674" t="inlineStr">
        <is>
          <t>H32</t>
        </is>
      </c>
      <c r="C2674" t="inlineStr">
        <is>
          <t>excel_formula</t>
        </is>
      </c>
    </row>
    <row r="2675">
      <c r="A2675" t="inlineStr">
        <is>
          <t>附表7!K32</t>
        </is>
      </c>
      <c r="B2675" t="inlineStr">
        <is>
          <t>J32</t>
        </is>
      </c>
      <c r="C2675" t="inlineStr">
        <is>
          <t>excel_formula</t>
        </is>
      </c>
    </row>
    <row r="2676">
      <c r="A2676" t="inlineStr">
        <is>
          <t>附表7!L32</t>
        </is>
      </c>
      <c r="B2676" t="inlineStr">
        <is>
          <t>R31</t>
        </is>
      </c>
      <c r="C2676" t="inlineStr">
        <is>
          <t>excel_formula</t>
        </is>
      </c>
    </row>
    <row r="2677">
      <c r="A2677" t="inlineStr">
        <is>
          <t>附表7!M32</t>
        </is>
      </c>
      <c r="B2677" t="inlineStr">
        <is>
          <t>L32+K32</t>
        </is>
      </c>
      <c r="C2677" t="inlineStr">
        <is>
          <t>excel_formula</t>
        </is>
      </c>
    </row>
    <row r="2678">
      <c r="A2678" t="inlineStr">
        <is>
          <t>附表7!N32</t>
        </is>
      </c>
      <c r="B2678" t="inlineStr">
        <is>
          <t>K32</t>
        </is>
      </c>
      <c r="C2678" t="inlineStr">
        <is>
          <t>excel_formula</t>
        </is>
      </c>
    </row>
    <row r="2679">
      <c r="A2679" t="inlineStr">
        <is>
          <t>附表7!O32</t>
        </is>
      </c>
      <c r="B2679" t="inlineStr">
        <is>
          <t>M32-N32</t>
        </is>
      </c>
      <c r="C2679" t="inlineStr">
        <is>
          <t>excel_formula</t>
        </is>
      </c>
    </row>
    <row r="2680">
      <c r="A2680" t="inlineStr">
        <is>
          <t>附表7!R32</t>
        </is>
      </c>
      <c r="B2680" t="inlineStr">
        <is>
          <t>O32-P32-Q32</t>
        </is>
      </c>
      <c r="C2680" t="inlineStr">
        <is>
          <t>excel_formula</t>
        </is>
      </c>
    </row>
    <row r="2681">
      <c r="A2681" t="inlineStr">
        <is>
          <t>附表7!B33</t>
        </is>
      </c>
      <c r="B2681" t="inlineStr">
        <is>
          <t>'附表5'!B25</t>
        </is>
      </c>
      <c r="C2681" t="inlineStr">
        <is>
          <t>excel_formula</t>
        </is>
      </c>
    </row>
    <row r="2682">
      <c r="A2682" t="inlineStr">
        <is>
          <t>附表7!D33</t>
        </is>
      </c>
      <c r="B2682" t="inlineStr">
        <is>
          <t>'附表5'!E25</t>
        </is>
      </c>
      <c r="C2682" t="inlineStr">
        <is>
          <t>excel_formula</t>
        </is>
      </c>
    </row>
    <row r="2683">
      <c r="A2683" t="inlineStr">
        <is>
          <t>附表7!C33</t>
        </is>
      </c>
      <c r="B2683" t="inlineStr">
        <is>
          <t>'附表6'!F25</t>
        </is>
      </c>
      <c r="C2683" t="inlineStr">
        <is>
          <t>excel_formula</t>
        </is>
      </c>
    </row>
    <row r="2684">
      <c r="A2684" t="inlineStr">
        <is>
          <t>附表7!E33</t>
        </is>
      </c>
      <c r="B2684" t="inlineStr">
        <is>
          <t>B33-C33-D33</t>
        </is>
      </c>
      <c r="C2684" t="inlineStr">
        <is>
          <t>excel_formula</t>
        </is>
      </c>
    </row>
    <row r="2685">
      <c r="A2685" t="inlineStr">
        <is>
          <t>附表7!F33</t>
        </is>
      </c>
      <c r="B2685" t="inlineStr">
        <is>
          <t>'附表6'!E25</t>
        </is>
      </c>
      <c r="C2685" t="inlineStr">
        <is>
          <t>excel_formula</t>
        </is>
      </c>
    </row>
    <row r="2686">
      <c r="A2686" t="inlineStr">
        <is>
          <t>附表7!G33</t>
        </is>
      </c>
      <c r="B2686" t="inlineStr">
        <is>
          <t>'附表6'!C25+'附表6'!D25</t>
        </is>
      </c>
      <c r="C2686" t="inlineStr">
        <is>
          <t>excel_formula</t>
        </is>
      </c>
    </row>
    <row r="2687">
      <c r="A2687" t="inlineStr">
        <is>
          <t>附表7!I33</t>
        </is>
      </c>
      <c r="B2687" t="inlineStr">
        <is>
          <t>H33</t>
        </is>
      </c>
      <c r="C2687" t="inlineStr">
        <is>
          <t>excel_formula</t>
        </is>
      </c>
    </row>
    <row r="2688">
      <c r="A2688" t="inlineStr">
        <is>
          <t>附表7!K33</t>
        </is>
      </c>
      <c r="B2688" t="inlineStr">
        <is>
          <t>J33</t>
        </is>
      </c>
      <c r="C2688" t="inlineStr">
        <is>
          <t>excel_formula</t>
        </is>
      </c>
    </row>
    <row r="2689">
      <c r="A2689" t="inlineStr">
        <is>
          <t>附表7!L33</t>
        </is>
      </c>
      <c r="B2689" t="inlineStr">
        <is>
          <t>R32</t>
        </is>
      </c>
      <c r="C2689" t="inlineStr">
        <is>
          <t>excel_formula</t>
        </is>
      </c>
    </row>
    <row r="2690">
      <c r="A2690" t="inlineStr">
        <is>
          <t>附表7!M33</t>
        </is>
      </c>
      <c r="B2690" t="inlineStr">
        <is>
          <t>L33+K33</t>
        </is>
      </c>
      <c r="C2690" t="inlineStr">
        <is>
          <t>excel_formula</t>
        </is>
      </c>
    </row>
    <row r="2691">
      <c r="A2691" t="inlineStr">
        <is>
          <t>附表7!N33</t>
        </is>
      </c>
      <c r="B2691" t="inlineStr">
        <is>
          <t>K33</t>
        </is>
      </c>
      <c r="C2691" t="inlineStr">
        <is>
          <t>excel_formula</t>
        </is>
      </c>
    </row>
    <row r="2692">
      <c r="A2692" t="inlineStr">
        <is>
          <t>附表7!O33</t>
        </is>
      </c>
      <c r="B2692" t="inlineStr">
        <is>
          <t>M33-N33</t>
        </is>
      </c>
      <c r="C2692" t="inlineStr">
        <is>
          <t>excel_formula</t>
        </is>
      </c>
    </row>
    <row r="2693">
      <c r="A2693" t="inlineStr">
        <is>
          <t>附表7!R33</t>
        </is>
      </c>
      <c r="B2693" t="inlineStr">
        <is>
          <t>O33-P33-Q33</t>
        </is>
      </c>
      <c r="C2693" t="inlineStr">
        <is>
          <t>excel_formula</t>
        </is>
      </c>
    </row>
    <row r="2694">
      <c r="A2694" t="inlineStr">
        <is>
          <t>附表7!B34</t>
        </is>
      </c>
      <c r="B2694" t="inlineStr">
        <is>
          <t>'附表5'!B26</t>
        </is>
      </c>
      <c r="C2694" t="inlineStr">
        <is>
          <t>excel_formula</t>
        </is>
      </c>
    </row>
    <row r="2695">
      <c r="A2695" t="inlineStr">
        <is>
          <t>附表7!D34</t>
        </is>
      </c>
      <c r="B2695" t="inlineStr">
        <is>
          <t>'附表5'!E26</t>
        </is>
      </c>
      <c r="C2695" t="inlineStr">
        <is>
          <t>excel_formula</t>
        </is>
      </c>
    </row>
    <row r="2696">
      <c r="A2696" t="inlineStr">
        <is>
          <t>附表7!C34</t>
        </is>
      </c>
      <c r="B2696" t="inlineStr">
        <is>
          <t>'附表6'!F26</t>
        </is>
      </c>
      <c r="C2696" t="inlineStr">
        <is>
          <t>excel_formula</t>
        </is>
      </c>
    </row>
    <row r="2697">
      <c r="A2697" t="inlineStr">
        <is>
          <t>附表7!E34</t>
        </is>
      </c>
      <c r="B2697" t="inlineStr">
        <is>
          <t>B34-C34-D34</t>
        </is>
      </c>
      <c r="C2697" t="inlineStr">
        <is>
          <t>excel_formula</t>
        </is>
      </c>
    </row>
    <row r="2698">
      <c r="A2698" t="inlineStr">
        <is>
          <t>附表7!F34</t>
        </is>
      </c>
      <c r="B2698" t="inlineStr">
        <is>
          <t>'附表6'!E26</t>
        </is>
      </c>
      <c r="C2698" t="inlineStr">
        <is>
          <t>excel_formula</t>
        </is>
      </c>
    </row>
    <row r="2699">
      <c r="A2699" t="inlineStr">
        <is>
          <t>附表7!G34</t>
        </is>
      </c>
      <c r="B2699" t="inlineStr">
        <is>
          <t>'附表6'!C26+'附表6'!D26</t>
        </is>
      </c>
      <c r="C2699" t="inlineStr">
        <is>
          <t>excel_formula</t>
        </is>
      </c>
    </row>
    <row r="2700">
      <c r="A2700" t="inlineStr">
        <is>
          <t>附表7!I34</t>
        </is>
      </c>
      <c r="B2700" t="inlineStr">
        <is>
          <t>H34</t>
        </is>
      </c>
      <c r="C2700" t="inlineStr">
        <is>
          <t>excel_formula</t>
        </is>
      </c>
    </row>
    <row r="2701">
      <c r="A2701" t="inlineStr">
        <is>
          <t>附表7!K34</t>
        </is>
      </c>
      <c r="B2701" t="inlineStr">
        <is>
          <t>J34</t>
        </is>
      </c>
      <c r="C2701" t="inlineStr">
        <is>
          <t>excel_formula</t>
        </is>
      </c>
    </row>
    <row r="2702">
      <c r="A2702" t="inlineStr">
        <is>
          <t>附表7!L34</t>
        </is>
      </c>
      <c r="B2702" t="inlineStr">
        <is>
          <t>R33</t>
        </is>
      </c>
      <c r="C2702" t="inlineStr">
        <is>
          <t>excel_formula</t>
        </is>
      </c>
    </row>
    <row r="2703">
      <c r="A2703" t="inlineStr">
        <is>
          <t>附表7!M34</t>
        </is>
      </c>
      <c r="B2703" t="inlineStr">
        <is>
          <t>L34+K34</t>
        </is>
      </c>
      <c r="C2703" t="inlineStr">
        <is>
          <t>excel_formula</t>
        </is>
      </c>
    </row>
    <row r="2704">
      <c r="A2704" t="inlineStr">
        <is>
          <t>附表7!N34</t>
        </is>
      </c>
      <c r="B2704" t="inlineStr">
        <is>
          <t>K34</t>
        </is>
      </c>
      <c r="C2704" t="inlineStr">
        <is>
          <t>excel_formula</t>
        </is>
      </c>
    </row>
    <row r="2705">
      <c r="A2705" t="inlineStr">
        <is>
          <t>附表7!O34</t>
        </is>
      </c>
      <c r="B2705" t="inlineStr">
        <is>
          <t>M34-N34</t>
        </is>
      </c>
      <c r="C2705" t="inlineStr">
        <is>
          <t>excel_formula</t>
        </is>
      </c>
    </row>
    <row r="2706">
      <c r="A2706" t="inlineStr">
        <is>
          <t>附表7!R34</t>
        </is>
      </c>
      <c r="B2706" t="inlineStr">
        <is>
          <t>O34-P34-Q34</t>
        </is>
      </c>
      <c r="C2706" t="inlineStr">
        <is>
          <t>excel_formula</t>
        </is>
      </c>
    </row>
    <row r="2707">
      <c r="A2707" t="inlineStr">
        <is>
          <t>附表7!B35</t>
        </is>
      </c>
      <c r="B2707" t="inlineStr">
        <is>
          <t>'附表5'!B27</t>
        </is>
      </c>
      <c r="C2707" t="inlineStr">
        <is>
          <t>excel_formula</t>
        </is>
      </c>
    </row>
    <row r="2708">
      <c r="A2708" t="inlineStr">
        <is>
          <t>附表7!D35</t>
        </is>
      </c>
      <c r="B2708" t="inlineStr">
        <is>
          <t>'附表5'!E27</t>
        </is>
      </c>
      <c r="C2708" t="inlineStr">
        <is>
          <t>excel_formula</t>
        </is>
      </c>
    </row>
    <row r="2709">
      <c r="A2709" t="inlineStr">
        <is>
          <t>附表7!C35</t>
        </is>
      </c>
      <c r="B2709" t="inlineStr">
        <is>
          <t>'附表6'!F27</t>
        </is>
      </c>
      <c r="C2709" t="inlineStr">
        <is>
          <t>excel_formula</t>
        </is>
      </c>
    </row>
    <row r="2710">
      <c r="A2710" t="inlineStr">
        <is>
          <t>附表7!E35</t>
        </is>
      </c>
      <c r="B2710" t="inlineStr">
        <is>
          <t>B35-C35-D35</t>
        </is>
      </c>
      <c r="C2710" t="inlineStr">
        <is>
          <t>excel_formula</t>
        </is>
      </c>
    </row>
    <row r="2711">
      <c r="A2711" t="inlineStr">
        <is>
          <t>附表7!F35</t>
        </is>
      </c>
      <c r="B2711" t="inlineStr">
        <is>
          <t>'附表6'!E27</t>
        </is>
      </c>
      <c r="C2711" t="inlineStr">
        <is>
          <t>excel_formula</t>
        </is>
      </c>
    </row>
    <row r="2712">
      <c r="A2712" t="inlineStr">
        <is>
          <t>附表7!G35</t>
        </is>
      </c>
      <c r="B2712" t="inlineStr">
        <is>
          <t>'附表6'!C27+'附表6'!D27</t>
        </is>
      </c>
      <c r="C2712" t="inlineStr">
        <is>
          <t>excel_formula</t>
        </is>
      </c>
    </row>
    <row r="2713">
      <c r="A2713" t="inlineStr">
        <is>
          <t>附表7!I35</t>
        </is>
      </c>
      <c r="B2713" t="inlineStr">
        <is>
          <t>H35</t>
        </is>
      </c>
      <c r="C2713" t="inlineStr">
        <is>
          <t>excel_formula</t>
        </is>
      </c>
    </row>
    <row r="2714">
      <c r="A2714" t="inlineStr">
        <is>
          <t>附表7!K35</t>
        </is>
      </c>
      <c r="B2714" t="inlineStr">
        <is>
          <t>J35</t>
        </is>
      </c>
      <c r="C2714" t="inlineStr">
        <is>
          <t>excel_formula</t>
        </is>
      </c>
    </row>
    <row r="2715">
      <c r="A2715" t="inlineStr">
        <is>
          <t>附表7!L35</t>
        </is>
      </c>
      <c r="B2715" t="inlineStr">
        <is>
          <t>R34</t>
        </is>
      </c>
      <c r="C2715" t="inlineStr">
        <is>
          <t>excel_formula</t>
        </is>
      </c>
    </row>
    <row r="2716">
      <c r="A2716" t="inlineStr">
        <is>
          <t>附表7!M35</t>
        </is>
      </c>
      <c r="B2716" t="inlineStr">
        <is>
          <t>L35+K35</t>
        </is>
      </c>
      <c r="C2716" t="inlineStr">
        <is>
          <t>excel_formula</t>
        </is>
      </c>
    </row>
    <row r="2717">
      <c r="A2717" t="inlineStr">
        <is>
          <t>附表7!N35</t>
        </is>
      </c>
      <c r="B2717" t="inlineStr">
        <is>
          <t>K35</t>
        </is>
      </c>
      <c r="C2717" t="inlineStr">
        <is>
          <t>excel_formula</t>
        </is>
      </c>
    </row>
    <row r="2718">
      <c r="A2718" t="inlineStr">
        <is>
          <t>附表7!O35</t>
        </is>
      </c>
      <c r="B2718" t="inlineStr">
        <is>
          <t>M35-N35</t>
        </is>
      </c>
      <c r="C2718" t="inlineStr">
        <is>
          <t>excel_formula</t>
        </is>
      </c>
    </row>
    <row r="2719">
      <c r="A2719" t="inlineStr">
        <is>
          <t>附表7!R35</t>
        </is>
      </c>
      <c r="B2719" t="inlineStr">
        <is>
          <t>O35-P35-Q35</t>
        </is>
      </c>
      <c r="C2719" t="inlineStr">
        <is>
          <t>excel_formula</t>
        </is>
      </c>
    </row>
    <row r="2720">
      <c r="A2720" t="inlineStr">
        <is>
          <t>附表7!B36</t>
        </is>
      </c>
      <c r="B2720" t="inlineStr">
        <is>
          <t>'附表5'!B28</t>
        </is>
      </c>
      <c r="C2720" t="inlineStr">
        <is>
          <t>excel_formula</t>
        </is>
      </c>
    </row>
    <row r="2721">
      <c r="A2721" t="inlineStr">
        <is>
          <t>附表7!D36</t>
        </is>
      </c>
      <c r="B2721" t="inlineStr">
        <is>
          <t>'附表5'!E28</t>
        </is>
      </c>
      <c r="C2721" t="inlineStr">
        <is>
          <t>excel_formula</t>
        </is>
      </c>
    </row>
    <row r="2722">
      <c r="A2722" t="inlineStr">
        <is>
          <t>附表7!C36</t>
        </is>
      </c>
      <c r="B2722" t="inlineStr">
        <is>
          <t>'附表6'!F28</t>
        </is>
      </c>
      <c r="C2722" t="inlineStr">
        <is>
          <t>excel_formula</t>
        </is>
      </c>
    </row>
    <row r="2723">
      <c r="A2723" t="inlineStr">
        <is>
          <t>附表7!E36</t>
        </is>
      </c>
      <c r="B2723" t="inlineStr">
        <is>
          <t>B36-C36-D36</t>
        </is>
      </c>
      <c r="C2723" t="inlineStr">
        <is>
          <t>excel_formula</t>
        </is>
      </c>
    </row>
    <row r="2724">
      <c r="A2724" t="inlineStr">
        <is>
          <t>附表7!F36</t>
        </is>
      </c>
      <c r="B2724" t="inlineStr">
        <is>
          <t>'附表6'!E28</t>
        </is>
      </c>
      <c r="C2724" t="inlineStr">
        <is>
          <t>excel_formula</t>
        </is>
      </c>
    </row>
    <row r="2725">
      <c r="A2725" t="inlineStr">
        <is>
          <t>附表7!G36</t>
        </is>
      </c>
      <c r="B2725" t="inlineStr">
        <is>
          <t>'附表6'!C28+'附表6'!D28</t>
        </is>
      </c>
      <c r="C2725" t="inlineStr">
        <is>
          <t>excel_formula</t>
        </is>
      </c>
    </row>
    <row r="2726">
      <c r="A2726" t="inlineStr">
        <is>
          <t>附表7!I36</t>
        </is>
      </c>
      <c r="B2726" t="inlineStr">
        <is>
          <t>H36</t>
        </is>
      </c>
      <c r="C2726" t="inlineStr">
        <is>
          <t>excel_formula</t>
        </is>
      </c>
    </row>
    <row r="2727">
      <c r="A2727" t="inlineStr">
        <is>
          <t>附表7!K36</t>
        </is>
      </c>
      <c r="B2727" t="inlineStr">
        <is>
          <t>J36</t>
        </is>
      </c>
      <c r="C2727" t="inlineStr">
        <is>
          <t>excel_formula</t>
        </is>
      </c>
    </row>
    <row r="2728">
      <c r="A2728" t="inlineStr">
        <is>
          <t>附表7!L36</t>
        </is>
      </c>
      <c r="B2728" t="inlineStr">
        <is>
          <t>R35</t>
        </is>
      </c>
      <c r="C2728" t="inlineStr">
        <is>
          <t>excel_formula</t>
        </is>
      </c>
    </row>
    <row r="2729">
      <c r="A2729" t="inlineStr">
        <is>
          <t>附表7!M36</t>
        </is>
      </c>
      <c r="B2729" t="inlineStr">
        <is>
          <t>L36+K36</t>
        </is>
      </c>
      <c r="C2729" t="inlineStr">
        <is>
          <t>excel_formula</t>
        </is>
      </c>
    </row>
    <row r="2730">
      <c r="A2730" t="inlineStr">
        <is>
          <t>附表7!N36</t>
        </is>
      </c>
      <c r="B2730" t="inlineStr">
        <is>
          <t>K36</t>
        </is>
      </c>
      <c r="C2730" t="inlineStr">
        <is>
          <t>excel_formula</t>
        </is>
      </c>
    </row>
    <row r="2731">
      <c r="A2731" t="inlineStr">
        <is>
          <t>附表7!O36</t>
        </is>
      </c>
      <c r="B2731" t="inlineStr">
        <is>
          <t>M36-N36</t>
        </is>
      </c>
      <c r="C2731" t="inlineStr">
        <is>
          <t>excel_formula</t>
        </is>
      </c>
    </row>
    <row r="2732">
      <c r="A2732" t="inlineStr">
        <is>
          <t>附表7!R36</t>
        </is>
      </c>
      <c r="B2732" t="inlineStr">
        <is>
          <t>O36-P36-Q36</t>
        </is>
      </c>
      <c r="C2732" t="inlineStr">
        <is>
          <t>excel_formula</t>
        </is>
      </c>
    </row>
    <row r="2733">
      <c r="A2733" t="inlineStr">
        <is>
          <t>附表7!B37</t>
        </is>
      </c>
      <c r="B2733" t="inlineStr">
        <is>
          <t>'附表5'!B29</t>
        </is>
      </c>
      <c r="C2733" t="inlineStr">
        <is>
          <t>excel_formula</t>
        </is>
      </c>
    </row>
    <row r="2734">
      <c r="A2734" t="inlineStr">
        <is>
          <t>附表7!D37</t>
        </is>
      </c>
      <c r="B2734" t="inlineStr">
        <is>
          <t>'附表5'!E29</t>
        </is>
      </c>
      <c r="C2734" t="inlineStr">
        <is>
          <t>excel_formula</t>
        </is>
      </c>
    </row>
    <row r="2735">
      <c r="A2735" t="inlineStr">
        <is>
          <t>附表7!C37</t>
        </is>
      </c>
      <c r="B2735" t="inlineStr">
        <is>
          <t>'附表6'!F29</t>
        </is>
      </c>
      <c r="C2735" t="inlineStr">
        <is>
          <t>excel_formula</t>
        </is>
      </c>
    </row>
    <row r="2736">
      <c r="A2736" t="inlineStr">
        <is>
          <t>附表7!E37</t>
        </is>
      </c>
      <c r="B2736" t="inlineStr">
        <is>
          <t>B37-C37-D37</t>
        </is>
      </c>
      <c r="C2736" t="inlineStr">
        <is>
          <t>excel_formula</t>
        </is>
      </c>
    </row>
    <row r="2737">
      <c r="A2737" t="inlineStr">
        <is>
          <t>附表7!F37</t>
        </is>
      </c>
      <c r="B2737" t="inlineStr">
        <is>
          <t>'附表6'!E29</t>
        </is>
      </c>
      <c r="C2737" t="inlineStr">
        <is>
          <t>excel_formula</t>
        </is>
      </c>
    </row>
    <row r="2738">
      <c r="A2738" t="inlineStr">
        <is>
          <t>附表7!G37</t>
        </is>
      </c>
      <c r="B2738" t="inlineStr">
        <is>
          <t>'附表6'!C29+'附表6'!D29</t>
        </is>
      </c>
      <c r="C2738" t="inlineStr">
        <is>
          <t>excel_formula</t>
        </is>
      </c>
    </row>
    <row r="2739">
      <c r="A2739" t="inlineStr">
        <is>
          <t>附表7!I37</t>
        </is>
      </c>
      <c r="B2739" t="inlineStr">
        <is>
          <t>H37</t>
        </is>
      </c>
      <c r="C2739" t="inlineStr">
        <is>
          <t>excel_formula</t>
        </is>
      </c>
    </row>
    <row r="2740">
      <c r="A2740" t="inlineStr">
        <is>
          <t>附表7!K37</t>
        </is>
      </c>
      <c r="B2740" t="inlineStr">
        <is>
          <t>J37</t>
        </is>
      </c>
      <c r="C2740" t="inlineStr">
        <is>
          <t>excel_formula</t>
        </is>
      </c>
    </row>
    <row r="2741">
      <c r="A2741" t="inlineStr">
        <is>
          <t>附表7!L37</t>
        </is>
      </c>
      <c r="B2741" t="inlineStr">
        <is>
          <t>R36</t>
        </is>
      </c>
      <c r="C2741" t="inlineStr">
        <is>
          <t>excel_formula</t>
        </is>
      </c>
    </row>
    <row r="2742">
      <c r="A2742" t="inlineStr">
        <is>
          <t>附表7!M37</t>
        </is>
      </c>
      <c r="B2742" t="inlineStr">
        <is>
          <t>L37+K37</t>
        </is>
      </c>
      <c r="C2742" t="inlineStr">
        <is>
          <t>excel_formula</t>
        </is>
      </c>
    </row>
    <row r="2743">
      <c r="A2743" t="inlineStr">
        <is>
          <t>附表7!N37</t>
        </is>
      </c>
      <c r="B2743" t="inlineStr">
        <is>
          <t>K37</t>
        </is>
      </c>
      <c r="C2743" t="inlineStr">
        <is>
          <t>excel_formula</t>
        </is>
      </c>
    </row>
    <row r="2744">
      <c r="A2744" t="inlineStr">
        <is>
          <t>附表7!O37</t>
        </is>
      </c>
      <c r="B2744" t="inlineStr">
        <is>
          <t>M37-N37</t>
        </is>
      </c>
      <c r="C2744" t="inlineStr">
        <is>
          <t>excel_formula</t>
        </is>
      </c>
    </row>
    <row r="2745">
      <c r="A2745" t="inlineStr">
        <is>
          <t>附表7!R37</t>
        </is>
      </c>
      <c r="B2745" t="inlineStr">
        <is>
          <t>O37-P37-Q37</t>
        </is>
      </c>
      <c r="C2745" t="inlineStr">
        <is>
          <t>excel_formula</t>
        </is>
      </c>
    </row>
    <row r="2746">
      <c r="A2746" t="inlineStr">
        <is>
          <t>附表7!B38</t>
        </is>
      </c>
      <c r="B2746" t="inlineStr">
        <is>
          <t>'附表5'!B30</t>
        </is>
      </c>
      <c r="C2746" t="inlineStr">
        <is>
          <t>excel_formula</t>
        </is>
      </c>
    </row>
    <row r="2747">
      <c r="A2747" t="inlineStr">
        <is>
          <t>附表7!D38</t>
        </is>
      </c>
      <c r="B2747" t="inlineStr">
        <is>
          <t>'附表5'!E30</t>
        </is>
      </c>
      <c r="C2747" t="inlineStr">
        <is>
          <t>excel_formula</t>
        </is>
      </c>
    </row>
    <row r="2748">
      <c r="A2748" t="inlineStr">
        <is>
          <t>附表7!C38</t>
        </is>
      </c>
      <c r="B2748" t="inlineStr">
        <is>
          <t>'附表6'!F30</t>
        </is>
      </c>
      <c r="C2748" t="inlineStr">
        <is>
          <t>excel_formula</t>
        </is>
      </c>
    </row>
    <row r="2749">
      <c r="A2749" t="inlineStr">
        <is>
          <t>附表7!E38</t>
        </is>
      </c>
      <c r="B2749" t="inlineStr">
        <is>
          <t>B38-C38-D38</t>
        </is>
      </c>
      <c r="C2749" t="inlineStr">
        <is>
          <t>excel_formula</t>
        </is>
      </c>
    </row>
    <row r="2750">
      <c r="A2750" t="inlineStr">
        <is>
          <t>附表7!F38</t>
        </is>
      </c>
      <c r="B2750" t="inlineStr">
        <is>
          <t>'附表6'!E30</t>
        </is>
      </c>
      <c r="C2750" t="inlineStr">
        <is>
          <t>excel_formula</t>
        </is>
      </c>
    </row>
    <row r="2751">
      <c r="A2751" t="inlineStr">
        <is>
          <t>附表7!G38</t>
        </is>
      </c>
      <c r="B2751" t="inlineStr">
        <is>
          <t>'附表6'!C30+'附表6'!D30</t>
        </is>
      </c>
      <c r="C2751" t="inlineStr">
        <is>
          <t>excel_formula</t>
        </is>
      </c>
    </row>
    <row r="2752">
      <c r="A2752" t="inlineStr">
        <is>
          <t>附表7!I38</t>
        </is>
      </c>
      <c r="B2752" t="inlineStr">
        <is>
          <t>H38</t>
        </is>
      </c>
      <c r="C2752" t="inlineStr">
        <is>
          <t>excel_formula</t>
        </is>
      </c>
    </row>
    <row r="2753">
      <c r="A2753" t="inlineStr">
        <is>
          <t>附表7!K38</t>
        </is>
      </c>
      <c r="B2753" t="inlineStr">
        <is>
          <t>J38</t>
        </is>
      </c>
      <c r="C2753" t="inlineStr">
        <is>
          <t>excel_formula</t>
        </is>
      </c>
    </row>
    <row r="2754">
      <c r="A2754" t="inlineStr">
        <is>
          <t>附表7!L38</t>
        </is>
      </c>
      <c r="B2754" t="inlineStr">
        <is>
          <t>R37</t>
        </is>
      </c>
      <c r="C2754" t="inlineStr">
        <is>
          <t>excel_formula</t>
        </is>
      </c>
    </row>
    <row r="2755">
      <c r="A2755" t="inlineStr">
        <is>
          <t>附表7!M38</t>
        </is>
      </c>
      <c r="B2755" t="inlineStr">
        <is>
          <t>L38+K38</t>
        </is>
      </c>
      <c r="C2755" t="inlineStr">
        <is>
          <t>excel_formula</t>
        </is>
      </c>
    </row>
    <row r="2756">
      <c r="A2756" t="inlineStr">
        <is>
          <t>附表7!N38</t>
        </is>
      </c>
      <c r="B2756" t="inlineStr">
        <is>
          <t>K38</t>
        </is>
      </c>
      <c r="C2756" t="inlineStr">
        <is>
          <t>excel_formula</t>
        </is>
      </c>
    </row>
    <row r="2757">
      <c r="A2757" t="inlineStr">
        <is>
          <t>附表7!O38</t>
        </is>
      </c>
      <c r="B2757" t="inlineStr">
        <is>
          <t>M38-N38</t>
        </is>
      </c>
      <c r="C2757" t="inlineStr">
        <is>
          <t>excel_formula</t>
        </is>
      </c>
    </row>
    <row r="2758">
      <c r="A2758" t="inlineStr">
        <is>
          <t>附表7!R38</t>
        </is>
      </c>
      <c r="B2758" t="inlineStr">
        <is>
          <t>O38-P38-Q38</t>
        </is>
      </c>
      <c r="C2758" t="inlineStr">
        <is>
          <t>excel_formula</t>
        </is>
      </c>
    </row>
    <row r="2759">
      <c r="A2759" t="inlineStr">
        <is>
          <t>附表7!B39</t>
        </is>
      </c>
      <c r="B2759" t="inlineStr">
        <is>
          <t>'附表5'!B31</t>
        </is>
      </c>
      <c r="C2759" t="inlineStr">
        <is>
          <t>excel_formula</t>
        </is>
      </c>
    </row>
    <row r="2760">
      <c r="A2760" t="inlineStr">
        <is>
          <t>附表7!D39</t>
        </is>
      </c>
      <c r="B2760" t="inlineStr">
        <is>
          <t>'附表5'!E31</t>
        </is>
      </c>
      <c r="C2760" t="inlineStr">
        <is>
          <t>excel_formula</t>
        </is>
      </c>
    </row>
    <row r="2761">
      <c r="A2761" t="inlineStr">
        <is>
          <t>附表7!C39</t>
        </is>
      </c>
      <c r="B2761" t="inlineStr">
        <is>
          <t>'附表6'!F31</t>
        </is>
      </c>
      <c r="C2761" t="inlineStr">
        <is>
          <t>excel_formula</t>
        </is>
      </c>
    </row>
    <row r="2762">
      <c r="A2762" t="inlineStr">
        <is>
          <t>附表7!E39</t>
        </is>
      </c>
      <c r="B2762" t="inlineStr">
        <is>
          <t>B39-C39-D39</t>
        </is>
      </c>
      <c r="C2762" t="inlineStr">
        <is>
          <t>excel_formula</t>
        </is>
      </c>
    </row>
    <row r="2763">
      <c r="A2763" t="inlineStr">
        <is>
          <t>附表7!F39</t>
        </is>
      </c>
      <c r="B2763" t="inlineStr">
        <is>
          <t>'附表6'!E31</t>
        </is>
      </c>
      <c r="C2763" t="inlineStr">
        <is>
          <t>excel_formula</t>
        </is>
      </c>
    </row>
    <row r="2764">
      <c r="A2764" t="inlineStr">
        <is>
          <t>附表7!G39</t>
        </is>
      </c>
      <c r="B2764" t="inlineStr">
        <is>
          <t>'附表6'!C31+'附表6'!D31</t>
        </is>
      </c>
      <c r="C2764" t="inlineStr">
        <is>
          <t>excel_formula</t>
        </is>
      </c>
    </row>
    <row r="2765">
      <c r="A2765" t="inlineStr">
        <is>
          <t>附表7!I39</t>
        </is>
      </c>
      <c r="B2765" t="inlineStr">
        <is>
          <t>H39</t>
        </is>
      </c>
      <c r="C2765" t="inlineStr">
        <is>
          <t>excel_formula</t>
        </is>
      </c>
    </row>
    <row r="2766">
      <c r="A2766" t="inlineStr">
        <is>
          <t>附表7!K39</t>
        </is>
      </c>
      <c r="B2766" t="inlineStr">
        <is>
          <t>J39</t>
        </is>
      </c>
      <c r="C2766" t="inlineStr">
        <is>
          <t>excel_formula</t>
        </is>
      </c>
    </row>
    <row r="2767">
      <c r="A2767" t="inlineStr">
        <is>
          <t>附表7!L39</t>
        </is>
      </c>
      <c r="B2767" t="inlineStr">
        <is>
          <t>R38</t>
        </is>
      </c>
      <c r="C2767" t="inlineStr">
        <is>
          <t>excel_formula</t>
        </is>
      </c>
    </row>
    <row r="2768">
      <c r="A2768" t="inlineStr">
        <is>
          <t>附表7!M39</t>
        </is>
      </c>
      <c r="B2768" t="inlineStr">
        <is>
          <t>L39+K39</t>
        </is>
      </c>
      <c r="C2768" t="inlineStr">
        <is>
          <t>excel_formula</t>
        </is>
      </c>
    </row>
    <row r="2769">
      <c r="A2769" t="inlineStr">
        <is>
          <t>附表7!N39</t>
        </is>
      </c>
      <c r="B2769" t="inlineStr">
        <is>
          <t>K39</t>
        </is>
      </c>
      <c r="C2769" t="inlineStr">
        <is>
          <t>excel_formula</t>
        </is>
      </c>
    </row>
    <row r="2770">
      <c r="A2770" t="inlineStr">
        <is>
          <t>附表7!O39</t>
        </is>
      </c>
      <c r="B2770" t="inlineStr">
        <is>
          <t>M39-N39</t>
        </is>
      </c>
      <c r="C2770" t="inlineStr">
        <is>
          <t>excel_formula</t>
        </is>
      </c>
    </row>
    <row r="2771">
      <c r="A2771" t="inlineStr">
        <is>
          <t>附表7!R39</t>
        </is>
      </c>
      <c r="B2771" t="inlineStr">
        <is>
          <t>O39-P39-Q39</t>
        </is>
      </c>
      <c r="C2771" t="inlineStr">
        <is>
          <t>excel_formula</t>
        </is>
      </c>
    </row>
    <row r="2772">
      <c r="A2772" t="inlineStr">
        <is>
          <t>附表7!B40</t>
        </is>
      </c>
      <c r="B2772" t="inlineStr">
        <is>
          <t>'附表5'!B32</t>
        </is>
      </c>
      <c r="C2772" t="inlineStr">
        <is>
          <t>excel_formula</t>
        </is>
      </c>
    </row>
    <row r="2773">
      <c r="A2773" t="inlineStr">
        <is>
          <t>附表7!D40</t>
        </is>
      </c>
      <c r="B2773" t="inlineStr">
        <is>
          <t>'附表5'!E32</t>
        </is>
      </c>
      <c r="C2773" t="inlineStr">
        <is>
          <t>excel_formula</t>
        </is>
      </c>
    </row>
    <row r="2774">
      <c r="A2774" t="inlineStr">
        <is>
          <t>附表7!C40</t>
        </is>
      </c>
      <c r="B2774" t="inlineStr">
        <is>
          <t>'附表6'!F32</t>
        </is>
      </c>
      <c r="C2774" t="inlineStr">
        <is>
          <t>excel_formula</t>
        </is>
      </c>
    </row>
    <row r="2775">
      <c r="A2775" t="inlineStr">
        <is>
          <t>附表7!E40</t>
        </is>
      </c>
      <c r="B2775" t="inlineStr">
        <is>
          <t>B40-C40-D40</t>
        </is>
      </c>
      <c r="C2775" t="inlineStr">
        <is>
          <t>excel_formula</t>
        </is>
      </c>
    </row>
    <row r="2776">
      <c r="A2776" t="inlineStr">
        <is>
          <t>附表7!F40</t>
        </is>
      </c>
      <c r="B2776" t="inlineStr">
        <is>
          <t>'附表6'!E32</t>
        </is>
      </c>
      <c r="C2776" t="inlineStr">
        <is>
          <t>excel_formula</t>
        </is>
      </c>
    </row>
    <row r="2777">
      <c r="A2777" t="inlineStr">
        <is>
          <t>附表7!G40</t>
        </is>
      </c>
      <c r="B2777" t="inlineStr">
        <is>
          <t>'附表6'!C32+'附表6'!D32</t>
        </is>
      </c>
      <c r="C2777" t="inlineStr">
        <is>
          <t>excel_formula</t>
        </is>
      </c>
    </row>
    <row r="2778">
      <c r="A2778" t="inlineStr">
        <is>
          <t>附表7!I40</t>
        </is>
      </c>
      <c r="B2778" t="inlineStr">
        <is>
          <t>H40</t>
        </is>
      </c>
      <c r="C2778" t="inlineStr">
        <is>
          <t>excel_formula</t>
        </is>
      </c>
    </row>
    <row r="2779">
      <c r="A2779" t="inlineStr">
        <is>
          <t>附表7!K40</t>
        </is>
      </c>
      <c r="B2779" t="inlineStr">
        <is>
          <t>J40</t>
        </is>
      </c>
      <c r="C2779" t="inlineStr">
        <is>
          <t>excel_formula</t>
        </is>
      </c>
    </row>
    <row r="2780">
      <c r="A2780" t="inlineStr">
        <is>
          <t>附表7!L40</t>
        </is>
      </c>
      <c r="B2780" t="inlineStr">
        <is>
          <t>R39</t>
        </is>
      </c>
      <c r="C2780" t="inlineStr">
        <is>
          <t>excel_formula</t>
        </is>
      </c>
    </row>
    <row r="2781">
      <c r="A2781" t="inlineStr">
        <is>
          <t>附表7!M40</t>
        </is>
      </c>
      <c r="B2781" t="inlineStr">
        <is>
          <t>L40+K40</t>
        </is>
      </c>
      <c r="C2781" t="inlineStr">
        <is>
          <t>excel_formula</t>
        </is>
      </c>
    </row>
    <row r="2782">
      <c r="A2782" t="inlineStr">
        <is>
          <t>附表7!N40</t>
        </is>
      </c>
      <c r="B2782" t="inlineStr">
        <is>
          <t>K40</t>
        </is>
      </c>
      <c r="C2782" t="inlineStr">
        <is>
          <t>excel_formula</t>
        </is>
      </c>
    </row>
    <row r="2783">
      <c r="A2783" t="inlineStr">
        <is>
          <t>附表7!O40</t>
        </is>
      </c>
      <c r="B2783" t="inlineStr">
        <is>
          <t>M40-N40</t>
        </is>
      </c>
      <c r="C2783" t="inlineStr">
        <is>
          <t>excel_formula</t>
        </is>
      </c>
    </row>
    <row r="2784">
      <c r="A2784" t="inlineStr">
        <is>
          <t>附表7!R40</t>
        </is>
      </c>
      <c r="B2784" t="inlineStr">
        <is>
          <t>O40-P40-Q40</t>
        </is>
      </c>
      <c r="C2784" t="inlineStr">
        <is>
          <t>excel_formula</t>
        </is>
      </c>
    </row>
    <row r="2785">
      <c r="A2785" t="inlineStr">
        <is>
          <t>附表7!B41</t>
        </is>
      </c>
      <c r="B2785" t="inlineStr">
        <is>
          <t>'附表5'!B33</t>
        </is>
      </c>
      <c r="C2785" t="inlineStr">
        <is>
          <t>excel_formula</t>
        </is>
      </c>
    </row>
    <row r="2786">
      <c r="A2786" t="inlineStr">
        <is>
          <t>附表7!D41</t>
        </is>
      </c>
      <c r="B2786" t="inlineStr">
        <is>
          <t>'附表5'!E33</t>
        </is>
      </c>
      <c r="C2786" t="inlineStr">
        <is>
          <t>excel_formula</t>
        </is>
      </c>
    </row>
    <row r="2787">
      <c r="A2787" t="inlineStr">
        <is>
          <t>附表7!C41</t>
        </is>
      </c>
      <c r="B2787" t="inlineStr">
        <is>
          <t>'附表6'!F33</t>
        </is>
      </c>
      <c r="C2787" t="inlineStr">
        <is>
          <t>excel_formula</t>
        </is>
      </c>
    </row>
    <row r="2788">
      <c r="A2788" t="inlineStr">
        <is>
          <t>附表7!E41</t>
        </is>
      </c>
      <c r="B2788" t="inlineStr">
        <is>
          <t>B41-C41-D41</t>
        </is>
      </c>
      <c r="C2788" t="inlineStr">
        <is>
          <t>excel_formula</t>
        </is>
      </c>
    </row>
    <row r="2789">
      <c r="A2789" t="inlineStr">
        <is>
          <t>附表7!F41</t>
        </is>
      </c>
      <c r="B2789" t="inlineStr">
        <is>
          <t>'附表6'!E33</t>
        </is>
      </c>
      <c r="C2789" t="inlineStr">
        <is>
          <t>excel_formula</t>
        </is>
      </c>
    </row>
    <row r="2790">
      <c r="A2790" t="inlineStr">
        <is>
          <t>附表7!G41</t>
        </is>
      </c>
      <c r="B2790" t="inlineStr">
        <is>
          <t>'附表6'!C33+'附表6'!D33</t>
        </is>
      </c>
      <c r="C2790" t="inlineStr">
        <is>
          <t>excel_formula</t>
        </is>
      </c>
    </row>
    <row r="2791">
      <c r="A2791" t="inlineStr">
        <is>
          <t>附表7!I41</t>
        </is>
      </c>
      <c r="B2791" t="inlineStr">
        <is>
          <t>H41</t>
        </is>
      </c>
      <c r="C2791" t="inlineStr">
        <is>
          <t>excel_formula</t>
        </is>
      </c>
    </row>
    <row r="2792">
      <c r="A2792" t="inlineStr">
        <is>
          <t>附表7!K41</t>
        </is>
      </c>
      <c r="B2792" t="inlineStr">
        <is>
          <t>J41</t>
        </is>
      </c>
      <c r="C2792" t="inlineStr">
        <is>
          <t>excel_formula</t>
        </is>
      </c>
    </row>
    <row r="2793">
      <c r="A2793" t="inlineStr">
        <is>
          <t>附表7!L41</t>
        </is>
      </c>
      <c r="B2793" t="inlineStr">
        <is>
          <t>R40</t>
        </is>
      </c>
      <c r="C2793" t="inlineStr">
        <is>
          <t>excel_formula</t>
        </is>
      </c>
    </row>
    <row r="2794">
      <c r="A2794" t="inlineStr">
        <is>
          <t>附表7!M41</t>
        </is>
      </c>
      <c r="B2794" t="inlineStr">
        <is>
          <t>L41+K41</t>
        </is>
      </c>
      <c r="C2794" t="inlineStr">
        <is>
          <t>excel_formula</t>
        </is>
      </c>
    </row>
    <row r="2795">
      <c r="A2795" t="inlineStr">
        <is>
          <t>附表7!N41</t>
        </is>
      </c>
      <c r="B2795" t="inlineStr">
        <is>
          <t>K41</t>
        </is>
      </c>
      <c r="C2795" t="inlineStr">
        <is>
          <t>excel_formula</t>
        </is>
      </c>
    </row>
    <row r="2796">
      <c r="A2796" t="inlineStr">
        <is>
          <t>附表7!O41</t>
        </is>
      </c>
      <c r="B2796" t="inlineStr">
        <is>
          <t>M41-N41</t>
        </is>
      </c>
      <c r="C2796" t="inlineStr">
        <is>
          <t>excel_formula</t>
        </is>
      </c>
    </row>
    <row r="2797">
      <c r="A2797" t="inlineStr">
        <is>
          <t>附表7!R41</t>
        </is>
      </c>
      <c r="B2797" t="inlineStr">
        <is>
          <t>O41-P41-Q41</t>
        </is>
      </c>
      <c r="C2797" t="inlineStr">
        <is>
          <t>excel_formula</t>
        </is>
      </c>
    </row>
    <row r="2798">
      <c r="A2798" t="inlineStr">
        <is>
          <t>附表7!B42</t>
        </is>
      </c>
      <c r="B2798" t="inlineStr">
        <is>
          <t>'附表5'!B34</t>
        </is>
      </c>
      <c r="C2798" t="inlineStr">
        <is>
          <t>excel_formula</t>
        </is>
      </c>
    </row>
    <row r="2799">
      <c r="A2799" t="inlineStr">
        <is>
          <t>附表7!D42</t>
        </is>
      </c>
      <c r="B2799" t="inlineStr">
        <is>
          <t>'附表5'!E34</t>
        </is>
      </c>
      <c r="C2799" t="inlineStr">
        <is>
          <t>excel_formula</t>
        </is>
      </c>
    </row>
    <row r="2800">
      <c r="A2800" t="inlineStr">
        <is>
          <t>附表7!C42</t>
        </is>
      </c>
      <c r="B2800" t="inlineStr">
        <is>
          <t>'附表6'!F34</t>
        </is>
      </c>
      <c r="C2800" t="inlineStr">
        <is>
          <t>excel_formula</t>
        </is>
      </c>
    </row>
    <row r="2801">
      <c r="A2801" t="inlineStr">
        <is>
          <t>附表7!E42</t>
        </is>
      </c>
      <c r="B2801" t="inlineStr">
        <is>
          <t>B42-C42-D42</t>
        </is>
      </c>
      <c r="C2801" t="inlineStr">
        <is>
          <t>excel_formula</t>
        </is>
      </c>
    </row>
    <row r="2802">
      <c r="A2802" t="inlineStr">
        <is>
          <t>附表7!F42</t>
        </is>
      </c>
      <c r="B2802" t="inlineStr">
        <is>
          <t>'附表6'!E34</t>
        </is>
      </c>
      <c r="C2802" t="inlineStr">
        <is>
          <t>excel_formula</t>
        </is>
      </c>
    </row>
    <row r="2803">
      <c r="A2803" t="inlineStr">
        <is>
          <t>附表7!G42</t>
        </is>
      </c>
      <c r="B2803" t="inlineStr">
        <is>
          <t>'附表6'!C34+'附表6'!D34</t>
        </is>
      </c>
      <c r="C2803" t="inlineStr">
        <is>
          <t>excel_formula</t>
        </is>
      </c>
    </row>
    <row r="2804">
      <c r="A2804" t="inlineStr">
        <is>
          <t>附表7!I42</t>
        </is>
      </c>
      <c r="B2804" t="inlineStr">
        <is>
          <t>H42</t>
        </is>
      </c>
      <c r="C2804" t="inlineStr">
        <is>
          <t>excel_formula</t>
        </is>
      </c>
    </row>
    <row r="2805">
      <c r="A2805" t="inlineStr">
        <is>
          <t>附表7!K42</t>
        </is>
      </c>
      <c r="B2805" t="inlineStr">
        <is>
          <t>J42</t>
        </is>
      </c>
      <c r="C2805" t="inlineStr">
        <is>
          <t>excel_formula</t>
        </is>
      </c>
    </row>
    <row r="2806">
      <c r="A2806" t="inlineStr">
        <is>
          <t>附表7!L42</t>
        </is>
      </c>
      <c r="B2806" t="inlineStr">
        <is>
          <t>R41</t>
        </is>
      </c>
      <c r="C2806" t="inlineStr">
        <is>
          <t>excel_formula</t>
        </is>
      </c>
    </row>
    <row r="2807">
      <c r="A2807" t="inlineStr">
        <is>
          <t>附表7!M42</t>
        </is>
      </c>
      <c r="B2807" t="inlineStr">
        <is>
          <t>L42+K42</t>
        </is>
      </c>
      <c r="C2807" t="inlineStr">
        <is>
          <t>excel_formula</t>
        </is>
      </c>
    </row>
    <row r="2808">
      <c r="A2808" t="inlineStr">
        <is>
          <t>附表7!N42</t>
        </is>
      </c>
      <c r="B2808" t="inlineStr">
        <is>
          <t>K42</t>
        </is>
      </c>
      <c r="C2808" t="inlineStr">
        <is>
          <t>excel_formula</t>
        </is>
      </c>
    </row>
    <row r="2809">
      <c r="A2809" t="inlineStr">
        <is>
          <t>附表7!O42</t>
        </is>
      </c>
      <c r="B2809" t="inlineStr">
        <is>
          <t>M42-N42</t>
        </is>
      </c>
      <c r="C2809" t="inlineStr">
        <is>
          <t>excel_formula</t>
        </is>
      </c>
    </row>
    <row r="2810">
      <c r="A2810" t="inlineStr">
        <is>
          <t>附表7!R42</t>
        </is>
      </c>
      <c r="B2810" t="inlineStr">
        <is>
          <t>O42-P42-Q42</t>
        </is>
      </c>
      <c r="C2810" t="inlineStr">
        <is>
          <t>excel_formula</t>
        </is>
      </c>
    </row>
    <row r="2811">
      <c r="A2811" t="inlineStr">
        <is>
          <t>附表7!B43</t>
        </is>
      </c>
      <c r="B2811" t="inlineStr">
        <is>
          <t>'附表5'!B35</t>
        </is>
      </c>
      <c r="C2811" t="inlineStr">
        <is>
          <t>excel_formula</t>
        </is>
      </c>
    </row>
    <row r="2812">
      <c r="A2812" t="inlineStr">
        <is>
          <t>附表7!D43</t>
        </is>
      </c>
      <c r="B2812" t="inlineStr">
        <is>
          <t>'附表5'!E35</t>
        </is>
      </c>
      <c r="C2812" t="inlineStr">
        <is>
          <t>excel_formula</t>
        </is>
      </c>
    </row>
    <row r="2813">
      <c r="A2813" t="inlineStr">
        <is>
          <t>附表7!C43</t>
        </is>
      </c>
      <c r="B2813" t="inlineStr">
        <is>
          <t>'附表6'!F35</t>
        </is>
      </c>
      <c r="C2813" t="inlineStr">
        <is>
          <t>excel_formula</t>
        </is>
      </c>
    </row>
    <row r="2814">
      <c r="A2814" t="inlineStr">
        <is>
          <t>附表7!E43</t>
        </is>
      </c>
      <c r="B2814" t="inlineStr">
        <is>
          <t>B43-C43-D43</t>
        </is>
      </c>
      <c r="C2814" t="inlineStr">
        <is>
          <t>excel_formula</t>
        </is>
      </c>
    </row>
    <row r="2815">
      <c r="A2815" t="inlineStr">
        <is>
          <t>附表7!F43</t>
        </is>
      </c>
      <c r="B2815" t="inlineStr">
        <is>
          <t>'附表6'!E35</t>
        </is>
      </c>
      <c r="C2815" t="inlineStr">
        <is>
          <t>excel_formula</t>
        </is>
      </c>
    </row>
    <row r="2816">
      <c r="A2816" t="inlineStr">
        <is>
          <t>附表7!G43</t>
        </is>
      </c>
      <c r="B2816" t="inlineStr">
        <is>
          <t>'附表6'!C35+'附表6'!D35</t>
        </is>
      </c>
      <c r="C2816" t="inlineStr">
        <is>
          <t>excel_formula</t>
        </is>
      </c>
    </row>
    <row r="2817">
      <c r="A2817" t="inlineStr">
        <is>
          <t>附表7!I43</t>
        </is>
      </c>
      <c r="B2817" t="inlineStr">
        <is>
          <t>H43</t>
        </is>
      </c>
      <c r="C2817" t="inlineStr">
        <is>
          <t>excel_formula</t>
        </is>
      </c>
    </row>
    <row r="2818">
      <c r="A2818" t="inlineStr">
        <is>
          <t>附表7!K43</t>
        </is>
      </c>
      <c r="B2818" t="inlineStr">
        <is>
          <t>J43</t>
        </is>
      </c>
      <c r="C2818" t="inlineStr">
        <is>
          <t>excel_formula</t>
        </is>
      </c>
    </row>
    <row r="2819">
      <c r="A2819" t="inlineStr">
        <is>
          <t>附表7!L43</t>
        </is>
      </c>
      <c r="B2819" t="inlineStr">
        <is>
          <t>R42</t>
        </is>
      </c>
      <c r="C2819" t="inlineStr">
        <is>
          <t>excel_formula</t>
        </is>
      </c>
    </row>
    <row r="2820">
      <c r="A2820" t="inlineStr">
        <is>
          <t>附表7!M43</t>
        </is>
      </c>
      <c r="B2820" t="inlineStr">
        <is>
          <t>L43+K43</t>
        </is>
      </c>
      <c r="C2820" t="inlineStr">
        <is>
          <t>excel_formula</t>
        </is>
      </c>
    </row>
    <row r="2821">
      <c r="A2821" t="inlineStr">
        <is>
          <t>附表7!N43</t>
        </is>
      </c>
      <c r="B2821" t="inlineStr">
        <is>
          <t>K43</t>
        </is>
      </c>
      <c r="C2821" t="inlineStr">
        <is>
          <t>excel_formula</t>
        </is>
      </c>
    </row>
    <row r="2822">
      <c r="A2822" t="inlineStr">
        <is>
          <t>附表7!O43</t>
        </is>
      </c>
      <c r="B2822" t="inlineStr">
        <is>
          <t>M43-N43</t>
        </is>
      </c>
      <c r="C2822" t="inlineStr">
        <is>
          <t>excel_formula</t>
        </is>
      </c>
    </row>
    <row r="2823">
      <c r="A2823" t="inlineStr">
        <is>
          <t>附表7!R43</t>
        </is>
      </c>
      <c r="B2823" t="inlineStr">
        <is>
          <t>O43-P43-Q43</t>
        </is>
      </c>
      <c r="C2823" t="inlineStr">
        <is>
          <t>excel_formula</t>
        </is>
      </c>
    </row>
    <row r="2824">
      <c r="A2824" t="inlineStr">
        <is>
          <t>附表7!B44</t>
        </is>
      </c>
      <c r="B2824" t="inlineStr">
        <is>
          <t>'附表5'!B36</t>
        </is>
      </c>
      <c r="C2824" t="inlineStr">
        <is>
          <t>excel_formula</t>
        </is>
      </c>
    </row>
    <row r="2825">
      <c r="A2825" t="inlineStr">
        <is>
          <t>附表7!D44</t>
        </is>
      </c>
      <c r="B2825" t="inlineStr">
        <is>
          <t>'附表5'!E36</t>
        </is>
      </c>
      <c r="C2825" t="inlineStr">
        <is>
          <t>excel_formula</t>
        </is>
      </c>
    </row>
    <row r="2826">
      <c r="A2826" t="inlineStr">
        <is>
          <t>附表7!C44</t>
        </is>
      </c>
      <c r="B2826" t="inlineStr">
        <is>
          <t>'附表6'!F36</t>
        </is>
      </c>
      <c r="C2826" t="inlineStr">
        <is>
          <t>excel_formula</t>
        </is>
      </c>
    </row>
    <row r="2827">
      <c r="A2827" t="inlineStr">
        <is>
          <t>附表7!E44</t>
        </is>
      </c>
      <c r="B2827" t="inlineStr">
        <is>
          <t>B44-C44-D44</t>
        </is>
      </c>
      <c r="C2827" t="inlineStr">
        <is>
          <t>excel_formula</t>
        </is>
      </c>
    </row>
    <row r="2828">
      <c r="A2828" t="inlineStr">
        <is>
          <t>附表7!F44</t>
        </is>
      </c>
      <c r="B2828" t="inlineStr">
        <is>
          <t>'附表6'!E36</t>
        </is>
      </c>
      <c r="C2828" t="inlineStr">
        <is>
          <t>excel_formula</t>
        </is>
      </c>
    </row>
    <row r="2829">
      <c r="A2829" t="inlineStr">
        <is>
          <t>附表7!G44</t>
        </is>
      </c>
      <c r="B2829" t="inlineStr">
        <is>
          <t>'附表6'!C36+'附表6'!D36</t>
        </is>
      </c>
      <c r="C2829" t="inlineStr">
        <is>
          <t>excel_formula</t>
        </is>
      </c>
    </row>
    <row r="2830">
      <c r="A2830" t="inlineStr">
        <is>
          <t>附表7!I44</t>
        </is>
      </c>
      <c r="B2830" t="inlineStr">
        <is>
          <t>H44</t>
        </is>
      </c>
      <c r="C2830" t="inlineStr">
        <is>
          <t>excel_formula</t>
        </is>
      </c>
    </row>
    <row r="2831">
      <c r="A2831" t="inlineStr">
        <is>
          <t>附表7!K44</t>
        </is>
      </c>
      <c r="B2831" t="inlineStr">
        <is>
          <t>J44</t>
        </is>
      </c>
      <c r="C2831" t="inlineStr">
        <is>
          <t>excel_formula</t>
        </is>
      </c>
    </row>
    <row r="2832">
      <c r="A2832" t="inlineStr">
        <is>
          <t>附表7!L44</t>
        </is>
      </c>
      <c r="B2832" t="inlineStr">
        <is>
          <t>R43</t>
        </is>
      </c>
      <c r="C2832" t="inlineStr">
        <is>
          <t>excel_formula</t>
        </is>
      </c>
    </row>
    <row r="2833">
      <c r="A2833" t="inlineStr">
        <is>
          <t>附表7!M44</t>
        </is>
      </c>
      <c r="B2833" t="inlineStr">
        <is>
          <t>L44+K44</t>
        </is>
      </c>
      <c r="C2833" t="inlineStr">
        <is>
          <t>excel_formula</t>
        </is>
      </c>
    </row>
    <row r="2834">
      <c r="A2834" t="inlineStr">
        <is>
          <t>附表7!N44</t>
        </is>
      </c>
      <c r="B2834" t="inlineStr">
        <is>
          <t>K44</t>
        </is>
      </c>
      <c r="C2834" t="inlineStr">
        <is>
          <t>excel_formula</t>
        </is>
      </c>
    </row>
    <row r="2835">
      <c r="A2835" t="inlineStr">
        <is>
          <t>附表7!O44</t>
        </is>
      </c>
      <c r="B2835" t="inlineStr">
        <is>
          <t>M44-N44</t>
        </is>
      </c>
      <c r="C2835" t="inlineStr">
        <is>
          <t>excel_formula</t>
        </is>
      </c>
    </row>
    <row r="2836">
      <c r="A2836" t="inlineStr">
        <is>
          <t>附表7!R44</t>
        </is>
      </c>
      <c r="B2836" t="inlineStr">
        <is>
          <t>O44-P44-Q44</t>
        </is>
      </c>
      <c r="C2836" t="inlineStr">
        <is>
          <t>excel_formula</t>
        </is>
      </c>
    </row>
    <row r="2837">
      <c r="A2837" t="inlineStr">
        <is>
          <t>附表7!B45</t>
        </is>
      </c>
      <c r="B2837" t="inlineStr">
        <is>
          <t>'附表5'!B37</t>
        </is>
      </c>
      <c r="C2837" t="inlineStr">
        <is>
          <t>excel_formula</t>
        </is>
      </c>
    </row>
    <row r="2838">
      <c r="A2838" t="inlineStr">
        <is>
          <t>附表7!D45</t>
        </is>
      </c>
      <c r="B2838" t="inlineStr">
        <is>
          <t>'附表5'!E37</t>
        </is>
      </c>
      <c r="C2838" t="inlineStr">
        <is>
          <t>excel_formula</t>
        </is>
      </c>
    </row>
    <row r="2839">
      <c r="A2839" t="inlineStr">
        <is>
          <t>附表7!C45</t>
        </is>
      </c>
      <c r="B2839" t="inlineStr">
        <is>
          <t>'附表6'!F37</t>
        </is>
      </c>
      <c r="C2839" t="inlineStr">
        <is>
          <t>excel_formula</t>
        </is>
      </c>
    </row>
    <row r="2840">
      <c r="A2840" t="inlineStr">
        <is>
          <t>附表7!E45</t>
        </is>
      </c>
      <c r="B2840" t="inlineStr">
        <is>
          <t>B45-C45-D45</t>
        </is>
      </c>
      <c r="C2840" t="inlineStr">
        <is>
          <t>excel_formula</t>
        </is>
      </c>
    </row>
    <row r="2841">
      <c r="A2841" t="inlineStr">
        <is>
          <t>附表7!F45</t>
        </is>
      </c>
      <c r="B2841" t="inlineStr">
        <is>
          <t>'附表6'!E37</t>
        </is>
      </c>
      <c r="C2841" t="inlineStr">
        <is>
          <t>excel_formula</t>
        </is>
      </c>
    </row>
    <row r="2842">
      <c r="A2842" t="inlineStr">
        <is>
          <t>附表7!G45</t>
        </is>
      </c>
      <c r="B2842" t="inlineStr">
        <is>
          <t>'附表6'!C37+'附表6'!D37</t>
        </is>
      </c>
      <c r="C2842" t="inlineStr">
        <is>
          <t>excel_formula</t>
        </is>
      </c>
    </row>
    <row r="2843">
      <c r="A2843" t="inlineStr">
        <is>
          <t>附表7!I45</t>
        </is>
      </c>
      <c r="B2843" t="inlineStr">
        <is>
          <t>H45</t>
        </is>
      </c>
      <c r="C2843" t="inlineStr">
        <is>
          <t>excel_formula</t>
        </is>
      </c>
    </row>
    <row r="2844">
      <c r="A2844" t="inlineStr">
        <is>
          <t>附表7!K45</t>
        </is>
      </c>
      <c r="B2844" t="inlineStr">
        <is>
          <t>J45</t>
        </is>
      </c>
      <c r="C2844" t="inlineStr">
        <is>
          <t>excel_formula</t>
        </is>
      </c>
    </row>
    <row r="2845">
      <c r="A2845" t="inlineStr">
        <is>
          <t>附表7!L45</t>
        </is>
      </c>
      <c r="B2845" t="inlineStr">
        <is>
          <t>R44</t>
        </is>
      </c>
      <c r="C2845" t="inlineStr">
        <is>
          <t>excel_formula</t>
        </is>
      </c>
    </row>
    <row r="2846">
      <c r="A2846" t="inlineStr">
        <is>
          <t>附表7!M45</t>
        </is>
      </c>
      <c r="B2846" t="inlineStr">
        <is>
          <t>L45+K45</t>
        </is>
      </c>
      <c r="C2846" t="inlineStr">
        <is>
          <t>excel_formula</t>
        </is>
      </c>
    </row>
    <row r="2847">
      <c r="A2847" t="inlineStr">
        <is>
          <t>附表7!N45</t>
        </is>
      </c>
      <c r="B2847" t="inlineStr">
        <is>
          <t>K45</t>
        </is>
      </c>
      <c r="C2847" t="inlineStr">
        <is>
          <t>excel_formula</t>
        </is>
      </c>
    </row>
    <row r="2848">
      <c r="A2848" t="inlineStr">
        <is>
          <t>附表7!O45</t>
        </is>
      </c>
      <c r="B2848" t="inlineStr">
        <is>
          <t>M45-N45</t>
        </is>
      </c>
      <c r="C2848" t="inlineStr">
        <is>
          <t>excel_formula</t>
        </is>
      </c>
    </row>
    <row r="2849">
      <c r="A2849" t="inlineStr">
        <is>
          <t>附表7!R45</t>
        </is>
      </c>
      <c r="B2849" t="inlineStr">
        <is>
          <t>O45-P45-Q45</t>
        </is>
      </c>
      <c r="C2849" t="inlineStr">
        <is>
          <t>excel_formula</t>
        </is>
      </c>
    </row>
    <row r="2850">
      <c r="A2850" t="inlineStr">
        <is>
          <t>附表7!B46</t>
        </is>
      </c>
      <c r="B2850" t="inlineStr">
        <is>
          <t>'附表5'!B38</t>
        </is>
      </c>
      <c r="C2850" t="inlineStr">
        <is>
          <t>excel_formula</t>
        </is>
      </c>
    </row>
    <row r="2851">
      <c r="A2851" t="inlineStr">
        <is>
          <t>附表7!D46</t>
        </is>
      </c>
      <c r="B2851" t="inlineStr">
        <is>
          <t>'附表5'!E38</t>
        </is>
      </c>
      <c r="C2851" t="inlineStr">
        <is>
          <t>excel_formula</t>
        </is>
      </c>
    </row>
    <row r="2852">
      <c r="A2852" t="inlineStr">
        <is>
          <t>附表7!C46</t>
        </is>
      </c>
      <c r="B2852" t="inlineStr">
        <is>
          <t>'附表6'!F38</t>
        </is>
      </c>
      <c r="C2852" t="inlineStr">
        <is>
          <t>excel_formula</t>
        </is>
      </c>
    </row>
    <row r="2853">
      <c r="A2853" t="inlineStr">
        <is>
          <t>附表7!E46</t>
        </is>
      </c>
      <c r="B2853" t="inlineStr">
        <is>
          <t>B46-C46-D46</t>
        </is>
      </c>
      <c r="C2853" t="inlineStr">
        <is>
          <t>excel_formula</t>
        </is>
      </c>
    </row>
    <row r="2854">
      <c r="A2854" t="inlineStr">
        <is>
          <t>附表7!F46</t>
        </is>
      </c>
      <c r="B2854" t="inlineStr">
        <is>
          <t>'附表6'!E38</t>
        </is>
      </c>
      <c r="C2854" t="inlineStr">
        <is>
          <t>excel_formula</t>
        </is>
      </c>
    </row>
    <row r="2855">
      <c r="A2855" t="inlineStr">
        <is>
          <t>附表7!G46</t>
        </is>
      </c>
      <c r="B2855" t="inlineStr">
        <is>
          <t>'附表6'!C38+'附表6'!D38</t>
        </is>
      </c>
      <c r="C2855" t="inlineStr">
        <is>
          <t>excel_formula</t>
        </is>
      </c>
    </row>
    <row r="2856">
      <c r="A2856" t="inlineStr">
        <is>
          <t>附表7!I46</t>
        </is>
      </c>
      <c r="B2856" t="inlineStr">
        <is>
          <t>H46</t>
        </is>
      </c>
      <c r="C2856" t="inlineStr">
        <is>
          <t>excel_formula</t>
        </is>
      </c>
    </row>
    <row r="2857">
      <c r="A2857" t="inlineStr">
        <is>
          <t>附表7!K46</t>
        </is>
      </c>
      <c r="B2857" t="inlineStr">
        <is>
          <t>J46</t>
        </is>
      </c>
      <c r="C2857" t="inlineStr">
        <is>
          <t>excel_formula</t>
        </is>
      </c>
    </row>
    <row r="2858">
      <c r="A2858" t="inlineStr">
        <is>
          <t>附表7!L46</t>
        </is>
      </c>
      <c r="B2858" t="inlineStr">
        <is>
          <t>R45</t>
        </is>
      </c>
      <c r="C2858" t="inlineStr">
        <is>
          <t>excel_formula</t>
        </is>
      </c>
    </row>
    <row r="2859">
      <c r="A2859" t="inlineStr">
        <is>
          <t>附表7!M46</t>
        </is>
      </c>
      <c r="B2859" t="inlineStr">
        <is>
          <t>L46+K46</t>
        </is>
      </c>
      <c r="C2859" t="inlineStr">
        <is>
          <t>excel_formula</t>
        </is>
      </c>
    </row>
    <row r="2860">
      <c r="A2860" t="inlineStr">
        <is>
          <t>附表7!N46</t>
        </is>
      </c>
      <c r="B2860" t="inlineStr">
        <is>
          <t>K46</t>
        </is>
      </c>
      <c r="C2860" t="inlineStr">
        <is>
          <t>excel_formula</t>
        </is>
      </c>
    </row>
    <row r="2861">
      <c r="A2861" t="inlineStr">
        <is>
          <t>附表7!O46</t>
        </is>
      </c>
      <c r="B2861" t="inlineStr">
        <is>
          <t>M46-N46</t>
        </is>
      </c>
      <c r="C2861" t="inlineStr">
        <is>
          <t>excel_formula</t>
        </is>
      </c>
    </row>
    <row r="2862">
      <c r="A2862" t="inlineStr">
        <is>
          <t>附表7!R46</t>
        </is>
      </c>
      <c r="B2862" t="inlineStr">
        <is>
          <t>O46-P46-Q46</t>
        </is>
      </c>
      <c r="C2862" t="inlineStr">
        <is>
          <t>excel_formula</t>
        </is>
      </c>
    </row>
    <row r="2863">
      <c r="A2863" t="inlineStr">
        <is>
          <t>附表7!B47</t>
        </is>
      </c>
      <c r="B2863" t="inlineStr">
        <is>
          <t>'附表5'!B39</t>
        </is>
      </c>
      <c r="C2863" t="inlineStr">
        <is>
          <t>excel_formula</t>
        </is>
      </c>
    </row>
    <row r="2864">
      <c r="A2864" t="inlineStr">
        <is>
          <t>附表7!D47</t>
        </is>
      </c>
      <c r="B2864" t="inlineStr">
        <is>
          <t>'附表5'!E39</t>
        </is>
      </c>
      <c r="C2864" t="inlineStr">
        <is>
          <t>excel_formula</t>
        </is>
      </c>
    </row>
    <row r="2865">
      <c r="A2865" t="inlineStr">
        <is>
          <t>附表7!C47</t>
        </is>
      </c>
      <c r="B2865" t="inlineStr">
        <is>
          <t>'附表6'!F39</t>
        </is>
      </c>
      <c r="C2865" t="inlineStr">
        <is>
          <t>excel_formula</t>
        </is>
      </c>
    </row>
    <row r="2866">
      <c r="A2866" t="inlineStr">
        <is>
          <t>附表7!E47</t>
        </is>
      </c>
      <c r="B2866" t="inlineStr">
        <is>
          <t>B47-C47-D47</t>
        </is>
      </c>
      <c r="C2866" t="inlineStr">
        <is>
          <t>excel_formula</t>
        </is>
      </c>
    </row>
    <row r="2867">
      <c r="A2867" t="inlineStr">
        <is>
          <t>附表7!F47</t>
        </is>
      </c>
      <c r="B2867" t="inlineStr">
        <is>
          <t>'附表6'!E39</t>
        </is>
      </c>
      <c r="C2867" t="inlineStr">
        <is>
          <t>excel_formula</t>
        </is>
      </c>
    </row>
    <row r="2868">
      <c r="A2868" t="inlineStr">
        <is>
          <t>附表7!G47</t>
        </is>
      </c>
      <c r="B2868" t="inlineStr">
        <is>
          <t>'附表6'!C39+'附表6'!D39</t>
        </is>
      </c>
      <c r="C2868" t="inlineStr">
        <is>
          <t>excel_formula</t>
        </is>
      </c>
    </row>
    <row r="2869">
      <c r="A2869" t="inlineStr">
        <is>
          <t>附表7!I47</t>
        </is>
      </c>
      <c r="B2869" t="inlineStr">
        <is>
          <t>H47</t>
        </is>
      </c>
      <c r="C2869" t="inlineStr">
        <is>
          <t>excel_formula</t>
        </is>
      </c>
    </row>
    <row r="2870">
      <c r="A2870" t="inlineStr">
        <is>
          <t>附表7!K47</t>
        </is>
      </c>
      <c r="B2870" t="inlineStr">
        <is>
          <t>J47</t>
        </is>
      </c>
      <c r="C2870" t="inlineStr">
        <is>
          <t>excel_formula</t>
        </is>
      </c>
    </row>
    <row r="2871">
      <c r="A2871" t="inlineStr">
        <is>
          <t>附表7!L47</t>
        </is>
      </c>
      <c r="B2871" t="inlineStr">
        <is>
          <t>R46</t>
        </is>
      </c>
      <c r="C2871" t="inlineStr">
        <is>
          <t>excel_formula</t>
        </is>
      </c>
    </row>
    <row r="2872">
      <c r="A2872" t="inlineStr">
        <is>
          <t>附表7!M47</t>
        </is>
      </c>
      <c r="B2872" t="inlineStr">
        <is>
          <t>L47+K47</t>
        </is>
      </c>
      <c r="C2872" t="inlineStr">
        <is>
          <t>excel_formula</t>
        </is>
      </c>
    </row>
    <row r="2873">
      <c r="A2873" t="inlineStr">
        <is>
          <t>附表7!N47</t>
        </is>
      </c>
      <c r="B2873" t="inlineStr">
        <is>
          <t>K47</t>
        </is>
      </c>
      <c r="C2873" t="inlineStr">
        <is>
          <t>excel_formula</t>
        </is>
      </c>
    </row>
    <row r="2874">
      <c r="A2874" t="inlineStr">
        <is>
          <t>附表7!O47</t>
        </is>
      </c>
      <c r="B2874" t="inlineStr">
        <is>
          <t>M47-N47</t>
        </is>
      </c>
      <c r="C2874" t="inlineStr">
        <is>
          <t>excel_formula</t>
        </is>
      </c>
    </row>
    <row r="2875">
      <c r="A2875" t="inlineStr">
        <is>
          <t>附表7!R47</t>
        </is>
      </c>
      <c r="B2875" t="inlineStr">
        <is>
          <t>O47-P47-Q47</t>
        </is>
      </c>
      <c r="C2875" t="inlineStr">
        <is>
          <t>excel_formula</t>
        </is>
      </c>
    </row>
    <row r="2876">
      <c r="A2876" t="inlineStr">
        <is>
          <t>附表4!D4</t>
        </is>
      </c>
      <c r="B2876" t="inlineStr">
        <is>
          <t>'附表1'!J15</t>
        </is>
      </c>
      <c r="C2876" t="inlineStr">
        <is>
          <t>excel_formula</t>
        </is>
      </c>
    </row>
    <row r="2877">
      <c r="A2877" t="inlineStr">
        <is>
          <t>附表4!D8</t>
        </is>
      </c>
      <c r="B2877" t="inlineStr">
        <is>
          <t>'附表1'!J15</t>
        </is>
      </c>
      <c r="C2877" t="inlineStr">
        <is>
          <t>excel_formula</t>
        </is>
      </c>
    </row>
    <row r="2878">
      <c r="A2878" t="inlineStr">
        <is>
          <t>附表9!G20</t>
        </is>
      </c>
      <c r="B2878" t="inlineStr">
        <is>
          <t>'附表1'!J4+'附表1'!J8+'附表1'!J9</t>
        </is>
      </c>
      <c r="C2878" t="inlineStr">
        <is>
          <t>excel_formula</t>
        </is>
      </c>
    </row>
    <row r="2879">
      <c r="A2879" t="inlineStr">
        <is>
          <t>附表9!C21</t>
        </is>
      </c>
      <c r="B2879" t="inlineStr">
        <is>
          <t>'附表5'!B16</t>
        </is>
      </c>
      <c r="C2879" t="inlineStr">
        <is>
          <t>excel_formula</t>
        </is>
      </c>
    </row>
    <row r="2880">
      <c r="A2880" t="inlineStr">
        <is>
          <t>附表9!E21</t>
        </is>
      </c>
      <c r="B2880" t="inlineStr">
        <is>
          <t>'附表5'!E16</t>
        </is>
      </c>
      <c r="C2880" t="inlineStr">
        <is>
          <t>excel_formula</t>
        </is>
      </c>
    </row>
    <row r="2881">
      <c r="A2881" t="inlineStr">
        <is>
          <t>附表9!F21</t>
        </is>
      </c>
      <c r="B2881" t="inlineStr">
        <is>
          <t>'附表5'!I16</t>
        </is>
      </c>
      <c r="C2881" t="inlineStr">
        <is>
          <t>excel_formula</t>
        </is>
      </c>
    </row>
    <row r="2882">
      <c r="A2882" t="inlineStr">
        <is>
          <t>附表9!D21</t>
        </is>
      </c>
      <c r="B2882" t="inlineStr">
        <is>
          <t>'附表6'!B16</t>
        </is>
      </c>
      <c r="C2882" t="inlineStr">
        <is>
          <t>excel_formula</t>
        </is>
      </c>
    </row>
    <row r="2883">
      <c r="A2883" t="inlineStr">
        <is>
          <t>附表9!H21</t>
        </is>
      </c>
      <c r="B2883" t="inlineStr">
        <is>
          <t>'附表3'!B4</t>
        </is>
      </c>
      <c r="C2883" t="inlineStr">
        <is>
          <t>excel_formula</t>
        </is>
      </c>
    </row>
    <row r="2884">
      <c r="A2884" t="inlineStr">
        <is>
          <t>附表9!J21</t>
        </is>
      </c>
      <c r="B2884" t="inlineStr">
        <is>
          <t>cashflow components</t>
        </is>
      </c>
      <c r="C2884" t="inlineStr">
        <is>
          <t>excel_formula</t>
        </is>
      </c>
    </row>
    <row r="2885">
      <c r="A2885" t="inlineStr">
        <is>
          <t>附表9!C22</t>
        </is>
      </c>
      <c r="B2885" t="inlineStr">
        <is>
          <t>'附表5'!B17</t>
        </is>
      </c>
      <c r="C2885" t="inlineStr">
        <is>
          <t>excel_formula</t>
        </is>
      </c>
    </row>
    <row r="2886">
      <c r="A2886" t="inlineStr">
        <is>
          <t>附表9!E22</t>
        </is>
      </c>
      <c r="B2886" t="inlineStr">
        <is>
          <t>'附表5'!E17</t>
        </is>
      </c>
      <c r="C2886" t="inlineStr">
        <is>
          <t>excel_formula</t>
        </is>
      </c>
    </row>
    <row r="2887">
      <c r="A2887" t="inlineStr">
        <is>
          <t>附表9!F22</t>
        </is>
      </c>
      <c r="B2887" t="inlineStr">
        <is>
          <t>'附表5'!I17</t>
        </is>
      </c>
      <c r="C2887" t="inlineStr">
        <is>
          <t>excel_formula</t>
        </is>
      </c>
    </row>
    <row r="2888">
      <c r="A2888" t="inlineStr">
        <is>
          <t>附表9!D22</t>
        </is>
      </c>
      <c r="B2888" t="inlineStr">
        <is>
          <t>'附表6'!B17</t>
        </is>
      </c>
      <c r="C2888" t="inlineStr">
        <is>
          <t>excel_formula</t>
        </is>
      </c>
    </row>
    <row r="2889">
      <c r="A2889" t="inlineStr">
        <is>
          <t>附表9!J22</t>
        </is>
      </c>
      <c r="B2889" t="inlineStr">
        <is>
          <t>cashflow components</t>
        </is>
      </c>
      <c r="C2889" t="inlineStr">
        <is>
          <t>excel_formula</t>
        </is>
      </c>
    </row>
    <row r="2890">
      <c r="A2890" t="inlineStr">
        <is>
          <t>附表9!C23</t>
        </is>
      </c>
      <c r="B2890" t="inlineStr">
        <is>
          <t>'附表5'!B18</t>
        </is>
      </c>
      <c r="C2890" t="inlineStr">
        <is>
          <t>excel_formula</t>
        </is>
      </c>
    </row>
    <row r="2891">
      <c r="A2891" t="inlineStr">
        <is>
          <t>附表9!E23</t>
        </is>
      </c>
      <c r="B2891" t="inlineStr">
        <is>
          <t>'附表5'!E18</t>
        </is>
      </c>
      <c r="C2891" t="inlineStr">
        <is>
          <t>excel_formula</t>
        </is>
      </c>
    </row>
    <row r="2892">
      <c r="A2892" t="inlineStr">
        <is>
          <t>附表9!F23</t>
        </is>
      </c>
      <c r="B2892" t="inlineStr">
        <is>
          <t>'附表5'!I18</t>
        </is>
      </c>
      <c r="C2892" t="inlineStr">
        <is>
          <t>excel_formula</t>
        </is>
      </c>
    </row>
    <row r="2893">
      <c r="A2893" t="inlineStr">
        <is>
          <t>附表9!D23</t>
        </is>
      </c>
      <c r="B2893" t="inlineStr">
        <is>
          <t>'附表6'!B18</t>
        </is>
      </c>
      <c r="C2893" t="inlineStr">
        <is>
          <t>excel_formula</t>
        </is>
      </c>
    </row>
    <row r="2894">
      <c r="A2894" t="inlineStr">
        <is>
          <t>附表9!J23</t>
        </is>
      </c>
      <c r="B2894" t="inlineStr">
        <is>
          <t>cashflow components</t>
        </is>
      </c>
      <c r="C2894" t="inlineStr">
        <is>
          <t>excel_formula</t>
        </is>
      </c>
    </row>
    <row r="2895">
      <c r="A2895" t="inlineStr">
        <is>
          <t>附表9!C24</t>
        </is>
      </c>
      <c r="B2895" t="inlineStr">
        <is>
          <t>'附表5'!B19</t>
        </is>
      </c>
      <c r="C2895" t="inlineStr">
        <is>
          <t>excel_formula</t>
        </is>
      </c>
    </row>
    <row r="2896">
      <c r="A2896" t="inlineStr">
        <is>
          <t>附表9!E24</t>
        </is>
      </c>
      <c r="B2896" t="inlineStr">
        <is>
          <t>'附表5'!E19</t>
        </is>
      </c>
      <c r="C2896" t="inlineStr">
        <is>
          <t>excel_formula</t>
        </is>
      </c>
    </row>
    <row r="2897">
      <c r="A2897" t="inlineStr">
        <is>
          <t>附表9!F24</t>
        </is>
      </c>
      <c r="B2897" t="inlineStr">
        <is>
          <t>'附表5'!I19</t>
        </is>
      </c>
      <c r="C2897" t="inlineStr">
        <is>
          <t>excel_formula</t>
        </is>
      </c>
    </row>
    <row r="2898">
      <c r="A2898" t="inlineStr">
        <is>
          <t>附表9!D24</t>
        </is>
      </c>
      <c r="B2898" t="inlineStr">
        <is>
          <t>'附表6'!B19</t>
        </is>
      </c>
      <c r="C2898" t="inlineStr">
        <is>
          <t>excel_formula</t>
        </is>
      </c>
    </row>
    <row r="2899">
      <c r="A2899" t="inlineStr">
        <is>
          <t>附表9!J24</t>
        </is>
      </c>
      <c r="B2899" t="inlineStr">
        <is>
          <t>cashflow components</t>
        </is>
      </c>
      <c r="C2899" t="inlineStr">
        <is>
          <t>excel_formula</t>
        </is>
      </c>
    </row>
    <row r="2900">
      <c r="A2900" t="inlineStr">
        <is>
          <t>附表9!C25</t>
        </is>
      </c>
      <c r="B2900" t="inlineStr">
        <is>
          <t>'附表5'!B20</t>
        </is>
      </c>
      <c r="C2900" t="inlineStr">
        <is>
          <t>excel_formula</t>
        </is>
      </c>
    </row>
    <row r="2901">
      <c r="A2901" t="inlineStr">
        <is>
          <t>附表9!E25</t>
        </is>
      </c>
      <c r="B2901" t="inlineStr">
        <is>
          <t>'附表5'!E20</t>
        </is>
      </c>
      <c r="C2901" t="inlineStr">
        <is>
          <t>excel_formula</t>
        </is>
      </c>
    </row>
    <row r="2902">
      <c r="A2902" t="inlineStr">
        <is>
          <t>附表9!F25</t>
        </is>
      </c>
      <c r="B2902" t="inlineStr">
        <is>
          <t>'附表5'!I20</t>
        </is>
      </c>
      <c r="C2902" t="inlineStr">
        <is>
          <t>excel_formula</t>
        </is>
      </c>
    </row>
    <row r="2903">
      <c r="A2903" t="inlineStr">
        <is>
          <t>附表9!D25</t>
        </is>
      </c>
      <c r="B2903" t="inlineStr">
        <is>
          <t>'附表6'!B20</t>
        </is>
      </c>
      <c r="C2903" t="inlineStr">
        <is>
          <t>excel_formula</t>
        </is>
      </c>
    </row>
    <row r="2904">
      <c r="A2904" t="inlineStr">
        <is>
          <t>附表9!J25</t>
        </is>
      </c>
      <c r="B2904" t="inlineStr">
        <is>
          <t>cashflow components</t>
        </is>
      </c>
      <c r="C2904" t="inlineStr">
        <is>
          <t>excel_formula</t>
        </is>
      </c>
    </row>
    <row r="2905">
      <c r="A2905" t="inlineStr">
        <is>
          <t>附表9!C26</t>
        </is>
      </c>
      <c r="B2905" t="inlineStr">
        <is>
          <t>'附表5'!B21</t>
        </is>
      </c>
      <c r="C2905" t="inlineStr">
        <is>
          <t>excel_formula</t>
        </is>
      </c>
    </row>
    <row r="2906">
      <c r="A2906" t="inlineStr">
        <is>
          <t>附表9!E26</t>
        </is>
      </c>
      <c r="B2906" t="inlineStr">
        <is>
          <t>'附表5'!E21</t>
        </is>
      </c>
      <c r="C2906" t="inlineStr">
        <is>
          <t>excel_formula</t>
        </is>
      </c>
    </row>
    <row r="2907">
      <c r="A2907" t="inlineStr">
        <is>
          <t>附表9!F26</t>
        </is>
      </c>
      <c r="B2907" t="inlineStr">
        <is>
          <t>'附表5'!I21</t>
        </is>
      </c>
      <c r="C2907" t="inlineStr">
        <is>
          <t>excel_formula</t>
        </is>
      </c>
    </row>
    <row r="2908">
      <c r="A2908" t="inlineStr">
        <is>
          <t>附表9!D26</t>
        </is>
      </c>
      <c r="B2908" t="inlineStr">
        <is>
          <t>'附表6'!B21</t>
        </is>
      </c>
      <c r="C2908" t="inlineStr">
        <is>
          <t>excel_formula</t>
        </is>
      </c>
    </row>
    <row r="2909">
      <c r="A2909" t="inlineStr">
        <is>
          <t>附表9!J26</t>
        </is>
      </c>
      <c r="B2909" t="inlineStr">
        <is>
          <t>cashflow components</t>
        </is>
      </c>
      <c r="C2909" t="inlineStr">
        <is>
          <t>excel_formula</t>
        </is>
      </c>
    </row>
    <row r="2910">
      <c r="A2910" t="inlineStr">
        <is>
          <t>附表9!C27</t>
        </is>
      </c>
      <c r="B2910" t="inlineStr">
        <is>
          <t>'附表5'!B22</t>
        </is>
      </c>
      <c r="C2910" t="inlineStr">
        <is>
          <t>excel_formula</t>
        </is>
      </c>
    </row>
    <row r="2911">
      <c r="A2911" t="inlineStr">
        <is>
          <t>附表9!E27</t>
        </is>
      </c>
      <c r="B2911" t="inlineStr">
        <is>
          <t>'附表5'!E22</t>
        </is>
      </c>
      <c r="C2911" t="inlineStr">
        <is>
          <t>excel_formula</t>
        </is>
      </c>
    </row>
    <row r="2912">
      <c r="A2912" t="inlineStr">
        <is>
          <t>附表9!F27</t>
        </is>
      </c>
      <c r="B2912" t="inlineStr">
        <is>
          <t>'附表5'!I22</t>
        </is>
      </c>
      <c r="C2912" t="inlineStr">
        <is>
          <t>excel_formula</t>
        </is>
      </c>
    </row>
    <row r="2913">
      <c r="A2913" t="inlineStr">
        <is>
          <t>附表9!D27</t>
        </is>
      </c>
      <c r="B2913" t="inlineStr">
        <is>
          <t>'附表6'!B22</t>
        </is>
      </c>
      <c r="C2913" t="inlineStr">
        <is>
          <t>excel_formula</t>
        </is>
      </c>
    </row>
    <row r="2914">
      <c r="A2914" t="inlineStr">
        <is>
          <t>附表9!J27</t>
        </is>
      </c>
      <c r="B2914" t="inlineStr">
        <is>
          <t>cashflow components</t>
        </is>
      </c>
      <c r="C2914" t="inlineStr">
        <is>
          <t>excel_formula</t>
        </is>
      </c>
    </row>
    <row r="2915">
      <c r="A2915" t="inlineStr">
        <is>
          <t>附表9!C28</t>
        </is>
      </c>
      <c r="B2915" t="inlineStr">
        <is>
          <t>'附表5'!B23</t>
        </is>
      </c>
      <c r="C2915" t="inlineStr">
        <is>
          <t>excel_formula</t>
        </is>
      </c>
    </row>
    <row r="2916">
      <c r="A2916" t="inlineStr">
        <is>
          <t>附表9!E28</t>
        </is>
      </c>
      <c r="B2916" t="inlineStr">
        <is>
          <t>'附表5'!E23</t>
        </is>
      </c>
      <c r="C2916" t="inlineStr">
        <is>
          <t>excel_formula</t>
        </is>
      </c>
    </row>
    <row r="2917">
      <c r="A2917" t="inlineStr">
        <is>
          <t>附表9!F28</t>
        </is>
      </c>
      <c r="B2917" t="inlineStr">
        <is>
          <t>'附表5'!I23</t>
        </is>
      </c>
      <c r="C2917" t="inlineStr">
        <is>
          <t>excel_formula</t>
        </is>
      </c>
    </row>
    <row r="2918">
      <c r="A2918" t="inlineStr">
        <is>
          <t>附表9!D28</t>
        </is>
      </c>
      <c r="B2918" t="inlineStr">
        <is>
          <t>'附表6'!B23</t>
        </is>
      </c>
      <c r="C2918" t="inlineStr">
        <is>
          <t>excel_formula</t>
        </is>
      </c>
    </row>
    <row r="2919">
      <c r="A2919" t="inlineStr">
        <is>
          <t>附表9!J28</t>
        </is>
      </c>
      <c r="B2919" t="inlineStr">
        <is>
          <t>cashflow components</t>
        </is>
      </c>
      <c r="C2919" t="inlineStr">
        <is>
          <t>excel_formula</t>
        </is>
      </c>
    </row>
    <row r="2920">
      <c r="A2920" t="inlineStr">
        <is>
          <t>附表9!C29</t>
        </is>
      </c>
      <c r="B2920" t="inlineStr">
        <is>
          <t>'附表5'!B24</t>
        </is>
      </c>
      <c r="C2920" t="inlineStr">
        <is>
          <t>excel_formula</t>
        </is>
      </c>
    </row>
    <row r="2921">
      <c r="A2921" t="inlineStr">
        <is>
          <t>附表9!E29</t>
        </is>
      </c>
      <c r="B2921" t="inlineStr">
        <is>
          <t>'附表5'!E24</t>
        </is>
      </c>
      <c r="C2921" t="inlineStr">
        <is>
          <t>excel_formula</t>
        </is>
      </c>
    </row>
    <row r="2922">
      <c r="A2922" t="inlineStr">
        <is>
          <t>附表9!F29</t>
        </is>
      </c>
      <c r="B2922" t="inlineStr">
        <is>
          <t>'附表5'!I24</t>
        </is>
      </c>
      <c r="C2922" t="inlineStr">
        <is>
          <t>excel_formula</t>
        </is>
      </c>
    </row>
    <row r="2923">
      <c r="A2923" t="inlineStr">
        <is>
          <t>附表9!D29</t>
        </is>
      </c>
      <c r="B2923" t="inlineStr">
        <is>
          <t>'附表6'!B24</t>
        </is>
      </c>
      <c r="C2923" t="inlineStr">
        <is>
          <t>excel_formula</t>
        </is>
      </c>
    </row>
    <row r="2924">
      <c r="A2924" t="inlineStr">
        <is>
          <t>附表9!J29</t>
        </is>
      </c>
      <c r="B2924" t="inlineStr">
        <is>
          <t>cashflow components</t>
        </is>
      </c>
      <c r="C2924" t="inlineStr">
        <is>
          <t>excel_formula</t>
        </is>
      </c>
    </row>
    <row r="2925">
      <c r="A2925" t="inlineStr">
        <is>
          <t>附表9!C30</t>
        </is>
      </c>
      <c r="B2925" t="inlineStr">
        <is>
          <t>'附表5'!B25</t>
        </is>
      </c>
      <c r="C2925" t="inlineStr">
        <is>
          <t>excel_formula</t>
        </is>
      </c>
    </row>
    <row r="2926">
      <c r="A2926" t="inlineStr">
        <is>
          <t>附表9!E30</t>
        </is>
      </c>
      <c r="B2926" t="inlineStr">
        <is>
          <t>'附表5'!E25</t>
        </is>
      </c>
      <c r="C2926" t="inlineStr">
        <is>
          <t>excel_formula</t>
        </is>
      </c>
    </row>
    <row r="2927">
      <c r="A2927" t="inlineStr">
        <is>
          <t>附表9!F30</t>
        </is>
      </c>
      <c r="B2927" t="inlineStr">
        <is>
          <t>'附表5'!I25</t>
        </is>
      </c>
      <c r="C2927" t="inlineStr">
        <is>
          <t>excel_formula</t>
        </is>
      </c>
    </row>
    <row r="2928">
      <c r="A2928" t="inlineStr">
        <is>
          <t>附表9!D30</t>
        </is>
      </c>
      <c r="B2928" t="inlineStr">
        <is>
          <t>'附表6'!B25</t>
        </is>
      </c>
      <c r="C2928" t="inlineStr">
        <is>
          <t>excel_formula</t>
        </is>
      </c>
    </row>
    <row r="2929">
      <c r="A2929" t="inlineStr">
        <is>
          <t>附表9!J30</t>
        </is>
      </c>
      <c r="B2929" t="inlineStr">
        <is>
          <t>cashflow components</t>
        </is>
      </c>
      <c r="C2929" t="inlineStr">
        <is>
          <t>excel_formula</t>
        </is>
      </c>
    </row>
    <row r="2930">
      <c r="A2930" t="inlineStr">
        <is>
          <t>附表9!C31</t>
        </is>
      </c>
      <c r="B2930" t="inlineStr">
        <is>
          <t>'附表5'!B26</t>
        </is>
      </c>
      <c r="C2930" t="inlineStr">
        <is>
          <t>excel_formula</t>
        </is>
      </c>
    </row>
    <row r="2931">
      <c r="A2931" t="inlineStr">
        <is>
          <t>附表9!E31</t>
        </is>
      </c>
      <c r="B2931" t="inlineStr">
        <is>
          <t>'附表5'!E26</t>
        </is>
      </c>
      <c r="C2931" t="inlineStr">
        <is>
          <t>excel_formula</t>
        </is>
      </c>
    </row>
    <row r="2932">
      <c r="A2932" t="inlineStr">
        <is>
          <t>附表9!F31</t>
        </is>
      </c>
      <c r="B2932" t="inlineStr">
        <is>
          <t>'附表5'!I26</t>
        </is>
      </c>
      <c r="C2932" t="inlineStr">
        <is>
          <t>excel_formula</t>
        </is>
      </c>
    </row>
    <row r="2933">
      <c r="A2933" t="inlineStr">
        <is>
          <t>附表9!D31</t>
        </is>
      </c>
      <c r="B2933" t="inlineStr">
        <is>
          <t>'附表6'!B26</t>
        </is>
      </c>
      <c r="C2933" t="inlineStr">
        <is>
          <t>excel_formula</t>
        </is>
      </c>
    </row>
    <row r="2934">
      <c r="A2934" t="inlineStr">
        <is>
          <t>附表9!J31</t>
        </is>
      </c>
      <c r="B2934" t="inlineStr">
        <is>
          <t>cashflow components</t>
        </is>
      </c>
      <c r="C2934" t="inlineStr">
        <is>
          <t>excel_formula</t>
        </is>
      </c>
    </row>
    <row r="2935">
      <c r="A2935" t="inlineStr">
        <is>
          <t>附表9!C32</t>
        </is>
      </c>
      <c r="B2935" t="inlineStr">
        <is>
          <t>'附表5'!B27</t>
        </is>
      </c>
      <c r="C2935" t="inlineStr">
        <is>
          <t>excel_formula</t>
        </is>
      </c>
    </row>
    <row r="2936">
      <c r="A2936" t="inlineStr">
        <is>
          <t>附表9!E32</t>
        </is>
      </c>
      <c r="B2936" t="inlineStr">
        <is>
          <t>'附表5'!E27</t>
        </is>
      </c>
      <c r="C2936" t="inlineStr">
        <is>
          <t>excel_formula</t>
        </is>
      </c>
    </row>
    <row r="2937">
      <c r="A2937" t="inlineStr">
        <is>
          <t>附表9!F32</t>
        </is>
      </c>
      <c r="B2937" t="inlineStr">
        <is>
          <t>'附表5'!I27</t>
        </is>
      </c>
      <c r="C2937" t="inlineStr">
        <is>
          <t>excel_formula</t>
        </is>
      </c>
    </row>
    <row r="2938">
      <c r="A2938" t="inlineStr">
        <is>
          <t>附表9!D32</t>
        </is>
      </c>
      <c r="B2938" t="inlineStr">
        <is>
          <t>'附表6'!B27</t>
        </is>
      </c>
      <c r="C2938" t="inlineStr">
        <is>
          <t>excel_formula</t>
        </is>
      </c>
    </row>
    <row r="2939">
      <c r="A2939" t="inlineStr">
        <is>
          <t>附表9!J32</t>
        </is>
      </c>
      <c r="B2939" t="inlineStr">
        <is>
          <t>cashflow components</t>
        </is>
      </c>
      <c r="C2939" t="inlineStr">
        <is>
          <t>excel_formula</t>
        </is>
      </c>
    </row>
    <row r="2940">
      <c r="A2940" t="inlineStr">
        <is>
          <t>附表9!C33</t>
        </is>
      </c>
      <c r="B2940" t="inlineStr">
        <is>
          <t>'附表5'!B28</t>
        </is>
      </c>
      <c r="C2940" t="inlineStr">
        <is>
          <t>excel_formula</t>
        </is>
      </c>
    </row>
    <row r="2941">
      <c r="A2941" t="inlineStr">
        <is>
          <t>附表9!E33</t>
        </is>
      </c>
      <c r="B2941" t="inlineStr">
        <is>
          <t>'附表5'!E28</t>
        </is>
      </c>
      <c r="C2941" t="inlineStr">
        <is>
          <t>excel_formula</t>
        </is>
      </c>
    </row>
    <row r="2942">
      <c r="A2942" t="inlineStr">
        <is>
          <t>附表9!F33</t>
        </is>
      </c>
      <c r="B2942" t="inlineStr">
        <is>
          <t>'附表5'!I28</t>
        </is>
      </c>
      <c r="C2942" t="inlineStr">
        <is>
          <t>excel_formula</t>
        </is>
      </c>
    </row>
    <row r="2943">
      <c r="A2943" t="inlineStr">
        <is>
          <t>附表9!D33</t>
        </is>
      </c>
      <c r="B2943" t="inlineStr">
        <is>
          <t>'附表6'!B28</t>
        </is>
      </c>
      <c r="C2943" t="inlineStr">
        <is>
          <t>excel_formula</t>
        </is>
      </c>
    </row>
    <row r="2944">
      <c r="A2944" t="inlineStr">
        <is>
          <t>附表9!J33</t>
        </is>
      </c>
      <c r="B2944" t="inlineStr">
        <is>
          <t>cashflow components</t>
        </is>
      </c>
      <c r="C2944" t="inlineStr">
        <is>
          <t>excel_formula</t>
        </is>
      </c>
    </row>
    <row r="2945">
      <c r="A2945" t="inlineStr">
        <is>
          <t>附表9!C34</t>
        </is>
      </c>
      <c r="B2945" t="inlineStr">
        <is>
          <t>'附表5'!B29</t>
        </is>
      </c>
      <c r="C2945" t="inlineStr">
        <is>
          <t>excel_formula</t>
        </is>
      </c>
    </row>
    <row r="2946">
      <c r="A2946" t="inlineStr">
        <is>
          <t>附表9!E34</t>
        </is>
      </c>
      <c r="B2946" t="inlineStr">
        <is>
          <t>'附表5'!E29</t>
        </is>
      </c>
      <c r="C2946" t="inlineStr">
        <is>
          <t>excel_formula</t>
        </is>
      </c>
    </row>
    <row r="2947">
      <c r="A2947" t="inlineStr">
        <is>
          <t>附表9!F34</t>
        </is>
      </c>
      <c r="B2947" t="inlineStr">
        <is>
          <t>'附表5'!I29</t>
        </is>
      </c>
      <c r="C2947" t="inlineStr">
        <is>
          <t>excel_formula</t>
        </is>
      </c>
    </row>
    <row r="2948">
      <c r="A2948" t="inlineStr">
        <is>
          <t>附表9!D34</t>
        </is>
      </c>
      <c r="B2948" t="inlineStr">
        <is>
          <t>'附表6'!B29</t>
        </is>
      </c>
      <c r="C2948" t="inlineStr">
        <is>
          <t>excel_formula</t>
        </is>
      </c>
    </row>
    <row r="2949">
      <c r="A2949" t="inlineStr">
        <is>
          <t>附表9!J34</t>
        </is>
      </c>
      <c r="B2949" t="inlineStr">
        <is>
          <t>cashflow components</t>
        </is>
      </c>
      <c r="C2949" t="inlineStr">
        <is>
          <t>excel_formula</t>
        </is>
      </c>
    </row>
    <row r="2950">
      <c r="A2950" t="inlineStr">
        <is>
          <t>附表9!C35</t>
        </is>
      </c>
      <c r="B2950" t="inlineStr">
        <is>
          <t>'附表5'!B30</t>
        </is>
      </c>
      <c r="C2950" t="inlineStr">
        <is>
          <t>excel_formula</t>
        </is>
      </c>
    </row>
    <row r="2951">
      <c r="A2951" t="inlineStr">
        <is>
          <t>附表9!E35</t>
        </is>
      </c>
      <c r="B2951" t="inlineStr">
        <is>
          <t>'附表5'!E30</t>
        </is>
      </c>
      <c r="C2951" t="inlineStr">
        <is>
          <t>excel_formula</t>
        </is>
      </c>
    </row>
    <row r="2952">
      <c r="A2952" t="inlineStr">
        <is>
          <t>附表9!F35</t>
        </is>
      </c>
      <c r="B2952" t="inlineStr">
        <is>
          <t>'附表5'!I30</t>
        </is>
      </c>
      <c r="C2952" t="inlineStr">
        <is>
          <t>excel_formula</t>
        </is>
      </c>
    </row>
    <row r="2953">
      <c r="A2953" t="inlineStr">
        <is>
          <t>附表9!D35</t>
        </is>
      </c>
      <c r="B2953" t="inlineStr">
        <is>
          <t>'附表6'!B30</t>
        </is>
      </c>
      <c r="C2953" t="inlineStr">
        <is>
          <t>excel_formula</t>
        </is>
      </c>
    </row>
    <row r="2954">
      <c r="A2954" t="inlineStr">
        <is>
          <t>附表9!J35</t>
        </is>
      </c>
      <c r="B2954" t="inlineStr">
        <is>
          <t>cashflow components</t>
        </is>
      </c>
      <c r="C2954" t="inlineStr">
        <is>
          <t>excel_formula</t>
        </is>
      </c>
    </row>
    <row r="2955">
      <c r="A2955" t="inlineStr">
        <is>
          <t>附表9!C36</t>
        </is>
      </c>
      <c r="B2955" t="inlineStr">
        <is>
          <t>'附表5'!B31</t>
        </is>
      </c>
      <c r="C2955" t="inlineStr">
        <is>
          <t>excel_formula</t>
        </is>
      </c>
    </row>
    <row r="2956">
      <c r="A2956" t="inlineStr">
        <is>
          <t>附表9!E36</t>
        </is>
      </c>
      <c r="B2956" t="inlineStr">
        <is>
          <t>'附表5'!E31</t>
        </is>
      </c>
      <c r="C2956" t="inlineStr">
        <is>
          <t>excel_formula</t>
        </is>
      </c>
    </row>
    <row r="2957">
      <c r="A2957" t="inlineStr">
        <is>
          <t>附表9!F36</t>
        </is>
      </c>
      <c r="B2957" t="inlineStr">
        <is>
          <t>'附表5'!I31</t>
        </is>
      </c>
      <c r="C2957" t="inlineStr">
        <is>
          <t>excel_formula</t>
        </is>
      </c>
    </row>
    <row r="2958">
      <c r="A2958" t="inlineStr">
        <is>
          <t>附表9!D36</t>
        </is>
      </c>
      <c r="B2958" t="inlineStr">
        <is>
          <t>'附表6'!B31</t>
        </is>
      </c>
      <c r="C2958" t="inlineStr">
        <is>
          <t>excel_formula</t>
        </is>
      </c>
    </row>
    <row r="2959">
      <c r="A2959" t="inlineStr">
        <is>
          <t>附表9!J36</t>
        </is>
      </c>
      <c r="B2959" t="inlineStr">
        <is>
          <t>cashflow components</t>
        </is>
      </c>
      <c r="C2959" t="inlineStr">
        <is>
          <t>excel_formula</t>
        </is>
      </c>
    </row>
    <row r="2960">
      <c r="A2960" t="inlineStr">
        <is>
          <t>附表9!C37</t>
        </is>
      </c>
      <c r="B2960" t="inlineStr">
        <is>
          <t>'附表5'!B32</t>
        </is>
      </c>
      <c r="C2960" t="inlineStr">
        <is>
          <t>excel_formula</t>
        </is>
      </c>
    </row>
    <row r="2961">
      <c r="A2961" t="inlineStr">
        <is>
          <t>附表9!E37</t>
        </is>
      </c>
      <c r="B2961" t="inlineStr">
        <is>
          <t>'附表5'!E32</t>
        </is>
      </c>
      <c r="C2961" t="inlineStr">
        <is>
          <t>excel_formula</t>
        </is>
      </c>
    </row>
    <row r="2962">
      <c r="A2962" t="inlineStr">
        <is>
          <t>附表9!F37</t>
        </is>
      </c>
      <c r="B2962" t="inlineStr">
        <is>
          <t>'附表5'!I32</t>
        </is>
      </c>
      <c r="C2962" t="inlineStr">
        <is>
          <t>excel_formula</t>
        </is>
      </c>
    </row>
    <row r="2963">
      <c r="A2963" t="inlineStr">
        <is>
          <t>附表9!D37</t>
        </is>
      </c>
      <c r="B2963" t="inlineStr">
        <is>
          <t>'附表6'!B32</t>
        </is>
      </c>
      <c r="C2963" t="inlineStr">
        <is>
          <t>excel_formula</t>
        </is>
      </c>
    </row>
    <row r="2964">
      <c r="A2964" t="inlineStr">
        <is>
          <t>附表9!J37</t>
        </is>
      </c>
      <c r="B2964" t="inlineStr">
        <is>
          <t>cashflow components</t>
        </is>
      </c>
      <c r="C2964" t="inlineStr">
        <is>
          <t>excel_formula</t>
        </is>
      </c>
    </row>
    <row r="2965">
      <c r="A2965" t="inlineStr">
        <is>
          <t>附表9!C38</t>
        </is>
      </c>
      <c r="B2965" t="inlineStr">
        <is>
          <t>'附表5'!B33</t>
        </is>
      </c>
      <c r="C2965" t="inlineStr">
        <is>
          <t>excel_formula</t>
        </is>
      </c>
    </row>
    <row r="2966">
      <c r="A2966" t="inlineStr">
        <is>
          <t>附表9!E38</t>
        </is>
      </c>
      <c r="B2966" t="inlineStr">
        <is>
          <t>'附表5'!E33</t>
        </is>
      </c>
      <c r="C2966" t="inlineStr">
        <is>
          <t>excel_formula</t>
        </is>
      </c>
    </row>
    <row r="2967">
      <c r="A2967" t="inlineStr">
        <is>
          <t>附表9!F38</t>
        </is>
      </c>
      <c r="B2967" t="inlineStr">
        <is>
          <t>'附表5'!I33</t>
        </is>
      </c>
      <c r="C2967" t="inlineStr">
        <is>
          <t>excel_formula</t>
        </is>
      </c>
    </row>
    <row r="2968">
      <c r="A2968" t="inlineStr">
        <is>
          <t>附表9!D38</t>
        </is>
      </c>
      <c r="B2968" t="inlineStr">
        <is>
          <t>'附表6'!B33</t>
        </is>
      </c>
      <c r="C2968" t="inlineStr">
        <is>
          <t>excel_formula</t>
        </is>
      </c>
    </row>
    <row r="2969">
      <c r="A2969" t="inlineStr">
        <is>
          <t>附表9!J38</t>
        </is>
      </c>
      <c r="B2969" t="inlineStr">
        <is>
          <t>cashflow components</t>
        </is>
      </c>
      <c r="C2969" t="inlineStr">
        <is>
          <t>excel_formula</t>
        </is>
      </c>
    </row>
    <row r="2970">
      <c r="A2970" t="inlineStr">
        <is>
          <t>附表9!C39</t>
        </is>
      </c>
      <c r="B2970" t="inlineStr">
        <is>
          <t>'附表5'!B34</t>
        </is>
      </c>
      <c r="C2970" t="inlineStr">
        <is>
          <t>excel_formula</t>
        </is>
      </c>
    </row>
    <row r="2971">
      <c r="A2971" t="inlineStr">
        <is>
          <t>附表9!E39</t>
        </is>
      </c>
      <c r="B2971" t="inlineStr">
        <is>
          <t>'附表5'!E34</t>
        </is>
      </c>
      <c r="C2971" t="inlineStr">
        <is>
          <t>excel_formula</t>
        </is>
      </c>
    </row>
    <row r="2972">
      <c r="A2972" t="inlineStr">
        <is>
          <t>附表9!F39</t>
        </is>
      </c>
      <c r="B2972" t="inlineStr">
        <is>
          <t>'附表5'!I34</t>
        </is>
      </c>
      <c r="C2972" t="inlineStr">
        <is>
          <t>excel_formula</t>
        </is>
      </c>
    </row>
    <row r="2973">
      <c r="A2973" t="inlineStr">
        <is>
          <t>附表9!D39</t>
        </is>
      </c>
      <c r="B2973" t="inlineStr">
        <is>
          <t>'附表6'!B34</t>
        </is>
      </c>
      <c r="C2973" t="inlineStr">
        <is>
          <t>excel_formula</t>
        </is>
      </c>
    </row>
    <row r="2974">
      <c r="A2974" t="inlineStr">
        <is>
          <t>附表9!J39</t>
        </is>
      </c>
      <c r="B2974" t="inlineStr">
        <is>
          <t>cashflow components</t>
        </is>
      </c>
      <c r="C2974" t="inlineStr">
        <is>
          <t>excel_formula</t>
        </is>
      </c>
    </row>
    <row r="2975">
      <c r="A2975" t="inlineStr">
        <is>
          <t>附表9!C40</t>
        </is>
      </c>
      <c r="B2975" t="inlineStr">
        <is>
          <t>'附表5'!B35</t>
        </is>
      </c>
      <c r="C2975" t="inlineStr">
        <is>
          <t>excel_formula</t>
        </is>
      </c>
    </row>
    <row r="2976">
      <c r="A2976" t="inlineStr">
        <is>
          <t>附表9!E40</t>
        </is>
      </c>
      <c r="B2976" t="inlineStr">
        <is>
          <t>'附表5'!E35</t>
        </is>
      </c>
      <c r="C2976" t="inlineStr">
        <is>
          <t>excel_formula</t>
        </is>
      </c>
    </row>
    <row r="2977">
      <c r="A2977" t="inlineStr">
        <is>
          <t>附表9!F40</t>
        </is>
      </c>
      <c r="B2977" t="inlineStr">
        <is>
          <t>'附表5'!I35</t>
        </is>
      </c>
      <c r="C2977" t="inlineStr">
        <is>
          <t>excel_formula</t>
        </is>
      </c>
    </row>
    <row r="2978">
      <c r="A2978" t="inlineStr">
        <is>
          <t>附表9!D40</t>
        </is>
      </c>
      <c r="B2978" t="inlineStr">
        <is>
          <t>'附表6'!B35</t>
        </is>
      </c>
      <c r="C2978" t="inlineStr">
        <is>
          <t>excel_formula</t>
        </is>
      </c>
    </row>
    <row r="2979">
      <c r="A2979" t="inlineStr">
        <is>
          <t>附表9!J40</t>
        </is>
      </c>
      <c r="B2979" t="inlineStr">
        <is>
          <t>cashflow components</t>
        </is>
      </c>
      <c r="C2979" t="inlineStr">
        <is>
          <t>excel_formula</t>
        </is>
      </c>
    </row>
    <row r="2980">
      <c r="A2980" t="inlineStr">
        <is>
          <t>附表9!C41</t>
        </is>
      </c>
      <c r="B2980" t="inlineStr">
        <is>
          <t>'附表5'!B36</t>
        </is>
      </c>
      <c r="C2980" t="inlineStr">
        <is>
          <t>excel_formula</t>
        </is>
      </c>
    </row>
    <row r="2981">
      <c r="A2981" t="inlineStr">
        <is>
          <t>附表9!E41</t>
        </is>
      </c>
      <c r="B2981" t="inlineStr">
        <is>
          <t>'附表5'!E36</t>
        </is>
      </c>
      <c r="C2981" t="inlineStr">
        <is>
          <t>excel_formula</t>
        </is>
      </c>
    </row>
    <row r="2982">
      <c r="A2982" t="inlineStr">
        <is>
          <t>附表9!F41</t>
        </is>
      </c>
      <c r="B2982" t="inlineStr">
        <is>
          <t>'附表5'!I36</t>
        </is>
      </c>
      <c r="C2982" t="inlineStr">
        <is>
          <t>excel_formula</t>
        </is>
      </c>
    </row>
    <row r="2983">
      <c r="A2983" t="inlineStr">
        <is>
          <t>附表9!D41</t>
        </is>
      </c>
      <c r="B2983" t="inlineStr">
        <is>
          <t>'附表6'!B36</t>
        </is>
      </c>
      <c r="C2983" t="inlineStr">
        <is>
          <t>excel_formula</t>
        </is>
      </c>
    </row>
    <row r="2984">
      <c r="A2984" t="inlineStr">
        <is>
          <t>附表9!J41</t>
        </is>
      </c>
      <c r="B2984" t="inlineStr">
        <is>
          <t>cashflow components</t>
        </is>
      </c>
      <c r="C2984" t="inlineStr">
        <is>
          <t>excel_formula</t>
        </is>
      </c>
    </row>
    <row r="2985">
      <c r="A2985" t="inlineStr">
        <is>
          <t>附表9!C42</t>
        </is>
      </c>
      <c r="B2985" t="inlineStr">
        <is>
          <t>'附表5'!B37</t>
        </is>
      </c>
      <c r="C2985" t="inlineStr">
        <is>
          <t>excel_formula</t>
        </is>
      </c>
    </row>
    <row r="2986">
      <c r="A2986" t="inlineStr">
        <is>
          <t>附表9!E42</t>
        </is>
      </c>
      <c r="B2986" t="inlineStr">
        <is>
          <t>'附表5'!E37</t>
        </is>
      </c>
      <c r="C2986" t="inlineStr">
        <is>
          <t>excel_formula</t>
        </is>
      </c>
    </row>
    <row r="2987">
      <c r="A2987" t="inlineStr">
        <is>
          <t>附表9!F42</t>
        </is>
      </c>
      <c r="B2987" t="inlineStr">
        <is>
          <t>'附表5'!I37</t>
        </is>
      </c>
      <c r="C2987" t="inlineStr">
        <is>
          <t>excel_formula</t>
        </is>
      </c>
    </row>
    <row r="2988">
      <c r="A2988" t="inlineStr">
        <is>
          <t>附表9!D42</t>
        </is>
      </c>
      <c r="B2988" t="inlineStr">
        <is>
          <t>'附表6'!B37</t>
        </is>
      </c>
      <c r="C2988" t="inlineStr">
        <is>
          <t>excel_formula</t>
        </is>
      </c>
    </row>
    <row r="2989">
      <c r="A2989" t="inlineStr">
        <is>
          <t>附表9!J42</t>
        </is>
      </c>
      <c r="B2989" t="inlineStr">
        <is>
          <t>cashflow components</t>
        </is>
      </c>
      <c r="C2989" t="inlineStr">
        <is>
          <t>excel_formula</t>
        </is>
      </c>
    </row>
    <row r="2990">
      <c r="A2990" t="inlineStr">
        <is>
          <t>附表9!C43</t>
        </is>
      </c>
      <c r="B2990" t="inlineStr">
        <is>
          <t>'附表5'!B38</t>
        </is>
      </c>
      <c r="C2990" t="inlineStr">
        <is>
          <t>excel_formula</t>
        </is>
      </c>
    </row>
    <row r="2991">
      <c r="A2991" t="inlineStr">
        <is>
          <t>附表9!E43</t>
        </is>
      </c>
      <c r="B2991" t="inlineStr">
        <is>
          <t>'附表5'!E38</t>
        </is>
      </c>
      <c r="C2991" t="inlineStr">
        <is>
          <t>excel_formula</t>
        </is>
      </c>
    </row>
    <row r="2992">
      <c r="A2992" t="inlineStr">
        <is>
          <t>附表9!F43</t>
        </is>
      </c>
      <c r="B2992" t="inlineStr">
        <is>
          <t>'附表5'!I38</t>
        </is>
      </c>
      <c r="C2992" t="inlineStr">
        <is>
          <t>excel_formula</t>
        </is>
      </c>
    </row>
    <row r="2993">
      <c r="A2993" t="inlineStr">
        <is>
          <t>附表9!D43</t>
        </is>
      </c>
      <c r="B2993" t="inlineStr">
        <is>
          <t>'附表6'!B38</t>
        </is>
      </c>
      <c r="C2993" t="inlineStr">
        <is>
          <t>excel_formula</t>
        </is>
      </c>
    </row>
    <row r="2994">
      <c r="A2994" t="inlineStr">
        <is>
          <t>附表9!J43</t>
        </is>
      </c>
      <c r="B2994" t="inlineStr">
        <is>
          <t>cashflow components</t>
        </is>
      </c>
      <c r="C2994" t="inlineStr">
        <is>
          <t>excel_formula</t>
        </is>
      </c>
    </row>
    <row r="2995">
      <c r="A2995" t="inlineStr">
        <is>
          <t>附表9!C44</t>
        </is>
      </c>
      <c r="B2995" t="inlineStr">
        <is>
          <t>'附表5'!B39</t>
        </is>
      </c>
      <c r="C2995" t="inlineStr">
        <is>
          <t>excel_formula</t>
        </is>
      </c>
    </row>
    <row r="2996">
      <c r="A2996" t="inlineStr">
        <is>
          <t>附表9!E44</t>
        </is>
      </c>
      <c r="B2996" t="inlineStr">
        <is>
          <t>'附表5'!E39</t>
        </is>
      </c>
      <c r="C2996" t="inlineStr">
        <is>
          <t>excel_formula</t>
        </is>
      </c>
    </row>
    <row r="2997">
      <c r="A2997" t="inlineStr">
        <is>
          <t>附表9!F44</t>
        </is>
      </c>
      <c r="B2997" t="inlineStr">
        <is>
          <t>'附表5'!I39</t>
        </is>
      </c>
      <c r="C2997" t="inlineStr">
        <is>
          <t>excel_formula</t>
        </is>
      </c>
    </row>
    <row r="2998">
      <c r="A2998" t="inlineStr">
        <is>
          <t>附表9!D44</t>
        </is>
      </c>
      <c r="B2998" t="inlineStr">
        <is>
          <t>'附表6'!B39</t>
        </is>
      </c>
      <c r="C2998" t="inlineStr">
        <is>
          <t>excel_formula</t>
        </is>
      </c>
    </row>
    <row r="2999">
      <c r="A2999" t="inlineStr">
        <is>
          <t>附表9!J44</t>
        </is>
      </c>
      <c r="B2999" t="inlineStr">
        <is>
          <t>cashflow components</t>
        </is>
      </c>
      <c r="C2999" t="inlineStr">
        <is>
          <t>excel_formula</t>
        </is>
      </c>
    </row>
    <row r="3000">
      <c r="A3000" t="inlineStr">
        <is>
          <t>附表10!O20</t>
        </is>
      </c>
      <c r="B3000" t="inlineStr">
        <is>
          <t>atomic capital cashflow inflow-outflow</t>
        </is>
      </c>
      <c r="C3000" t="inlineStr">
        <is>
          <t>excel_formula</t>
        </is>
      </c>
    </row>
    <row r="3001">
      <c r="A3001" t="inlineStr">
        <is>
          <t>附表10!M21</t>
        </is>
      </c>
      <c r="B3001" t="inlineStr">
        <is>
          <t>'附表8'!E24</t>
        </is>
      </c>
      <c r="C3001" t="inlineStr">
        <is>
          <t>excel_formula</t>
        </is>
      </c>
    </row>
    <row r="3002">
      <c r="A3002" t="inlineStr">
        <is>
          <t>附表10!N21</t>
        </is>
      </c>
      <c r="B3002" t="inlineStr">
        <is>
          <t>'附表8'!F24</t>
        </is>
      </c>
      <c r="C3002" t="inlineStr">
        <is>
          <t>excel_formula</t>
        </is>
      </c>
    </row>
    <row r="3003">
      <c r="A3003" t="inlineStr">
        <is>
          <t>附表10!O21</t>
        </is>
      </c>
      <c r="B3003" t="inlineStr">
        <is>
          <t>atomic capital cashflow inflow-outflow</t>
        </is>
      </c>
      <c r="C3003" t="inlineStr">
        <is>
          <t>excel_formula</t>
        </is>
      </c>
    </row>
    <row r="3004">
      <c r="A3004" t="inlineStr">
        <is>
          <t>附表10!M22</t>
        </is>
      </c>
      <c r="B3004" t="inlineStr">
        <is>
          <t>'附表8'!E25</t>
        </is>
      </c>
      <c r="C3004" t="inlineStr">
        <is>
          <t>excel_formula</t>
        </is>
      </c>
    </row>
    <row r="3005">
      <c r="A3005" t="inlineStr">
        <is>
          <t>附表10!N22</t>
        </is>
      </c>
      <c r="B3005" t="inlineStr">
        <is>
          <t>'附表8'!F25</t>
        </is>
      </c>
      <c r="C3005" t="inlineStr">
        <is>
          <t>excel_formula</t>
        </is>
      </c>
    </row>
    <row r="3006">
      <c r="A3006" t="inlineStr">
        <is>
          <t>附表10!O22</t>
        </is>
      </c>
      <c r="B3006" t="inlineStr">
        <is>
          <t>atomic capital cashflow inflow-outflow</t>
        </is>
      </c>
      <c r="C3006" t="inlineStr">
        <is>
          <t>excel_formula</t>
        </is>
      </c>
    </row>
    <row r="3007">
      <c r="A3007" t="inlineStr">
        <is>
          <t>附表10!M23</t>
        </is>
      </c>
      <c r="B3007" t="inlineStr">
        <is>
          <t>'附表8'!E26</t>
        </is>
      </c>
      <c r="C3007" t="inlineStr">
        <is>
          <t>excel_formula</t>
        </is>
      </c>
    </row>
    <row r="3008">
      <c r="A3008" t="inlineStr">
        <is>
          <t>附表10!N23</t>
        </is>
      </c>
      <c r="B3008" t="inlineStr">
        <is>
          <t>'附表8'!F26</t>
        </is>
      </c>
      <c r="C3008" t="inlineStr">
        <is>
          <t>excel_formula</t>
        </is>
      </c>
    </row>
    <row r="3009">
      <c r="A3009" t="inlineStr">
        <is>
          <t>附表10!O23</t>
        </is>
      </c>
      <c r="B3009" t="inlineStr">
        <is>
          <t>atomic capital cashflow inflow-outflow</t>
        </is>
      </c>
      <c r="C3009" t="inlineStr">
        <is>
          <t>excel_formula</t>
        </is>
      </c>
    </row>
    <row r="3010">
      <c r="A3010" t="inlineStr">
        <is>
          <t>附表10!M24</t>
        </is>
      </c>
      <c r="B3010" t="inlineStr">
        <is>
          <t>'附表8'!E27</t>
        </is>
      </c>
      <c r="C3010" t="inlineStr">
        <is>
          <t>excel_formula</t>
        </is>
      </c>
    </row>
    <row r="3011">
      <c r="A3011" t="inlineStr">
        <is>
          <t>附表10!N24</t>
        </is>
      </c>
      <c r="B3011" t="inlineStr">
        <is>
          <t>'附表8'!F27</t>
        </is>
      </c>
      <c r="C3011" t="inlineStr">
        <is>
          <t>excel_formula</t>
        </is>
      </c>
    </row>
    <row r="3012">
      <c r="A3012" t="inlineStr">
        <is>
          <t>附表10!O24</t>
        </is>
      </c>
      <c r="B3012" t="inlineStr">
        <is>
          <t>atomic capital cashflow inflow-outflow</t>
        </is>
      </c>
      <c r="C3012" t="inlineStr">
        <is>
          <t>excel_formula</t>
        </is>
      </c>
    </row>
    <row r="3013">
      <c r="A3013" t="inlineStr">
        <is>
          <t>附表10!M25</t>
        </is>
      </c>
      <c r="B3013" t="inlineStr">
        <is>
          <t>'附表8'!E28</t>
        </is>
      </c>
      <c r="C3013" t="inlineStr">
        <is>
          <t>excel_formula</t>
        </is>
      </c>
    </row>
    <row r="3014">
      <c r="A3014" t="inlineStr">
        <is>
          <t>附表10!N25</t>
        </is>
      </c>
      <c r="B3014" t="inlineStr">
        <is>
          <t>'附表8'!F28</t>
        </is>
      </c>
      <c r="C3014" t="inlineStr">
        <is>
          <t>excel_formula</t>
        </is>
      </c>
    </row>
    <row r="3015">
      <c r="A3015" t="inlineStr">
        <is>
          <t>附表10!O25</t>
        </is>
      </c>
      <c r="B3015" t="inlineStr">
        <is>
          <t>atomic capital cashflow inflow-outflow</t>
        </is>
      </c>
      <c r="C3015" t="inlineStr">
        <is>
          <t>excel_formula</t>
        </is>
      </c>
    </row>
    <row r="3016">
      <c r="A3016" t="inlineStr">
        <is>
          <t>附表10!M26</t>
        </is>
      </c>
      <c r="B3016" t="inlineStr">
        <is>
          <t>'附表8'!E29</t>
        </is>
      </c>
      <c r="C3016" t="inlineStr">
        <is>
          <t>excel_formula</t>
        </is>
      </c>
    </row>
    <row r="3017">
      <c r="A3017" t="inlineStr">
        <is>
          <t>附表10!N26</t>
        </is>
      </c>
      <c r="B3017" t="inlineStr">
        <is>
          <t>'附表8'!F29</t>
        </is>
      </c>
      <c r="C3017" t="inlineStr">
        <is>
          <t>excel_formula</t>
        </is>
      </c>
    </row>
    <row r="3018">
      <c r="A3018" t="inlineStr">
        <is>
          <t>附表10!O26</t>
        </is>
      </c>
      <c r="B3018" t="inlineStr">
        <is>
          <t>atomic capital cashflow inflow-outflow</t>
        </is>
      </c>
      <c r="C3018" t="inlineStr">
        <is>
          <t>excel_formula</t>
        </is>
      </c>
    </row>
    <row r="3019">
      <c r="A3019" t="inlineStr">
        <is>
          <t>附表10!M27</t>
        </is>
      </c>
      <c r="B3019" t="inlineStr">
        <is>
          <t>'附表8'!E30</t>
        </is>
      </c>
      <c r="C3019" t="inlineStr">
        <is>
          <t>excel_formula</t>
        </is>
      </c>
    </row>
    <row r="3020">
      <c r="A3020" t="inlineStr">
        <is>
          <t>附表10!N27</t>
        </is>
      </c>
      <c r="B3020" t="inlineStr">
        <is>
          <t>'附表8'!F30</t>
        </is>
      </c>
      <c r="C3020" t="inlineStr">
        <is>
          <t>excel_formula</t>
        </is>
      </c>
    </row>
    <row r="3021">
      <c r="A3021" t="inlineStr">
        <is>
          <t>附表10!O27</t>
        </is>
      </c>
      <c r="B3021" t="inlineStr">
        <is>
          <t>atomic capital cashflow inflow-outflow</t>
        </is>
      </c>
      <c r="C3021" t="inlineStr">
        <is>
          <t>excel_formula</t>
        </is>
      </c>
    </row>
    <row r="3022">
      <c r="A3022" t="inlineStr">
        <is>
          <t>附表10!M28</t>
        </is>
      </c>
      <c r="B3022" t="inlineStr">
        <is>
          <t>'附表8'!E31</t>
        </is>
      </c>
      <c r="C3022" t="inlineStr">
        <is>
          <t>excel_formula</t>
        </is>
      </c>
    </row>
    <row r="3023">
      <c r="A3023" t="inlineStr">
        <is>
          <t>附表10!N28</t>
        </is>
      </c>
      <c r="B3023" t="inlineStr">
        <is>
          <t>'附表8'!F31</t>
        </is>
      </c>
      <c r="C3023" t="inlineStr">
        <is>
          <t>excel_formula</t>
        </is>
      </c>
    </row>
    <row r="3024">
      <c r="A3024" t="inlineStr">
        <is>
          <t>附表10!O28</t>
        </is>
      </c>
      <c r="B3024" t="inlineStr">
        <is>
          <t>atomic capital cashflow inflow-outflow</t>
        </is>
      </c>
      <c r="C3024" t="inlineStr">
        <is>
          <t>excel_formula</t>
        </is>
      </c>
    </row>
    <row r="3025">
      <c r="A3025" t="inlineStr">
        <is>
          <t>附表10!M29</t>
        </is>
      </c>
      <c r="B3025" t="inlineStr">
        <is>
          <t>'附表8'!E32</t>
        </is>
      </c>
      <c r="C3025" t="inlineStr">
        <is>
          <t>excel_formula</t>
        </is>
      </c>
    </row>
    <row r="3026">
      <c r="A3026" t="inlineStr">
        <is>
          <t>附表10!N29</t>
        </is>
      </c>
      <c r="B3026" t="inlineStr">
        <is>
          <t>'附表8'!F32</t>
        </is>
      </c>
      <c r="C3026" t="inlineStr">
        <is>
          <t>excel_formula</t>
        </is>
      </c>
    </row>
    <row r="3027">
      <c r="A3027" t="inlineStr">
        <is>
          <t>附表10!O29</t>
        </is>
      </c>
      <c r="B3027" t="inlineStr">
        <is>
          <t>atomic capital cashflow inflow-outflow</t>
        </is>
      </c>
      <c r="C3027" t="inlineStr">
        <is>
          <t>excel_formula</t>
        </is>
      </c>
    </row>
    <row r="3028">
      <c r="A3028" t="inlineStr">
        <is>
          <t>附表10!M30</t>
        </is>
      </c>
      <c r="B3028" t="inlineStr">
        <is>
          <t>'附表8'!E33</t>
        </is>
      </c>
      <c r="C3028" t="inlineStr">
        <is>
          <t>excel_formula</t>
        </is>
      </c>
    </row>
    <row r="3029">
      <c r="A3029" t="inlineStr">
        <is>
          <t>附表10!N30</t>
        </is>
      </c>
      <c r="B3029" t="inlineStr">
        <is>
          <t>'附表8'!F33</t>
        </is>
      </c>
      <c r="C3029" t="inlineStr">
        <is>
          <t>excel_formula</t>
        </is>
      </c>
    </row>
    <row r="3030">
      <c r="A3030" t="inlineStr">
        <is>
          <t>附表10!O30</t>
        </is>
      </c>
      <c r="B3030" t="inlineStr">
        <is>
          <t>atomic capital cashflow inflow-outflow</t>
        </is>
      </c>
      <c r="C3030" t="inlineStr">
        <is>
          <t>excel_formula</t>
        </is>
      </c>
    </row>
    <row r="3031">
      <c r="A3031" t="inlineStr">
        <is>
          <t>附表10!M31</t>
        </is>
      </c>
      <c r="B3031" t="inlineStr">
        <is>
          <t>'附表8'!E34</t>
        </is>
      </c>
      <c r="C3031" t="inlineStr">
        <is>
          <t>excel_formula</t>
        </is>
      </c>
    </row>
    <row r="3032">
      <c r="A3032" t="inlineStr">
        <is>
          <t>附表10!N31</t>
        </is>
      </c>
      <c r="B3032" t="inlineStr">
        <is>
          <t>'附表8'!F34</t>
        </is>
      </c>
      <c r="C3032" t="inlineStr">
        <is>
          <t>excel_formula</t>
        </is>
      </c>
    </row>
    <row r="3033">
      <c r="A3033" t="inlineStr">
        <is>
          <t>附表10!O31</t>
        </is>
      </c>
      <c r="B3033" t="inlineStr">
        <is>
          <t>atomic capital cashflow inflow-outflow</t>
        </is>
      </c>
      <c r="C3033" t="inlineStr">
        <is>
          <t>excel_formula</t>
        </is>
      </c>
    </row>
    <row r="3034">
      <c r="A3034" t="inlineStr">
        <is>
          <t>附表10!M32</t>
        </is>
      </c>
      <c r="B3034" t="inlineStr">
        <is>
          <t>'附表8'!E35</t>
        </is>
      </c>
      <c r="C3034" t="inlineStr">
        <is>
          <t>excel_formula</t>
        </is>
      </c>
    </row>
    <row r="3035">
      <c r="A3035" t="inlineStr">
        <is>
          <t>附表10!N32</t>
        </is>
      </c>
      <c r="B3035" t="inlineStr">
        <is>
          <t>'附表8'!F35</t>
        </is>
      </c>
      <c r="C3035" t="inlineStr">
        <is>
          <t>excel_formula</t>
        </is>
      </c>
    </row>
    <row r="3036">
      <c r="A3036" t="inlineStr">
        <is>
          <t>附表10!O32</t>
        </is>
      </c>
      <c r="B3036" t="inlineStr">
        <is>
          <t>atomic capital cashflow inflow-outflow</t>
        </is>
      </c>
      <c r="C3036" t="inlineStr">
        <is>
          <t>excel_formula</t>
        </is>
      </c>
    </row>
    <row r="3037">
      <c r="A3037" t="inlineStr">
        <is>
          <t>附表10!M33</t>
        </is>
      </c>
      <c r="B3037" t="inlineStr">
        <is>
          <t>'附表8'!E36</t>
        </is>
      </c>
      <c r="C3037" t="inlineStr">
        <is>
          <t>excel_formula</t>
        </is>
      </c>
    </row>
    <row r="3038">
      <c r="A3038" t="inlineStr">
        <is>
          <t>附表10!N33</t>
        </is>
      </c>
      <c r="B3038" t="inlineStr">
        <is>
          <t>'附表8'!F36</t>
        </is>
      </c>
      <c r="C3038" t="inlineStr">
        <is>
          <t>excel_formula</t>
        </is>
      </c>
    </row>
    <row r="3039">
      <c r="A3039" t="inlineStr">
        <is>
          <t>附表10!O33</t>
        </is>
      </c>
      <c r="B3039" t="inlineStr">
        <is>
          <t>atomic capital cashflow inflow-outflow</t>
        </is>
      </c>
      <c r="C3039" t="inlineStr">
        <is>
          <t>excel_formula</t>
        </is>
      </c>
    </row>
    <row r="3040">
      <c r="A3040" t="inlineStr">
        <is>
          <t>附表10!M34</t>
        </is>
      </c>
      <c r="B3040" t="inlineStr">
        <is>
          <t>'附表8'!E37</t>
        </is>
      </c>
      <c r="C3040" t="inlineStr">
        <is>
          <t>excel_formula</t>
        </is>
      </c>
    </row>
    <row r="3041">
      <c r="A3041" t="inlineStr">
        <is>
          <t>附表10!N34</t>
        </is>
      </c>
      <c r="B3041" t="inlineStr">
        <is>
          <t>'附表8'!F37</t>
        </is>
      </c>
      <c r="C3041" t="inlineStr">
        <is>
          <t>excel_formula</t>
        </is>
      </c>
    </row>
    <row r="3042">
      <c r="A3042" t="inlineStr">
        <is>
          <t>附表10!O34</t>
        </is>
      </c>
      <c r="B3042" t="inlineStr">
        <is>
          <t>atomic capital cashflow inflow-outflow</t>
        </is>
      </c>
      <c r="C3042" t="inlineStr">
        <is>
          <t>excel_formula</t>
        </is>
      </c>
    </row>
    <row r="3043">
      <c r="A3043" t="inlineStr">
        <is>
          <t>附表10!M35</t>
        </is>
      </c>
      <c r="B3043" t="inlineStr">
        <is>
          <t>'附表8'!E38</t>
        </is>
      </c>
      <c r="C3043" t="inlineStr">
        <is>
          <t>excel_formula</t>
        </is>
      </c>
    </row>
    <row r="3044">
      <c r="A3044" t="inlineStr">
        <is>
          <t>附表10!N35</t>
        </is>
      </c>
      <c r="B3044" t="inlineStr">
        <is>
          <t>'附表8'!F38</t>
        </is>
      </c>
      <c r="C3044" t="inlineStr">
        <is>
          <t>excel_formula</t>
        </is>
      </c>
    </row>
    <row r="3045">
      <c r="A3045" t="inlineStr">
        <is>
          <t>附表10!O35</t>
        </is>
      </c>
      <c r="B3045" t="inlineStr">
        <is>
          <t>atomic capital cashflow inflow-outflow</t>
        </is>
      </c>
      <c r="C3045" t="inlineStr">
        <is>
          <t>excel_formula</t>
        </is>
      </c>
    </row>
    <row r="3046">
      <c r="A3046" t="inlineStr">
        <is>
          <t>附表10!M36</t>
        </is>
      </c>
      <c r="B3046" t="inlineStr">
        <is>
          <t>'附表8'!E39</t>
        </is>
      </c>
      <c r="C3046" t="inlineStr">
        <is>
          <t>excel_formula</t>
        </is>
      </c>
    </row>
    <row r="3047">
      <c r="A3047" t="inlineStr">
        <is>
          <t>附表10!N36</t>
        </is>
      </c>
      <c r="B3047" t="inlineStr">
        <is>
          <t>'附表8'!F39</t>
        </is>
      </c>
      <c r="C3047" t="inlineStr">
        <is>
          <t>excel_formula</t>
        </is>
      </c>
    </row>
    <row r="3048">
      <c r="A3048" t="inlineStr">
        <is>
          <t>附表10!O36</t>
        </is>
      </c>
      <c r="B3048" t="inlineStr">
        <is>
          <t>atomic capital cashflow inflow-outflow</t>
        </is>
      </c>
      <c r="C3048" t="inlineStr">
        <is>
          <t>excel_formula</t>
        </is>
      </c>
    </row>
    <row r="3049">
      <c r="A3049" t="inlineStr">
        <is>
          <t>附表10!M37</t>
        </is>
      </c>
      <c r="B3049" t="inlineStr">
        <is>
          <t>'附表8'!E40</t>
        </is>
      </c>
      <c r="C3049" t="inlineStr">
        <is>
          <t>excel_formula</t>
        </is>
      </c>
    </row>
    <row r="3050">
      <c r="A3050" t="inlineStr">
        <is>
          <t>附表10!N37</t>
        </is>
      </c>
      <c r="B3050" t="inlineStr">
        <is>
          <t>'附表8'!F40</t>
        </is>
      </c>
      <c r="C3050" t="inlineStr">
        <is>
          <t>excel_formula</t>
        </is>
      </c>
    </row>
    <row r="3051">
      <c r="A3051" t="inlineStr">
        <is>
          <t>附表10!O37</t>
        </is>
      </c>
      <c r="B3051" t="inlineStr">
        <is>
          <t>atomic capital cashflow inflow-outflow</t>
        </is>
      </c>
      <c r="C3051" t="inlineStr">
        <is>
          <t>excel_formula</t>
        </is>
      </c>
    </row>
    <row r="3052">
      <c r="A3052" t="inlineStr">
        <is>
          <t>附表10!M38</t>
        </is>
      </c>
      <c r="B3052" t="inlineStr">
        <is>
          <t>'附表8'!E41</t>
        </is>
      </c>
      <c r="C3052" t="inlineStr">
        <is>
          <t>excel_formula</t>
        </is>
      </c>
    </row>
    <row r="3053">
      <c r="A3053" t="inlineStr">
        <is>
          <t>附表10!N38</t>
        </is>
      </c>
      <c r="B3053" t="inlineStr">
        <is>
          <t>'附表8'!F41</t>
        </is>
      </c>
      <c r="C3053" t="inlineStr">
        <is>
          <t>excel_formula</t>
        </is>
      </c>
    </row>
    <row r="3054">
      <c r="A3054" t="inlineStr">
        <is>
          <t>附表10!O38</t>
        </is>
      </c>
      <c r="B3054" t="inlineStr">
        <is>
          <t>atomic capital cashflow inflow-outflow</t>
        </is>
      </c>
      <c r="C3054" t="inlineStr">
        <is>
          <t>excel_formula</t>
        </is>
      </c>
    </row>
    <row r="3055">
      <c r="A3055" t="inlineStr">
        <is>
          <t>附表10!M39</t>
        </is>
      </c>
      <c r="B3055" t="inlineStr">
        <is>
          <t>'附表8'!E42</t>
        </is>
      </c>
      <c r="C3055" t="inlineStr">
        <is>
          <t>excel_formula</t>
        </is>
      </c>
    </row>
    <row r="3056">
      <c r="A3056" t="inlineStr">
        <is>
          <t>附表10!N39</t>
        </is>
      </c>
      <c r="B3056" t="inlineStr">
        <is>
          <t>'附表8'!F42</t>
        </is>
      </c>
      <c r="C3056" t="inlineStr">
        <is>
          <t>excel_formula</t>
        </is>
      </c>
    </row>
    <row r="3057">
      <c r="A3057" t="inlineStr">
        <is>
          <t>附表10!O39</t>
        </is>
      </c>
      <c r="B3057" t="inlineStr">
        <is>
          <t>atomic capital cashflow inflow-outflow</t>
        </is>
      </c>
      <c r="C3057" t="inlineStr">
        <is>
          <t>excel_formula</t>
        </is>
      </c>
    </row>
    <row r="3058">
      <c r="A3058" t="inlineStr">
        <is>
          <t>附表10!M40</t>
        </is>
      </c>
      <c r="B3058" t="inlineStr">
        <is>
          <t>'附表8'!E43</t>
        </is>
      </c>
      <c r="C3058" t="inlineStr">
        <is>
          <t>excel_formula</t>
        </is>
      </c>
    </row>
    <row r="3059">
      <c r="A3059" t="inlineStr">
        <is>
          <t>附表10!N40</t>
        </is>
      </c>
      <c r="B3059" t="inlineStr">
        <is>
          <t>'附表8'!F43</t>
        </is>
      </c>
      <c r="C3059" t="inlineStr">
        <is>
          <t>excel_formula</t>
        </is>
      </c>
    </row>
    <row r="3060">
      <c r="A3060" t="inlineStr">
        <is>
          <t>附表10!O40</t>
        </is>
      </c>
      <c r="B3060" t="inlineStr">
        <is>
          <t>atomic capital cashflow inflow-outflow</t>
        </is>
      </c>
      <c r="C3060" t="inlineStr">
        <is>
          <t>excel_formula</t>
        </is>
      </c>
    </row>
    <row r="3061">
      <c r="A3061" t="inlineStr">
        <is>
          <t>附表10!M41</t>
        </is>
      </c>
      <c r="B3061" t="inlineStr">
        <is>
          <t>'附表8'!E44</t>
        </is>
      </c>
      <c r="C3061" t="inlineStr">
        <is>
          <t>excel_formula</t>
        </is>
      </c>
    </row>
    <row r="3062">
      <c r="A3062" t="inlineStr">
        <is>
          <t>附表10!N41</t>
        </is>
      </c>
      <c r="B3062" t="inlineStr">
        <is>
          <t>'附表8'!F44</t>
        </is>
      </c>
      <c r="C3062" t="inlineStr">
        <is>
          <t>excel_formula</t>
        </is>
      </c>
    </row>
    <row r="3063">
      <c r="A3063" t="inlineStr">
        <is>
          <t>附表10!O41</t>
        </is>
      </c>
      <c r="B3063" t="inlineStr">
        <is>
          <t>atomic capital cashflow inflow-outflow</t>
        </is>
      </c>
      <c r="C3063" t="inlineStr">
        <is>
          <t>excel_formula</t>
        </is>
      </c>
    </row>
    <row r="3064">
      <c r="A3064" t="inlineStr">
        <is>
          <t>附表10!M42</t>
        </is>
      </c>
      <c r="B3064" t="inlineStr">
        <is>
          <t>'附表8'!E45</t>
        </is>
      </c>
      <c r="C3064" t="inlineStr">
        <is>
          <t>excel_formula</t>
        </is>
      </c>
    </row>
    <row r="3065">
      <c r="A3065" t="inlineStr">
        <is>
          <t>附表10!N42</t>
        </is>
      </c>
      <c r="B3065" t="inlineStr">
        <is>
          <t>'附表8'!F45</t>
        </is>
      </c>
      <c r="C3065" t="inlineStr">
        <is>
          <t>excel_formula</t>
        </is>
      </c>
    </row>
    <row r="3066">
      <c r="A3066" t="inlineStr">
        <is>
          <t>附表10!O42</t>
        </is>
      </c>
      <c r="B3066" t="inlineStr">
        <is>
          <t>atomic capital cashflow inflow-outflow</t>
        </is>
      </c>
      <c r="C3066" t="inlineStr">
        <is>
          <t>excel_formula</t>
        </is>
      </c>
    </row>
    <row r="3067">
      <c r="A3067" t="inlineStr">
        <is>
          <t>附表10!M43</t>
        </is>
      </c>
      <c r="B3067" t="inlineStr">
        <is>
          <t>'附表8'!E46</t>
        </is>
      </c>
      <c r="C3067" t="inlineStr">
        <is>
          <t>excel_formula</t>
        </is>
      </c>
    </row>
    <row r="3068">
      <c r="A3068" t="inlineStr">
        <is>
          <t>附表10!N43</t>
        </is>
      </c>
      <c r="B3068" t="inlineStr">
        <is>
          <t>'附表8'!F46</t>
        </is>
      </c>
      <c r="C3068" t="inlineStr">
        <is>
          <t>excel_formula</t>
        </is>
      </c>
    </row>
    <row r="3069">
      <c r="A3069" t="inlineStr">
        <is>
          <t>附表10!O43</t>
        </is>
      </c>
      <c r="B3069" t="inlineStr">
        <is>
          <t>atomic capital cashflow inflow-outflow</t>
        </is>
      </c>
      <c r="C3069" t="inlineStr">
        <is>
          <t>excel_formula</t>
        </is>
      </c>
    </row>
    <row r="3070">
      <c r="A3070" t="inlineStr">
        <is>
          <t>附表10!M44</t>
        </is>
      </c>
      <c r="B3070" t="inlineStr">
        <is>
          <t>'附表8'!E47</t>
        </is>
      </c>
      <c r="C3070" t="inlineStr">
        <is>
          <t>excel_formula</t>
        </is>
      </c>
    </row>
    <row r="3071">
      <c r="A3071" t="inlineStr">
        <is>
          <t>附表10!N44</t>
        </is>
      </c>
      <c r="B3071" t="inlineStr">
        <is>
          <t>'附表8'!F47</t>
        </is>
      </c>
      <c r="C3071" t="inlineStr">
        <is>
          <t>excel_formula</t>
        </is>
      </c>
    </row>
    <row r="3072">
      <c r="A3072" t="inlineStr">
        <is>
          <t>附表10!O44</t>
        </is>
      </c>
      <c r="B3072" t="inlineStr">
        <is>
          <t>atomic capital cashflow inflow-outflow</t>
        </is>
      </c>
      <c r="C3072" t="inlineStr">
        <is>
          <t>excel_formula</t>
        </is>
      </c>
    </row>
    <row r="3073">
      <c r="A3073" t="inlineStr">
        <is>
          <t>附表9!B51</t>
        </is>
      </c>
      <c r="B3073" t="inlineStr">
        <is>
          <t>'附表9'!C20</t>
        </is>
      </c>
      <c r="C3073" t="inlineStr">
        <is>
          <t>excel_formula</t>
        </is>
      </c>
    </row>
    <row r="3074">
      <c r="A3074" t="inlineStr">
        <is>
          <t>附表9!C51</t>
        </is>
      </c>
      <c r="B3074" t="inlineStr">
        <is>
          <t>'附表9'!C21</t>
        </is>
      </c>
      <c r="C3074" t="inlineStr">
        <is>
          <t>excel_formula</t>
        </is>
      </c>
    </row>
    <row r="3075">
      <c r="A3075" t="inlineStr">
        <is>
          <t>附表9!D51</t>
        </is>
      </c>
      <c r="B3075" t="inlineStr">
        <is>
          <t>'附表9'!C22</t>
        </is>
      </c>
      <c r="C3075" t="inlineStr">
        <is>
          <t>excel_formula</t>
        </is>
      </c>
    </row>
    <row r="3076">
      <c r="A3076" t="inlineStr">
        <is>
          <t>附表9!E51</t>
        </is>
      </c>
      <c r="B3076" t="inlineStr">
        <is>
          <t>'附表9'!C23</t>
        </is>
      </c>
      <c r="C3076" t="inlineStr">
        <is>
          <t>excel_formula</t>
        </is>
      </c>
    </row>
    <row r="3077">
      <c r="A3077" t="inlineStr">
        <is>
          <t>附表9!F51</t>
        </is>
      </c>
      <c r="B3077" t="inlineStr">
        <is>
          <t>'附表9'!C24</t>
        </is>
      </c>
      <c r="C3077" t="inlineStr">
        <is>
          <t>excel_formula</t>
        </is>
      </c>
    </row>
    <row r="3078">
      <c r="A3078" t="inlineStr">
        <is>
          <t>附表9!G51</t>
        </is>
      </c>
      <c r="B3078" t="inlineStr">
        <is>
          <t>'附表9'!C25</t>
        </is>
      </c>
      <c r="C3078" t="inlineStr">
        <is>
          <t>excel_formula</t>
        </is>
      </c>
    </row>
    <row r="3079">
      <c r="A3079" t="inlineStr">
        <is>
          <t>附表9!H51</t>
        </is>
      </c>
      <c r="B3079" t="inlineStr">
        <is>
          <t>'附表9'!C26</t>
        </is>
      </c>
      <c r="C3079" t="inlineStr">
        <is>
          <t>excel_formula</t>
        </is>
      </c>
    </row>
    <row r="3080">
      <c r="A3080" t="inlineStr">
        <is>
          <t>附表9!I51</t>
        </is>
      </c>
      <c r="B3080" t="inlineStr">
        <is>
          <t>'附表9'!C27</t>
        </is>
      </c>
      <c r="C3080" t="inlineStr">
        <is>
          <t>excel_formula</t>
        </is>
      </c>
    </row>
    <row r="3081">
      <c r="A3081" t="inlineStr">
        <is>
          <t>附表9!J51</t>
        </is>
      </c>
      <c r="B3081" t="inlineStr">
        <is>
          <t>'附表9'!C28</t>
        </is>
      </c>
      <c r="C3081" t="inlineStr">
        <is>
          <t>excel_formula</t>
        </is>
      </c>
    </row>
    <row r="3082">
      <c r="A3082" t="inlineStr">
        <is>
          <t>附表9!K51</t>
        </is>
      </c>
      <c r="B3082" t="inlineStr">
        <is>
          <t>'附表9'!C29</t>
        </is>
      </c>
      <c r="C3082" t="inlineStr">
        <is>
          <t>excel_formula</t>
        </is>
      </c>
    </row>
    <row r="3083">
      <c r="A3083" t="inlineStr">
        <is>
          <t>附表9!L51</t>
        </is>
      </c>
      <c r="B3083" t="inlineStr">
        <is>
          <t>'附表9'!C30</t>
        </is>
      </c>
      <c r="C3083" t="inlineStr">
        <is>
          <t>excel_formula</t>
        </is>
      </c>
    </row>
    <row r="3084">
      <c r="A3084" t="inlineStr">
        <is>
          <t>附表9!M51</t>
        </is>
      </c>
      <c r="B3084" t="inlineStr">
        <is>
          <t>'附表9'!C31</t>
        </is>
      </c>
      <c r="C3084" t="inlineStr">
        <is>
          <t>excel_formula</t>
        </is>
      </c>
    </row>
    <row r="3085">
      <c r="A3085" t="inlineStr">
        <is>
          <t>附表9!N51</t>
        </is>
      </c>
      <c r="B3085" t="inlineStr">
        <is>
          <t>'附表9'!C32</t>
        </is>
      </c>
      <c r="C3085" t="inlineStr">
        <is>
          <t>excel_formula</t>
        </is>
      </c>
    </row>
    <row r="3086">
      <c r="A3086" t="inlineStr">
        <is>
          <t>附表9!O51</t>
        </is>
      </c>
      <c r="B3086" t="inlineStr">
        <is>
          <t>'附表9'!C33</t>
        </is>
      </c>
      <c r="C3086" t="inlineStr">
        <is>
          <t>excel_formula</t>
        </is>
      </c>
    </row>
    <row r="3087">
      <c r="A3087" t="inlineStr">
        <is>
          <t>附表9!P51</t>
        </is>
      </c>
      <c r="B3087" t="inlineStr">
        <is>
          <t>'附表9'!C34</t>
        </is>
      </c>
      <c r="C3087" t="inlineStr">
        <is>
          <t>excel_formula</t>
        </is>
      </c>
    </row>
    <row r="3088">
      <c r="A3088" t="inlineStr">
        <is>
          <t>附表9!Q51</t>
        </is>
      </c>
      <c r="B3088" t="inlineStr">
        <is>
          <t>'附表9'!C35</t>
        </is>
      </c>
      <c r="C3088" t="inlineStr">
        <is>
          <t>excel_formula</t>
        </is>
      </c>
    </row>
    <row r="3089">
      <c r="A3089" t="inlineStr">
        <is>
          <t>附表9!R51</t>
        </is>
      </c>
      <c r="B3089" t="inlineStr">
        <is>
          <t>'附表9'!C36</t>
        </is>
      </c>
      <c r="C3089" t="inlineStr">
        <is>
          <t>excel_formula</t>
        </is>
      </c>
    </row>
    <row r="3090">
      <c r="A3090" t="inlineStr">
        <is>
          <t>附表9!S51</t>
        </is>
      </c>
      <c r="B3090" t="inlineStr">
        <is>
          <t>'附表9'!C37</t>
        </is>
      </c>
      <c r="C3090" t="inlineStr">
        <is>
          <t>excel_formula</t>
        </is>
      </c>
    </row>
    <row r="3091">
      <c r="A3091" t="inlineStr">
        <is>
          <t>附表9!T51</t>
        </is>
      </c>
      <c r="B3091" t="inlineStr">
        <is>
          <t>'附表9'!C38</t>
        </is>
      </c>
      <c r="C3091" t="inlineStr">
        <is>
          <t>excel_formula</t>
        </is>
      </c>
    </row>
    <row r="3092">
      <c r="A3092" t="inlineStr">
        <is>
          <t>附表9!U51</t>
        </is>
      </c>
      <c r="B3092" t="inlineStr">
        <is>
          <t>'附表9'!C39</t>
        </is>
      </c>
      <c r="C3092" t="inlineStr">
        <is>
          <t>excel_formula</t>
        </is>
      </c>
    </row>
    <row r="3093">
      <c r="A3093" t="inlineStr">
        <is>
          <t>附表9!V51</t>
        </is>
      </c>
      <c r="B3093" t="inlineStr">
        <is>
          <t>'附表9'!C40</t>
        </is>
      </c>
      <c r="C3093" t="inlineStr">
        <is>
          <t>excel_formula</t>
        </is>
      </c>
    </row>
    <row r="3094">
      <c r="A3094" t="inlineStr">
        <is>
          <t>附表9!W51</t>
        </is>
      </c>
      <c r="B3094" t="inlineStr">
        <is>
          <t>'附表9'!C41</t>
        </is>
      </c>
      <c r="C3094" t="inlineStr">
        <is>
          <t>excel_formula</t>
        </is>
      </c>
    </row>
    <row r="3095">
      <c r="A3095" t="inlineStr">
        <is>
          <t>附表9!X51</t>
        </is>
      </c>
      <c r="B3095" t="inlineStr">
        <is>
          <t>'附表9'!C42</t>
        </is>
      </c>
      <c r="C3095" t="inlineStr">
        <is>
          <t>excel_formula</t>
        </is>
      </c>
    </row>
    <row r="3096">
      <c r="A3096" t="inlineStr">
        <is>
          <t>附表9!Y51</t>
        </is>
      </c>
      <c r="B3096" t="inlineStr">
        <is>
          <t>'附表9'!C43</t>
        </is>
      </c>
      <c r="C3096" t="inlineStr">
        <is>
          <t>excel_formula</t>
        </is>
      </c>
    </row>
    <row r="3097">
      <c r="A3097" t="inlineStr">
        <is>
          <t>附表9!Z51</t>
        </is>
      </c>
      <c r="B3097" t="inlineStr">
        <is>
          <t>'附表9'!C44</t>
        </is>
      </c>
      <c r="C3097" t="inlineStr">
        <is>
          <t>excel_formula</t>
        </is>
      </c>
    </row>
    <row r="3098">
      <c r="A3098" t="inlineStr">
        <is>
          <t>附表9!B52</t>
        </is>
      </c>
      <c r="B3098" t="inlineStr">
        <is>
          <t>'附表9'!I20</t>
        </is>
      </c>
      <c r="C3098" t="inlineStr">
        <is>
          <t>excel_formula</t>
        </is>
      </c>
    </row>
    <row r="3099">
      <c r="A3099" t="inlineStr">
        <is>
          <t>附表9!C52</t>
        </is>
      </c>
      <c r="B3099" t="inlineStr">
        <is>
          <t>'附表9'!I21</t>
        </is>
      </c>
      <c r="C3099" t="inlineStr">
        <is>
          <t>excel_formula</t>
        </is>
      </c>
    </row>
    <row r="3100">
      <c r="A3100" t="inlineStr">
        <is>
          <t>附表9!D52</t>
        </is>
      </c>
      <c r="B3100" t="inlineStr">
        <is>
          <t>'附表9'!I22</t>
        </is>
      </c>
      <c r="C3100" t="inlineStr">
        <is>
          <t>excel_formula</t>
        </is>
      </c>
    </row>
    <row r="3101">
      <c r="A3101" t="inlineStr">
        <is>
          <t>附表9!E52</t>
        </is>
      </c>
      <c r="B3101" t="inlineStr">
        <is>
          <t>'附表9'!I23</t>
        </is>
      </c>
      <c r="C3101" t="inlineStr">
        <is>
          <t>excel_formula</t>
        </is>
      </c>
    </row>
    <row r="3102">
      <c r="A3102" t="inlineStr">
        <is>
          <t>附表9!F52</t>
        </is>
      </c>
      <c r="B3102" t="inlineStr">
        <is>
          <t>'附表9'!I24</t>
        </is>
      </c>
      <c r="C3102" t="inlineStr">
        <is>
          <t>excel_formula</t>
        </is>
      </c>
    </row>
    <row r="3103">
      <c r="A3103" t="inlineStr">
        <is>
          <t>附表9!G52</t>
        </is>
      </c>
      <c r="B3103" t="inlineStr">
        <is>
          <t>'附表9'!I25</t>
        </is>
      </c>
      <c r="C3103" t="inlineStr">
        <is>
          <t>excel_formula</t>
        </is>
      </c>
    </row>
    <row r="3104">
      <c r="A3104" t="inlineStr">
        <is>
          <t>附表9!H52</t>
        </is>
      </c>
      <c r="B3104" t="inlineStr">
        <is>
          <t>'附表9'!I26</t>
        </is>
      </c>
      <c r="C3104" t="inlineStr">
        <is>
          <t>excel_formula</t>
        </is>
      </c>
    </row>
    <row r="3105">
      <c r="A3105" t="inlineStr">
        <is>
          <t>附表9!I52</t>
        </is>
      </c>
      <c r="B3105" t="inlineStr">
        <is>
          <t>'附表9'!I27</t>
        </is>
      </c>
      <c r="C3105" t="inlineStr">
        <is>
          <t>excel_formula</t>
        </is>
      </c>
    </row>
    <row r="3106">
      <c r="A3106" t="inlineStr">
        <is>
          <t>附表9!J52</t>
        </is>
      </c>
      <c r="B3106" t="inlineStr">
        <is>
          <t>'附表9'!I28</t>
        </is>
      </c>
      <c r="C3106" t="inlineStr">
        <is>
          <t>excel_formula</t>
        </is>
      </c>
    </row>
    <row r="3107">
      <c r="A3107" t="inlineStr">
        <is>
          <t>附表9!K52</t>
        </is>
      </c>
      <c r="B3107" t="inlineStr">
        <is>
          <t>'附表9'!I29</t>
        </is>
      </c>
      <c r="C3107" t="inlineStr">
        <is>
          <t>excel_formula</t>
        </is>
      </c>
    </row>
    <row r="3108">
      <c r="A3108" t="inlineStr">
        <is>
          <t>附表9!L52</t>
        </is>
      </c>
      <c r="B3108" t="inlineStr">
        <is>
          <t>'附表9'!I30</t>
        </is>
      </c>
      <c r="C3108" t="inlineStr">
        <is>
          <t>excel_formula</t>
        </is>
      </c>
    </row>
    <row r="3109">
      <c r="A3109" t="inlineStr">
        <is>
          <t>附表9!M52</t>
        </is>
      </c>
      <c r="B3109" t="inlineStr">
        <is>
          <t>'附表9'!I31</t>
        </is>
      </c>
      <c r="C3109" t="inlineStr">
        <is>
          <t>excel_formula</t>
        </is>
      </c>
    </row>
    <row r="3110">
      <c r="A3110" t="inlineStr">
        <is>
          <t>附表9!N52</t>
        </is>
      </c>
      <c r="B3110" t="inlineStr">
        <is>
          <t>'附表9'!I32</t>
        </is>
      </c>
      <c r="C3110" t="inlineStr">
        <is>
          <t>excel_formula</t>
        </is>
      </c>
    </row>
    <row r="3111">
      <c r="A3111" t="inlineStr">
        <is>
          <t>附表9!O52</t>
        </is>
      </c>
      <c r="B3111" t="inlineStr">
        <is>
          <t>'附表9'!I33</t>
        </is>
      </c>
      <c r="C3111" t="inlineStr">
        <is>
          <t>excel_formula</t>
        </is>
      </c>
    </row>
    <row r="3112">
      <c r="A3112" t="inlineStr">
        <is>
          <t>附表9!P52</t>
        </is>
      </c>
      <c r="B3112" t="inlineStr">
        <is>
          <t>'附表9'!I34</t>
        </is>
      </c>
      <c r="C3112" t="inlineStr">
        <is>
          <t>excel_formula</t>
        </is>
      </c>
    </row>
    <row r="3113">
      <c r="A3113" t="inlineStr">
        <is>
          <t>附表9!Q52</t>
        </is>
      </c>
      <c r="B3113" t="inlineStr">
        <is>
          <t>'附表9'!I35</t>
        </is>
      </c>
      <c r="C3113" t="inlineStr">
        <is>
          <t>excel_formula</t>
        </is>
      </c>
    </row>
    <row r="3114">
      <c r="A3114" t="inlineStr">
        <is>
          <t>附表9!R52</t>
        </is>
      </c>
      <c r="B3114" t="inlineStr">
        <is>
          <t>'附表9'!I36</t>
        </is>
      </c>
      <c r="C3114" t="inlineStr">
        <is>
          <t>excel_formula</t>
        </is>
      </c>
    </row>
    <row r="3115">
      <c r="A3115" t="inlineStr">
        <is>
          <t>附表9!S52</t>
        </is>
      </c>
      <c r="B3115" t="inlineStr">
        <is>
          <t>'附表9'!I37</t>
        </is>
      </c>
      <c r="C3115" t="inlineStr">
        <is>
          <t>excel_formula</t>
        </is>
      </c>
    </row>
    <row r="3116">
      <c r="A3116" t="inlineStr">
        <is>
          <t>附表9!T52</t>
        </is>
      </c>
      <c r="B3116" t="inlineStr">
        <is>
          <t>'附表9'!I38</t>
        </is>
      </c>
      <c r="C3116" t="inlineStr">
        <is>
          <t>excel_formula</t>
        </is>
      </c>
    </row>
    <row r="3117">
      <c r="A3117" t="inlineStr">
        <is>
          <t>附表9!U52</t>
        </is>
      </c>
      <c r="B3117" t="inlineStr">
        <is>
          <t>'附表9'!I39</t>
        </is>
      </c>
      <c r="C3117" t="inlineStr">
        <is>
          <t>excel_formula</t>
        </is>
      </c>
    </row>
    <row r="3118">
      <c r="A3118" t="inlineStr">
        <is>
          <t>附表9!V52</t>
        </is>
      </c>
      <c r="B3118" t="inlineStr">
        <is>
          <t>'附表9'!I40</t>
        </is>
      </c>
      <c r="C3118" t="inlineStr">
        <is>
          <t>excel_formula</t>
        </is>
      </c>
    </row>
    <row r="3119">
      <c r="A3119" t="inlineStr">
        <is>
          <t>附表9!W52</t>
        </is>
      </c>
      <c r="B3119" t="inlineStr">
        <is>
          <t>'附表9'!I41</t>
        </is>
      </c>
      <c r="C3119" t="inlineStr">
        <is>
          <t>excel_formula</t>
        </is>
      </c>
    </row>
    <row r="3120">
      <c r="A3120" t="inlineStr">
        <is>
          <t>附表9!X52</t>
        </is>
      </c>
      <c r="B3120" t="inlineStr">
        <is>
          <t>'附表9'!I42</t>
        </is>
      </c>
      <c r="C3120" t="inlineStr">
        <is>
          <t>excel_formula</t>
        </is>
      </c>
    </row>
    <row r="3121">
      <c r="A3121" t="inlineStr">
        <is>
          <t>附表9!Y52</t>
        </is>
      </c>
      <c r="B3121" t="inlineStr">
        <is>
          <t>'附表9'!I43</t>
        </is>
      </c>
      <c r="C3121" t="inlineStr">
        <is>
          <t>excel_formula</t>
        </is>
      </c>
    </row>
    <row r="3122">
      <c r="A3122" t="inlineStr">
        <is>
          <t>附表9!Z52</t>
        </is>
      </c>
      <c r="B3122" t="inlineStr">
        <is>
          <t>'附表9'!I44</t>
        </is>
      </c>
      <c r="C3122" t="inlineStr">
        <is>
          <t>excel_formula</t>
        </is>
      </c>
    </row>
    <row r="3123">
      <c r="A3123" t="inlineStr">
        <is>
          <t>附表9!B54</t>
        </is>
      </c>
      <c r="B3123" t="inlineStr">
        <is>
          <t>'附表9'!G20</t>
        </is>
      </c>
      <c r="C3123" t="inlineStr">
        <is>
          <t>excel_formula</t>
        </is>
      </c>
    </row>
    <row r="3124">
      <c r="A3124" t="inlineStr">
        <is>
          <t>附表9!C54</t>
        </is>
      </c>
      <c r="B3124" t="inlineStr">
        <is>
          <t>'附表9'!G21</t>
        </is>
      </c>
      <c r="C3124" t="inlineStr">
        <is>
          <t>excel_formula</t>
        </is>
      </c>
    </row>
    <row r="3125">
      <c r="A3125" t="inlineStr">
        <is>
          <t>附表9!D54</t>
        </is>
      </c>
      <c r="B3125" t="inlineStr">
        <is>
          <t>'附表9'!G22</t>
        </is>
      </c>
      <c r="C3125" t="inlineStr">
        <is>
          <t>excel_formula</t>
        </is>
      </c>
    </row>
    <row r="3126">
      <c r="A3126" t="inlineStr">
        <is>
          <t>附表9!E54</t>
        </is>
      </c>
      <c r="B3126" t="inlineStr">
        <is>
          <t>'附表9'!G23</t>
        </is>
      </c>
      <c r="C3126" t="inlineStr">
        <is>
          <t>excel_formula</t>
        </is>
      </c>
    </row>
    <row r="3127">
      <c r="A3127" t="inlineStr">
        <is>
          <t>附表9!F54</t>
        </is>
      </c>
      <c r="B3127" t="inlineStr">
        <is>
          <t>'附表9'!G24</t>
        </is>
      </c>
      <c r="C3127" t="inlineStr">
        <is>
          <t>excel_formula</t>
        </is>
      </c>
    </row>
    <row r="3128">
      <c r="A3128" t="inlineStr">
        <is>
          <t>附表9!G54</t>
        </is>
      </c>
      <c r="B3128" t="inlineStr">
        <is>
          <t>'附表9'!G25</t>
        </is>
      </c>
      <c r="C3128" t="inlineStr">
        <is>
          <t>excel_formula</t>
        </is>
      </c>
    </row>
    <row r="3129">
      <c r="A3129" t="inlineStr">
        <is>
          <t>附表9!H54</t>
        </is>
      </c>
      <c r="B3129" t="inlineStr">
        <is>
          <t>'附表9'!G26</t>
        </is>
      </c>
      <c r="C3129" t="inlineStr">
        <is>
          <t>excel_formula</t>
        </is>
      </c>
    </row>
    <row r="3130">
      <c r="A3130" t="inlineStr">
        <is>
          <t>附表9!I54</t>
        </is>
      </c>
      <c r="B3130" t="inlineStr">
        <is>
          <t>'附表9'!G27</t>
        </is>
      </c>
      <c r="C3130" t="inlineStr">
        <is>
          <t>excel_formula</t>
        </is>
      </c>
    </row>
    <row r="3131">
      <c r="A3131" t="inlineStr">
        <is>
          <t>附表9!J54</t>
        </is>
      </c>
      <c r="B3131" t="inlineStr">
        <is>
          <t>'附表9'!G28</t>
        </is>
      </c>
      <c r="C3131" t="inlineStr">
        <is>
          <t>excel_formula</t>
        </is>
      </c>
    </row>
    <row r="3132">
      <c r="A3132" t="inlineStr">
        <is>
          <t>附表9!K54</t>
        </is>
      </c>
      <c r="B3132" t="inlineStr">
        <is>
          <t>'附表9'!G29</t>
        </is>
      </c>
      <c r="C3132" t="inlineStr">
        <is>
          <t>excel_formula</t>
        </is>
      </c>
    </row>
    <row r="3133">
      <c r="A3133" t="inlineStr">
        <is>
          <t>附表9!L54</t>
        </is>
      </c>
      <c r="B3133" t="inlineStr">
        <is>
          <t>'附表9'!G30</t>
        </is>
      </c>
      <c r="C3133" t="inlineStr">
        <is>
          <t>excel_formula</t>
        </is>
      </c>
    </row>
    <row r="3134">
      <c r="A3134" t="inlineStr">
        <is>
          <t>附表9!M54</t>
        </is>
      </c>
      <c r="B3134" t="inlineStr">
        <is>
          <t>'附表9'!G31</t>
        </is>
      </c>
      <c r="C3134" t="inlineStr">
        <is>
          <t>excel_formula</t>
        </is>
      </c>
    </row>
    <row r="3135">
      <c r="A3135" t="inlineStr">
        <is>
          <t>附表9!N54</t>
        </is>
      </c>
      <c r="B3135" t="inlineStr">
        <is>
          <t>'附表9'!G32</t>
        </is>
      </c>
      <c r="C3135" t="inlineStr">
        <is>
          <t>excel_formula</t>
        </is>
      </c>
    </row>
    <row r="3136">
      <c r="A3136" t="inlineStr">
        <is>
          <t>附表9!O54</t>
        </is>
      </c>
      <c r="B3136" t="inlineStr">
        <is>
          <t>'附表9'!G33</t>
        </is>
      </c>
      <c r="C3136" t="inlineStr">
        <is>
          <t>excel_formula</t>
        </is>
      </c>
    </row>
    <row r="3137">
      <c r="A3137" t="inlineStr">
        <is>
          <t>附表9!P54</t>
        </is>
      </c>
      <c r="B3137" t="inlineStr">
        <is>
          <t>'附表9'!G34</t>
        </is>
      </c>
      <c r="C3137" t="inlineStr">
        <is>
          <t>excel_formula</t>
        </is>
      </c>
    </row>
    <row r="3138">
      <c r="A3138" t="inlineStr">
        <is>
          <t>附表9!Q54</t>
        </is>
      </c>
      <c r="B3138" t="inlineStr">
        <is>
          <t>'附表9'!G35</t>
        </is>
      </c>
      <c r="C3138" t="inlineStr">
        <is>
          <t>excel_formula</t>
        </is>
      </c>
    </row>
    <row r="3139">
      <c r="A3139" t="inlineStr">
        <is>
          <t>附表9!R54</t>
        </is>
      </c>
      <c r="B3139" t="inlineStr">
        <is>
          <t>'附表9'!G36</t>
        </is>
      </c>
      <c r="C3139" t="inlineStr">
        <is>
          <t>excel_formula</t>
        </is>
      </c>
    </row>
    <row r="3140">
      <c r="A3140" t="inlineStr">
        <is>
          <t>附表9!S54</t>
        </is>
      </c>
      <c r="B3140" t="inlineStr">
        <is>
          <t>'附表9'!G37</t>
        </is>
      </c>
      <c r="C3140" t="inlineStr">
        <is>
          <t>excel_formula</t>
        </is>
      </c>
    </row>
    <row r="3141">
      <c r="A3141" t="inlineStr">
        <is>
          <t>附表9!T54</t>
        </is>
      </c>
      <c r="B3141" t="inlineStr">
        <is>
          <t>'附表9'!G38</t>
        </is>
      </c>
      <c r="C3141" t="inlineStr">
        <is>
          <t>excel_formula</t>
        </is>
      </c>
    </row>
    <row r="3142">
      <c r="A3142" t="inlineStr">
        <is>
          <t>附表9!U54</t>
        </is>
      </c>
      <c r="B3142" t="inlineStr">
        <is>
          <t>'附表9'!G39</t>
        </is>
      </c>
      <c r="C3142" t="inlineStr">
        <is>
          <t>excel_formula</t>
        </is>
      </c>
    </row>
    <row r="3143">
      <c r="A3143" t="inlineStr">
        <is>
          <t>附表9!V54</t>
        </is>
      </c>
      <c r="B3143" t="inlineStr">
        <is>
          <t>'附表9'!G40</t>
        </is>
      </c>
      <c r="C3143" t="inlineStr">
        <is>
          <t>excel_formula</t>
        </is>
      </c>
    </row>
    <row r="3144">
      <c r="A3144" t="inlineStr">
        <is>
          <t>附表9!W54</t>
        </is>
      </c>
      <c r="B3144" t="inlineStr">
        <is>
          <t>'附表9'!G41</t>
        </is>
      </c>
      <c r="C3144" t="inlineStr">
        <is>
          <t>excel_formula</t>
        </is>
      </c>
    </row>
    <row r="3145">
      <c r="A3145" t="inlineStr">
        <is>
          <t>附表9!X54</t>
        </is>
      </c>
      <c r="B3145" t="inlineStr">
        <is>
          <t>'附表9'!G42</t>
        </is>
      </c>
      <c r="C3145" t="inlineStr">
        <is>
          <t>excel_formula</t>
        </is>
      </c>
    </row>
    <row r="3146">
      <c r="A3146" t="inlineStr">
        <is>
          <t>附表9!Y54</t>
        </is>
      </c>
      <c r="B3146" t="inlineStr">
        <is>
          <t>'附表9'!G43</t>
        </is>
      </c>
      <c r="C3146" t="inlineStr">
        <is>
          <t>excel_formula</t>
        </is>
      </c>
    </row>
    <row r="3147">
      <c r="A3147" t="inlineStr">
        <is>
          <t>附表9!Z54</t>
        </is>
      </c>
      <c r="B3147" t="inlineStr">
        <is>
          <t>'附表9'!G44</t>
        </is>
      </c>
      <c r="C3147" t="inlineStr">
        <is>
          <t>excel_formula</t>
        </is>
      </c>
    </row>
    <row r="3148">
      <c r="A3148" t="inlineStr">
        <is>
          <t>附表9!B55</t>
        </is>
      </c>
      <c r="B3148" t="inlineStr">
        <is>
          <t>'附表9'!H20</t>
        </is>
      </c>
      <c r="C3148" t="inlineStr">
        <is>
          <t>excel_formula</t>
        </is>
      </c>
    </row>
    <row r="3149">
      <c r="A3149" t="inlineStr">
        <is>
          <t>附表9!C55</t>
        </is>
      </c>
      <c r="B3149" t="inlineStr">
        <is>
          <t>'附表9'!H21</t>
        </is>
      </c>
      <c r="C3149" t="inlineStr">
        <is>
          <t>excel_formula</t>
        </is>
      </c>
    </row>
    <row r="3150">
      <c r="A3150" t="inlineStr">
        <is>
          <t>附表9!D55</t>
        </is>
      </c>
      <c r="B3150" t="inlineStr">
        <is>
          <t>'附表9'!H22</t>
        </is>
      </c>
      <c r="C3150" t="inlineStr">
        <is>
          <t>excel_formula</t>
        </is>
      </c>
    </row>
    <row r="3151">
      <c r="A3151" t="inlineStr">
        <is>
          <t>附表9!E55</t>
        </is>
      </c>
      <c r="B3151" t="inlineStr">
        <is>
          <t>'附表9'!H23</t>
        </is>
      </c>
      <c r="C3151" t="inlineStr">
        <is>
          <t>excel_formula</t>
        </is>
      </c>
    </row>
    <row r="3152">
      <c r="A3152" t="inlineStr">
        <is>
          <t>附表9!F55</t>
        </is>
      </c>
      <c r="B3152" t="inlineStr">
        <is>
          <t>'附表9'!H24</t>
        </is>
      </c>
      <c r="C3152" t="inlineStr">
        <is>
          <t>excel_formula</t>
        </is>
      </c>
    </row>
    <row r="3153">
      <c r="A3153" t="inlineStr">
        <is>
          <t>附表9!G55</t>
        </is>
      </c>
      <c r="B3153" t="inlineStr">
        <is>
          <t>'附表9'!H25</t>
        </is>
      </c>
      <c r="C3153" t="inlineStr">
        <is>
          <t>excel_formula</t>
        </is>
      </c>
    </row>
    <row r="3154">
      <c r="A3154" t="inlineStr">
        <is>
          <t>附表9!H55</t>
        </is>
      </c>
      <c r="B3154" t="inlineStr">
        <is>
          <t>'附表9'!H26</t>
        </is>
      </c>
      <c r="C3154" t="inlineStr">
        <is>
          <t>excel_formula</t>
        </is>
      </c>
    </row>
    <row r="3155">
      <c r="A3155" t="inlineStr">
        <is>
          <t>附表9!I55</t>
        </is>
      </c>
      <c r="B3155" t="inlineStr">
        <is>
          <t>'附表9'!H27</t>
        </is>
      </c>
      <c r="C3155" t="inlineStr">
        <is>
          <t>excel_formula</t>
        </is>
      </c>
    </row>
    <row r="3156">
      <c r="A3156" t="inlineStr">
        <is>
          <t>附表9!J55</t>
        </is>
      </c>
      <c r="B3156" t="inlineStr">
        <is>
          <t>'附表9'!H28</t>
        </is>
      </c>
      <c r="C3156" t="inlineStr">
        <is>
          <t>excel_formula</t>
        </is>
      </c>
    </row>
    <row r="3157">
      <c r="A3157" t="inlineStr">
        <is>
          <t>附表9!K55</t>
        </is>
      </c>
      <c r="B3157" t="inlineStr">
        <is>
          <t>'附表9'!H29</t>
        </is>
      </c>
      <c r="C3157" t="inlineStr">
        <is>
          <t>excel_formula</t>
        </is>
      </c>
    </row>
    <row r="3158">
      <c r="A3158" t="inlineStr">
        <is>
          <t>附表9!L55</t>
        </is>
      </c>
      <c r="B3158" t="inlineStr">
        <is>
          <t>'附表9'!H30</t>
        </is>
      </c>
      <c r="C3158" t="inlineStr">
        <is>
          <t>excel_formula</t>
        </is>
      </c>
    </row>
    <row r="3159">
      <c r="A3159" t="inlineStr">
        <is>
          <t>附表9!M55</t>
        </is>
      </c>
      <c r="B3159" t="inlineStr">
        <is>
          <t>'附表9'!H31</t>
        </is>
      </c>
      <c r="C3159" t="inlineStr">
        <is>
          <t>excel_formula</t>
        </is>
      </c>
    </row>
    <row r="3160">
      <c r="A3160" t="inlineStr">
        <is>
          <t>附表9!N55</t>
        </is>
      </c>
      <c r="B3160" t="inlineStr">
        <is>
          <t>'附表9'!H32</t>
        </is>
      </c>
      <c r="C3160" t="inlineStr">
        <is>
          <t>excel_formula</t>
        </is>
      </c>
    </row>
    <row r="3161">
      <c r="A3161" t="inlineStr">
        <is>
          <t>附表9!O55</t>
        </is>
      </c>
      <c r="B3161" t="inlineStr">
        <is>
          <t>'附表9'!H33</t>
        </is>
      </c>
      <c r="C3161" t="inlineStr">
        <is>
          <t>excel_formula</t>
        </is>
      </c>
    </row>
    <row r="3162">
      <c r="A3162" t="inlineStr">
        <is>
          <t>附表9!P55</t>
        </is>
      </c>
      <c r="B3162" t="inlineStr">
        <is>
          <t>'附表9'!H34</t>
        </is>
      </c>
      <c r="C3162" t="inlineStr">
        <is>
          <t>excel_formula</t>
        </is>
      </c>
    </row>
    <row r="3163">
      <c r="A3163" t="inlineStr">
        <is>
          <t>附表9!Q55</t>
        </is>
      </c>
      <c r="B3163" t="inlineStr">
        <is>
          <t>'附表9'!H35</t>
        </is>
      </c>
      <c r="C3163" t="inlineStr">
        <is>
          <t>excel_formula</t>
        </is>
      </c>
    </row>
    <row r="3164">
      <c r="A3164" t="inlineStr">
        <is>
          <t>附表9!R55</t>
        </is>
      </c>
      <c r="B3164" t="inlineStr">
        <is>
          <t>'附表9'!H36</t>
        </is>
      </c>
      <c r="C3164" t="inlineStr">
        <is>
          <t>excel_formula</t>
        </is>
      </c>
    </row>
    <row r="3165">
      <c r="A3165" t="inlineStr">
        <is>
          <t>附表9!S55</t>
        </is>
      </c>
      <c r="B3165" t="inlineStr">
        <is>
          <t>'附表9'!H37</t>
        </is>
      </c>
      <c r="C3165" t="inlineStr">
        <is>
          <t>excel_formula</t>
        </is>
      </c>
    </row>
    <row r="3166">
      <c r="A3166" t="inlineStr">
        <is>
          <t>附表9!T55</t>
        </is>
      </c>
      <c r="B3166" t="inlineStr">
        <is>
          <t>'附表9'!H38</t>
        </is>
      </c>
      <c r="C3166" t="inlineStr">
        <is>
          <t>excel_formula</t>
        </is>
      </c>
    </row>
    <row r="3167">
      <c r="A3167" t="inlineStr">
        <is>
          <t>附表9!U55</t>
        </is>
      </c>
      <c r="B3167" t="inlineStr">
        <is>
          <t>'附表9'!H39</t>
        </is>
      </c>
      <c r="C3167" t="inlineStr">
        <is>
          <t>excel_formula</t>
        </is>
      </c>
    </row>
    <row r="3168">
      <c r="A3168" t="inlineStr">
        <is>
          <t>附表9!V55</t>
        </is>
      </c>
      <c r="B3168" t="inlineStr">
        <is>
          <t>'附表9'!H40</t>
        </is>
      </c>
      <c r="C3168" t="inlineStr">
        <is>
          <t>excel_formula</t>
        </is>
      </c>
    </row>
    <row r="3169">
      <c r="A3169" t="inlineStr">
        <is>
          <t>附表9!W55</t>
        </is>
      </c>
      <c r="B3169" t="inlineStr">
        <is>
          <t>'附表9'!H41</t>
        </is>
      </c>
      <c r="C3169" t="inlineStr">
        <is>
          <t>excel_formula</t>
        </is>
      </c>
    </row>
    <row r="3170">
      <c r="A3170" t="inlineStr">
        <is>
          <t>附表9!X55</t>
        </is>
      </c>
      <c r="B3170" t="inlineStr">
        <is>
          <t>'附表9'!H42</t>
        </is>
      </c>
      <c r="C3170" t="inlineStr">
        <is>
          <t>excel_formula</t>
        </is>
      </c>
    </row>
    <row r="3171">
      <c r="A3171" t="inlineStr">
        <is>
          <t>附表9!Y55</t>
        </is>
      </c>
      <c r="B3171" t="inlineStr">
        <is>
          <t>'附表9'!H43</t>
        </is>
      </c>
      <c r="C3171" t="inlineStr">
        <is>
          <t>excel_formula</t>
        </is>
      </c>
    </row>
    <row r="3172">
      <c r="A3172" t="inlineStr">
        <is>
          <t>附表9!Z55</t>
        </is>
      </c>
      <c r="B3172" t="inlineStr">
        <is>
          <t>'附表9'!H44</t>
        </is>
      </c>
      <c r="C3172" t="inlineStr">
        <is>
          <t>excel_formula</t>
        </is>
      </c>
    </row>
    <row r="3173">
      <c r="A3173" t="inlineStr">
        <is>
          <t>附表9!B56</t>
        </is>
      </c>
      <c r="B3173" t="inlineStr">
        <is>
          <t>'附表9'!D20</t>
        </is>
      </c>
      <c r="C3173" t="inlineStr">
        <is>
          <t>excel_formula</t>
        </is>
      </c>
    </row>
    <row r="3174">
      <c r="A3174" t="inlineStr">
        <is>
          <t>附表9!C56</t>
        </is>
      </c>
      <c r="B3174" t="inlineStr">
        <is>
          <t>'附表9'!D21</t>
        </is>
      </c>
      <c r="C3174" t="inlineStr">
        <is>
          <t>excel_formula</t>
        </is>
      </c>
    </row>
    <row r="3175">
      <c r="A3175" t="inlineStr">
        <is>
          <t>附表9!D56</t>
        </is>
      </c>
      <c r="B3175" t="inlineStr">
        <is>
          <t>'附表9'!D22</t>
        </is>
      </c>
      <c r="C3175" t="inlineStr">
        <is>
          <t>excel_formula</t>
        </is>
      </c>
    </row>
    <row r="3176">
      <c r="A3176" t="inlineStr">
        <is>
          <t>附表9!E56</t>
        </is>
      </c>
      <c r="B3176" t="inlineStr">
        <is>
          <t>'附表9'!D23</t>
        </is>
      </c>
      <c r="C3176" t="inlineStr">
        <is>
          <t>excel_formula</t>
        </is>
      </c>
    </row>
    <row r="3177">
      <c r="A3177" t="inlineStr">
        <is>
          <t>附表9!F56</t>
        </is>
      </c>
      <c r="B3177" t="inlineStr">
        <is>
          <t>'附表9'!D24</t>
        </is>
      </c>
      <c r="C3177" t="inlineStr">
        <is>
          <t>excel_formula</t>
        </is>
      </c>
    </row>
    <row r="3178">
      <c r="A3178" t="inlineStr">
        <is>
          <t>附表9!G56</t>
        </is>
      </c>
      <c r="B3178" t="inlineStr">
        <is>
          <t>'附表9'!D25</t>
        </is>
      </c>
      <c r="C3178" t="inlineStr">
        <is>
          <t>excel_formula</t>
        </is>
      </c>
    </row>
    <row r="3179">
      <c r="A3179" t="inlineStr">
        <is>
          <t>附表9!H56</t>
        </is>
      </c>
      <c r="B3179" t="inlineStr">
        <is>
          <t>'附表9'!D26</t>
        </is>
      </c>
      <c r="C3179" t="inlineStr">
        <is>
          <t>excel_formula</t>
        </is>
      </c>
    </row>
    <row r="3180">
      <c r="A3180" t="inlineStr">
        <is>
          <t>附表9!I56</t>
        </is>
      </c>
      <c r="B3180" t="inlineStr">
        <is>
          <t>'附表9'!D27</t>
        </is>
      </c>
      <c r="C3180" t="inlineStr">
        <is>
          <t>excel_formula</t>
        </is>
      </c>
    </row>
    <row r="3181">
      <c r="A3181" t="inlineStr">
        <is>
          <t>附表9!J56</t>
        </is>
      </c>
      <c r="B3181" t="inlineStr">
        <is>
          <t>'附表9'!D28</t>
        </is>
      </c>
      <c r="C3181" t="inlineStr">
        <is>
          <t>excel_formula</t>
        </is>
      </c>
    </row>
    <row r="3182">
      <c r="A3182" t="inlineStr">
        <is>
          <t>附表9!K56</t>
        </is>
      </c>
      <c r="B3182" t="inlineStr">
        <is>
          <t>'附表9'!D29</t>
        </is>
      </c>
      <c r="C3182" t="inlineStr">
        <is>
          <t>excel_formula</t>
        </is>
      </c>
    </row>
    <row r="3183">
      <c r="A3183" t="inlineStr">
        <is>
          <t>附表9!L56</t>
        </is>
      </c>
      <c r="B3183" t="inlineStr">
        <is>
          <t>'附表9'!D30</t>
        </is>
      </c>
      <c r="C3183" t="inlineStr">
        <is>
          <t>excel_formula</t>
        </is>
      </c>
    </row>
    <row r="3184">
      <c r="A3184" t="inlineStr">
        <is>
          <t>附表9!M56</t>
        </is>
      </c>
      <c r="B3184" t="inlineStr">
        <is>
          <t>'附表9'!D31</t>
        </is>
      </c>
      <c r="C3184" t="inlineStr">
        <is>
          <t>excel_formula</t>
        </is>
      </c>
    </row>
    <row r="3185">
      <c r="A3185" t="inlineStr">
        <is>
          <t>附表9!N56</t>
        </is>
      </c>
      <c r="B3185" t="inlineStr">
        <is>
          <t>'附表9'!D32</t>
        </is>
      </c>
      <c r="C3185" t="inlineStr">
        <is>
          <t>excel_formula</t>
        </is>
      </c>
    </row>
    <row r="3186">
      <c r="A3186" t="inlineStr">
        <is>
          <t>附表9!O56</t>
        </is>
      </c>
      <c r="B3186" t="inlineStr">
        <is>
          <t>'附表9'!D33</t>
        </is>
      </c>
      <c r="C3186" t="inlineStr">
        <is>
          <t>excel_formula</t>
        </is>
      </c>
    </row>
    <row r="3187">
      <c r="A3187" t="inlineStr">
        <is>
          <t>附表9!P56</t>
        </is>
      </c>
      <c r="B3187" t="inlineStr">
        <is>
          <t>'附表9'!D34</t>
        </is>
      </c>
      <c r="C3187" t="inlineStr">
        <is>
          <t>excel_formula</t>
        </is>
      </c>
    </row>
    <row r="3188">
      <c r="A3188" t="inlineStr">
        <is>
          <t>附表9!Q56</t>
        </is>
      </c>
      <c r="B3188" t="inlineStr">
        <is>
          <t>'附表9'!D35</t>
        </is>
      </c>
      <c r="C3188" t="inlineStr">
        <is>
          <t>excel_formula</t>
        </is>
      </c>
    </row>
    <row r="3189">
      <c r="A3189" t="inlineStr">
        <is>
          <t>附表9!R56</t>
        </is>
      </c>
      <c r="B3189" t="inlineStr">
        <is>
          <t>'附表9'!D36</t>
        </is>
      </c>
      <c r="C3189" t="inlineStr">
        <is>
          <t>excel_formula</t>
        </is>
      </c>
    </row>
    <row r="3190">
      <c r="A3190" t="inlineStr">
        <is>
          <t>附表9!S56</t>
        </is>
      </c>
      <c r="B3190" t="inlineStr">
        <is>
          <t>'附表9'!D37</t>
        </is>
      </c>
      <c r="C3190" t="inlineStr">
        <is>
          <t>excel_formula</t>
        </is>
      </c>
    </row>
    <row r="3191">
      <c r="A3191" t="inlineStr">
        <is>
          <t>附表9!T56</t>
        </is>
      </c>
      <c r="B3191" t="inlineStr">
        <is>
          <t>'附表9'!D38</t>
        </is>
      </c>
      <c r="C3191" t="inlineStr">
        <is>
          <t>excel_formula</t>
        </is>
      </c>
    </row>
    <row r="3192">
      <c r="A3192" t="inlineStr">
        <is>
          <t>附表9!U56</t>
        </is>
      </c>
      <c r="B3192" t="inlineStr">
        <is>
          <t>'附表9'!D39</t>
        </is>
      </c>
      <c r="C3192" t="inlineStr">
        <is>
          <t>excel_formula</t>
        </is>
      </c>
    </row>
    <row r="3193">
      <c r="A3193" t="inlineStr">
        <is>
          <t>附表9!V56</t>
        </is>
      </c>
      <c r="B3193" t="inlineStr">
        <is>
          <t>'附表9'!D40</t>
        </is>
      </c>
      <c r="C3193" t="inlineStr">
        <is>
          <t>excel_formula</t>
        </is>
      </c>
    </row>
    <row r="3194">
      <c r="A3194" t="inlineStr">
        <is>
          <t>附表9!W56</t>
        </is>
      </c>
      <c r="B3194" t="inlineStr">
        <is>
          <t>'附表9'!D41</t>
        </is>
      </c>
      <c r="C3194" t="inlineStr">
        <is>
          <t>excel_formula</t>
        </is>
      </c>
    </row>
    <row r="3195">
      <c r="A3195" t="inlineStr">
        <is>
          <t>附表9!X56</t>
        </is>
      </c>
      <c r="B3195" t="inlineStr">
        <is>
          <t>'附表9'!D42</t>
        </is>
      </c>
      <c r="C3195" t="inlineStr">
        <is>
          <t>excel_formula</t>
        </is>
      </c>
    </row>
    <row r="3196">
      <c r="A3196" t="inlineStr">
        <is>
          <t>附表9!Y56</t>
        </is>
      </c>
      <c r="B3196" t="inlineStr">
        <is>
          <t>'附表9'!D43</t>
        </is>
      </c>
      <c r="C3196" t="inlineStr">
        <is>
          <t>excel_formula</t>
        </is>
      </c>
    </row>
    <row r="3197">
      <c r="A3197" t="inlineStr">
        <is>
          <t>附表9!Z56</t>
        </is>
      </c>
      <c r="B3197" t="inlineStr">
        <is>
          <t>'附表9'!D44</t>
        </is>
      </c>
      <c r="C3197" t="inlineStr">
        <is>
          <t>excel_formula</t>
        </is>
      </c>
    </row>
    <row r="3198">
      <c r="A3198" t="inlineStr">
        <is>
          <t>附表9!B57</t>
        </is>
      </c>
      <c r="B3198" t="inlineStr">
        <is>
          <t>'附表9'!E20</t>
        </is>
      </c>
      <c r="C3198" t="inlineStr">
        <is>
          <t>excel_formula</t>
        </is>
      </c>
    </row>
    <row r="3199">
      <c r="A3199" t="inlineStr">
        <is>
          <t>附表9!C57</t>
        </is>
      </c>
      <c r="B3199" t="inlineStr">
        <is>
          <t>'附表9'!E21</t>
        </is>
      </c>
      <c r="C3199" t="inlineStr">
        <is>
          <t>excel_formula</t>
        </is>
      </c>
    </row>
    <row r="3200">
      <c r="A3200" t="inlineStr">
        <is>
          <t>附表9!D57</t>
        </is>
      </c>
      <c r="B3200" t="inlineStr">
        <is>
          <t>'附表9'!E22</t>
        </is>
      </c>
      <c r="C3200" t="inlineStr">
        <is>
          <t>excel_formula</t>
        </is>
      </c>
    </row>
    <row r="3201">
      <c r="A3201" t="inlineStr">
        <is>
          <t>附表9!E57</t>
        </is>
      </c>
      <c r="B3201" t="inlineStr">
        <is>
          <t>'附表9'!E23</t>
        </is>
      </c>
      <c r="C3201" t="inlineStr">
        <is>
          <t>excel_formula</t>
        </is>
      </c>
    </row>
    <row r="3202">
      <c r="A3202" t="inlineStr">
        <is>
          <t>附表9!F57</t>
        </is>
      </c>
      <c r="B3202" t="inlineStr">
        <is>
          <t>'附表9'!E24</t>
        </is>
      </c>
      <c r="C3202" t="inlineStr">
        <is>
          <t>excel_formula</t>
        </is>
      </c>
    </row>
    <row r="3203">
      <c r="A3203" t="inlineStr">
        <is>
          <t>附表9!G57</t>
        </is>
      </c>
      <c r="B3203" t="inlineStr">
        <is>
          <t>'附表9'!E25</t>
        </is>
      </c>
      <c r="C3203" t="inlineStr">
        <is>
          <t>excel_formula</t>
        </is>
      </c>
    </row>
    <row r="3204">
      <c r="A3204" t="inlineStr">
        <is>
          <t>附表9!H57</t>
        </is>
      </c>
      <c r="B3204" t="inlineStr">
        <is>
          <t>'附表9'!E26</t>
        </is>
      </c>
      <c r="C3204" t="inlineStr">
        <is>
          <t>excel_formula</t>
        </is>
      </c>
    </row>
    <row r="3205">
      <c r="A3205" t="inlineStr">
        <is>
          <t>附表9!I57</t>
        </is>
      </c>
      <c r="B3205" t="inlineStr">
        <is>
          <t>'附表9'!E27</t>
        </is>
      </c>
      <c r="C3205" t="inlineStr">
        <is>
          <t>excel_formula</t>
        </is>
      </c>
    </row>
    <row r="3206">
      <c r="A3206" t="inlineStr">
        <is>
          <t>附表9!J57</t>
        </is>
      </c>
      <c r="B3206" t="inlineStr">
        <is>
          <t>'附表9'!E28</t>
        </is>
      </c>
      <c r="C3206" t="inlineStr">
        <is>
          <t>excel_formula</t>
        </is>
      </c>
    </row>
    <row r="3207">
      <c r="A3207" t="inlineStr">
        <is>
          <t>附表9!K57</t>
        </is>
      </c>
      <c r="B3207" t="inlineStr">
        <is>
          <t>'附表9'!E29</t>
        </is>
      </c>
      <c r="C3207" t="inlineStr">
        <is>
          <t>excel_formula</t>
        </is>
      </c>
    </row>
    <row r="3208">
      <c r="A3208" t="inlineStr">
        <is>
          <t>附表9!L57</t>
        </is>
      </c>
      <c r="B3208" t="inlineStr">
        <is>
          <t>'附表9'!E30</t>
        </is>
      </c>
      <c r="C3208" t="inlineStr">
        <is>
          <t>excel_formula</t>
        </is>
      </c>
    </row>
    <row r="3209">
      <c r="A3209" t="inlineStr">
        <is>
          <t>附表9!M57</t>
        </is>
      </c>
      <c r="B3209" t="inlineStr">
        <is>
          <t>'附表9'!E31</t>
        </is>
      </c>
      <c r="C3209" t="inlineStr">
        <is>
          <t>excel_formula</t>
        </is>
      </c>
    </row>
    <row r="3210">
      <c r="A3210" t="inlineStr">
        <is>
          <t>附表9!N57</t>
        </is>
      </c>
      <c r="B3210" t="inlineStr">
        <is>
          <t>'附表9'!E32</t>
        </is>
      </c>
      <c r="C3210" t="inlineStr">
        <is>
          <t>excel_formula</t>
        </is>
      </c>
    </row>
    <row r="3211">
      <c r="A3211" t="inlineStr">
        <is>
          <t>附表9!O57</t>
        </is>
      </c>
      <c r="B3211" t="inlineStr">
        <is>
          <t>'附表9'!E33</t>
        </is>
      </c>
      <c r="C3211" t="inlineStr">
        <is>
          <t>excel_formula</t>
        </is>
      </c>
    </row>
    <row r="3212">
      <c r="A3212" t="inlineStr">
        <is>
          <t>附表9!P57</t>
        </is>
      </c>
      <c r="B3212" t="inlineStr">
        <is>
          <t>'附表9'!E34</t>
        </is>
      </c>
      <c r="C3212" t="inlineStr">
        <is>
          <t>excel_formula</t>
        </is>
      </c>
    </row>
    <row r="3213">
      <c r="A3213" t="inlineStr">
        <is>
          <t>附表9!Q57</t>
        </is>
      </c>
      <c r="B3213" t="inlineStr">
        <is>
          <t>'附表9'!E35</t>
        </is>
      </c>
      <c r="C3213" t="inlineStr">
        <is>
          <t>excel_formula</t>
        </is>
      </c>
    </row>
    <row r="3214">
      <c r="A3214" t="inlineStr">
        <is>
          <t>附表9!R57</t>
        </is>
      </c>
      <c r="B3214" t="inlineStr">
        <is>
          <t>'附表9'!E36</t>
        </is>
      </c>
      <c r="C3214" t="inlineStr">
        <is>
          <t>excel_formula</t>
        </is>
      </c>
    </row>
    <row r="3215">
      <c r="A3215" t="inlineStr">
        <is>
          <t>附表9!S57</t>
        </is>
      </c>
      <c r="B3215" t="inlineStr">
        <is>
          <t>'附表9'!E37</t>
        </is>
      </c>
      <c r="C3215" t="inlineStr">
        <is>
          <t>excel_formula</t>
        </is>
      </c>
    </row>
    <row r="3216">
      <c r="A3216" t="inlineStr">
        <is>
          <t>附表9!T57</t>
        </is>
      </c>
      <c r="B3216" t="inlineStr">
        <is>
          <t>'附表9'!E38</t>
        </is>
      </c>
      <c r="C3216" t="inlineStr">
        <is>
          <t>excel_formula</t>
        </is>
      </c>
    </row>
    <row r="3217">
      <c r="A3217" t="inlineStr">
        <is>
          <t>附表9!U57</t>
        </is>
      </c>
      <c r="B3217" t="inlineStr">
        <is>
          <t>'附表9'!E39</t>
        </is>
      </c>
      <c r="C3217" t="inlineStr">
        <is>
          <t>excel_formula</t>
        </is>
      </c>
    </row>
    <row r="3218">
      <c r="A3218" t="inlineStr">
        <is>
          <t>附表9!V57</t>
        </is>
      </c>
      <c r="B3218" t="inlineStr">
        <is>
          <t>'附表9'!E40</t>
        </is>
      </c>
      <c r="C3218" t="inlineStr">
        <is>
          <t>excel_formula</t>
        </is>
      </c>
    </row>
    <row r="3219">
      <c r="A3219" t="inlineStr">
        <is>
          <t>附表9!W57</t>
        </is>
      </c>
      <c r="B3219" t="inlineStr">
        <is>
          <t>'附表9'!E41</t>
        </is>
      </c>
      <c r="C3219" t="inlineStr">
        <is>
          <t>excel_formula</t>
        </is>
      </c>
    </row>
    <row r="3220">
      <c r="A3220" t="inlineStr">
        <is>
          <t>附表9!X57</t>
        </is>
      </c>
      <c r="B3220" t="inlineStr">
        <is>
          <t>'附表9'!E42</t>
        </is>
      </c>
      <c r="C3220" t="inlineStr">
        <is>
          <t>excel_formula</t>
        </is>
      </c>
    </row>
    <row r="3221">
      <c r="A3221" t="inlineStr">
        <is>
          <t>附表9!Y57</t>
        </is>
      </c>
      <c r="B3221" t="inlineStr">
        <is>
          <t>'附表9'!E43</t>
        </is>
      </c>
      <c r="C3221" t="inlineStr">
        <is>
          <t>excel_formula</t>
        </is>
      </c>
    </row>
    <row r="3222">
      <c r="A3222" t="inlineStr">
        <is>
          <t>附表9!Z57</t>
        </is>
      </c>
      <c r="B3222" t="inlineStr">
        <is>
          <t>'附表9'!E44</t>
        </is>
      </c>
      <c r="C3222" t="inlineStr">
        <is>
          <t>excel_formula</t>
        </is>
      </c>
    </row>
    <row r="3223">
      <c r="A3223" t="inlineStr">
        <is>
          <t>附表9!B58</t>
        </is>
      </c>
      <c r="B3223" t="inlineStr">
        <is>
          <t>'附表9'!F20</t>
        </is>
      </c>
      <c r="C3223" t="inlineStr">
        <is>
          <t>excel_formula</t>
        </is>
      </c>
    </row>
    <row r="3224">
      <c r="A3224" t="inlineStr">
        <is>
          <t>附表9!C58</t>
        </is>
      </c>
      <c r="B3224" t="inlineStr">
        <is>
          <t>'附表9'!F21</t>
        </is>
      </c>
      <c r="C3224" t="inlineStr">
        <is>
          <t>excel_formula</t>
        </is>
      </c>
    </row>
    <row r="3225">
      <c r="A3225" t="inlineStr">
        <is>
          <t>附表9!D58</t>
        </is>
      </c>
      <c r="B3225" t="inlineStr">
        <is>
          <t>'附表9'!F22</t>
        </is>
      </c>
      <c r="C3225" t="inlineStr">
        <is>
          <t>excel_formula</t>
        </is>
      </c>
    </row>
    <row r="3226">
      <c r="A3226" t="inlineStr">
        <is>
          <t>附表9!E58</t>
        </is>
      </c>
      <c r="B3226" t="inlineStr">
        <is>
          <t>'附表9'!F23</t>
        </is>
      </c>
      <c r="C3226" t="inlineStr">
        <is>
          <t>excel_formula</t>
        </is>
      </c>
    </row>
    <row r="3227">
      <c r="A3227" t="inlineStr">
        <is>
          <t>附表9!F58</t>
        </is>
      </c>
      <c r="B3227" t="inlineStr">
        <is>
          <t>'附表9'!F24</t>
        </is>
      </c>
      <c r="C3227" t="inlineStr">
        <is>
          <t>excel_formula</t>
        </is>
      </c>
    </row>
    <row r="3228">
      <c r="A3228" t="inlineStr">
        <is>
          <t>附表9!G58</t>
        </is>
      </c>
      <c r="B3228" t="inlineStr">
        <is>
          <t>'附表9'!F25</t>
        </is>
      </c>
      <c r="C3228" t="inlineStr">
        <is>
          <t>excel_formula</t>
        </is>
      </c>
    </row>
    <row r="3229">
      <c r="A3229" t="inlineStr">
        <is>
          <t>附表9!H58</t>
        </is>
      </c>
      <c r="B3229" t="inlineStr">
        <is>
          <t>'附表9'!F26</t>
        </is>
      </c>
      <c r="C3229" t="inlineStr">
        <is>
          <t>excel_formula</t>
        </is>
      </c>
    </row>
    <row r="3230">
      <c r="A3230" t="inlineStr">
        <is>
          <t>附表9!I58</t>
        </is>
      </c>
      <c r="B3230" t="inlineStr">
        <is>
          <t>'附表9'!F27</t>
        </is>
      </c>
      <c r="C3230" t="inlineStr">
        <is>
          <t>excel_formula</t>
        </is>
      </c>
    </row>
    <row r="3231">
      <c r="A3231" t="inlineStr">
        <is>
          <t>附表9!J58</t>
        </is>
      </c>
      <c r="B3231" t="inlineStr">
        <is>
          <t>'附表9'!F28</t>
        </is>
      </c>
      <c r="C3231" t="inlineStr">
        <is>
          <t>excel_formula</t>
        </is>
      </c>
    </row>
    <row r="3232">
      <c r="A3232" t="inlineStr">
        <is>
          <t>附表9!K58</t>
        </is>
      </c>
      <c r="B3232" t="inlineStr">
        <is>
          <t>'附表9'!F29</t>
        </is>
      </c>
      <c r="C3232" t="inlineStr">
        <is>
          <t>excel_formula</t>
        </is>
      </c>
    </row>
    <row r="3233">
      <c r="A3233" t="inlineStr">
        <is>
          <t>附表9!L58</t>
        </is>
      </c>
      <c r="B3233" t="inlineStr">
        <is>
          <t>'附表9'!F30</t>
        </is>
      </c>
      <c r="C3233" t="inlineStr">
        <is>
          <t>excel_formula</t>
        </is>
      </c>
    </row>
    <row r="3234">
      <c r="A3234" t="inlineStr">
        <is>
          <t>附表9!M58</t>
        </is>
      </c>
      <c r="B3234" t="inlineStr">
        <is>
          <t>'附表9'!F31</t>
        </is>
      </c>
      <c r="C3234" t="inlineStr">
        <is>
          <t>excel_formula</t>
        </is>
      </c>
    </row>
    <row r="3235">
      <c r="A3235" t="inlineStr">
        <is>
          <t>附表9!N58</t>
        </is>
      </c>
      <c r="B3235" t="inlineStr">
        <is>
          <t>'附表9'!F32</t>
        </is>
      </c>
      <c r="C3235" t="inlineStr">
        <is>
          <t>excel_formula</t>
        </is>
      </c>
    </row>
    <row r="3236">
      <c r="A3236" t="inlineStr">
        <is>
          <t>附表9!O58</t>
        </is>
      </c>
      <c r="B3236" t="inlineStr">
        <is>
          <t>'附表9'!F33</t>
        </is>
      </c>
      <c r="C3236" t="inlineStr">
        <is>
          <t>excel_formula</t>
        </is>
      </c>
    </row>
    <row r="3237">
      <c r="A3237" t="inlineStr">
        <is>
          <t>附表9!P58</t>
        </is>
      </c>
      <c r="B3237" t="inlineStr">
        <is>
          <t>'附表9'!F34</t>
        </is>
      </c>
      <c r="C3237" t="inlineStr">
        <is>
          <t>excel_formula</t>
        </is>
      </c>
    </row>
    <row r="3238">
      <c r="A3238" t="inlineStr">
        <is>
          <t>附表9!Q58</t>
        </is>
      </c>
      <c r="B3238" t="inlineStr">
        <is>
          <t>'附表9'!F35</t>
        </is>
      </c>
      <c r="C3238" t="inlineStr">
        <is>
          <t>excel_formula</t>
        </is>
      </c>
    </row>
    <row r="3239">
      <c r="A3239" t="inlineStr">
        <is>
          <t>附表9!R58</t>
        </is>
      </c>
      <c r="B3239" t="inlineStr">
        <is>
          <t>'附表9'!F36</t>
        </is>
      </c>
      <c r="C3239" t="inlineStr">
        <is>
          <t>excel_formula</t>
        </is>
      </c>
    </row>
    <row r="3240">
      <c r="A3240" t="inlineStr">
        <is>
          <t>附表9!S58</t>
        </is>
      </c>
      <c r="B3240" t="inlineStr">
        <is>
          <t>'附表9'!F37</t>
        </is>
      </c>
      <c r="C3240" t="inlineStr">
        <is>
          <t>excel_formula</t>
        </is>
      </c>
    </row>
    <row r="3241">
      <c r="A3241" t="inlineStr">
        <is>
          <t>附表9!T58</t>
        </is>
      </c>
      <c r="B3241" t="inlineStr">
        <is>
          <t>'附表9'!F38</t>
        </is>
      </c>
      <c r="C3241" t="inlineStr">
        <is>
          <t>excel_formula</t>
        </is>
      </c>
    </row>
    <row r="3242">
      <c r="A3242" t="inlineStr">
        <is>
          <t>附表9!U58</t>
        </is>
      </c>
      <c r="B3242" t="inlineStr">
        <is>
          <t>'附表9'!F39</t>
        </is>
      </c>
      <c r="C3242" t="inlineStr">
        <is>
          <t>excel_formula</t>
        </is>
      </c>
    </row>
    <row r="3243">
      <c r="A3243" t="inlineStr">
        <is>
          <t>附表9!V58</t>
        </is>
      </c>
      <c r="B3243" t="inlineStr">
        <is>
          <t>'附表9'!F40</t>
        </is>
      </c>
      <c r="C3243" t="inlineStr">
        <is>
          <t>excel_formula</t>
        </is>
      </c>
    </row>
    <row r="3244">
      <c r="A3244" t="inlineStr">
        <is>
          <t>附表9!W58</t>
        </is>
      </c>
      <c r="B3244" t="inlineStr">
        <is>
          <t>'附表9'!F41</t>
        </is>
      </c>
      <c r="C3244" t="inlineStr">
        <is>
          <t>excel_formula</t>
        </is>
      </c>
    </row>
    <row r="3245">
      <c r="A3245" t="inlineStr">
        <is>
          <t>附表9!X58</t>
        </is>
      </c>
      <c r="B3245" t="inlineStr">
        <is>
          <t>'附表9'!F42</t>
        </is>
      </c>
      <c r="C3245" t="inlineStr">
        <is>
          <t>excel_formula</t>
        </is>
      </c>
    </row>
    <row r="3246">
      <c r="A3246" t="inlineStr">
        <is>
          <t>附表9!Y58</t>
        </is>
      </c>
      <c r="B3246" t="inlineStr">
        <is>
          <t>'附表9'!F43</t>
        </is>
      </c>
      <c r="C3246" t="inlineStr">
        <is>
          <t>excel_formula</t>
        </is>
      </c>
    </row>
    <row r="3247">
      <c r="A3247" t="inlineStr">
        <is>
          <t>附表9!Z58</t>
        </is>
      </c>
      <c r="B3247" t="inlineStr">
        <is>
          <t>'附表9'!F44</t>
        </is>
      </c>
      <c r="C3247" t="inlineStr">
        <is>
          <t>excel_formula</t>
        </is>
      </c>
    </row>
    <row r="3248">
      <c r="A3248" t="inlineStr">
        <is>
          <t>附表9!B60</t>
        </is>
      </c>
      <c r="B3248" t="inlineStr">
        <is>
          <t>'附表9'!J20</t>
        </is>
      </c>
      <c r="C3248" t="inlineStr">
        <is>
          <t>excel_formula</t>
        </is>
      </c>
    </row>
    <row r="3249">
      <c r="A3249" t="inlineStr">
        <is>
          <t>附表9!C60</t>
        </is>
      </c>
      <c r="B3249" t="inlineStr">
        <is>
          <t>'附表9'!J21</t>
        </is>
      </c>
      <c r="C3249" t="inlineStr">
        <is>
          <t>excel_formula</t>
        </is>
      </c>
    </row>
    <row r="3250">
      <c r="A3250" t="inlineStr">
        <is>
          <t>附表9!D60</t>
        </is>
      </c>
      <c r="B3250" t="inlineStr">
        <is>
          <t>'附表9'!J22</t>
        </is>
      </c>
      <c r="C3250" t="inlineStr">
        <is>
          <t>excel_formula</t>
        </is>
      </c>
    </row>
    <row r="3251">
      <c r="A3251" t="inlineStr">
        <is>
          <t>附表9!E60</t>
        </is>
      </c>
      <c r="B3251" t="inlineStr">
        <is>
          <t>'附表9'!J23</t>
        </is>
      </c>
      <c r="C3251" t="inlineStr">
        <is>
          <t>excel_formula</t>
        </is>
      </c>
    </row>
    <row r="3252">
      <c r="A3252" t="inlineStr">
        <is>
          <t>附表9!F60</t>
        </is>
      </c>
      <c r="B3252" t="inlineStr">
        <is>
          <t>'附表9'!J24</t>
        </is>
      </c>
      <c r="C3252" t="inlineStr">
        <is>
          <t>excel_formula</t>
        </is>
      </c>
    </row>
    <row r="3253">
      <c r="A3253" t="inlineStr">
        <is>
          <t>附表9!G60</t>
        </is>
      </c>
      <c r="B3253" t="inlineStr">
        <is>
          <t>'附表9'!J25</t>
        </is>
      </c>
      <c r="C3253" t="inlineStr">
        <is>
          <t>excel_formula</t>
        </is>
      </c>
    </row>
    <row r="3254">
      <c r="A3254" t="inlineStr">
        <is>
          <t>附表9!H60</t>
        </is>
      </c>
      <c r="B3254" t="inlineStr">
        <is>
          <t>'附表9'!J26</t>
        </is>
      </c>
      <c r="C3254" t="inlineStr">
        <is>
          <t>excel_formula</t>
        </is>
      </c>
    </row>
    <row r="3255">
      <c r="A3255" t="inlineStr">
        <is>
          <t>附表9!I60</t>
        </is>
      </c>
      <c r="B3255" t="inlineStr">
        <is>
          <t>'附表9'!J27</t>
        </is>
      </c>
      <c r="C3255" t="inlineStr">
        <is>
          <t>excel_formula</t>
        </is>
      </c>
    </row>
    <row r="3256">
      <c r="A3256" t="inlineStr">
        <is>
          <t>附表9!J60</t>
        </is>
      </c>
      <c r="B3256" t="inlineStr">
        <is>
          <t>'附表9'!J28</t>
        </is>
      </c>
      <c r="C3256" t="inlineStr">
        <is>
          <t>excel_formula</t>
        </is>
      </c>
    </row>
    <row r="3257">
      <c r="A3257" t="inlineStr">
        <is>
          <t>附表9!K60</t>
        </is>
      </c>
      <c r="B3257" t="inlineStr">
        <is>
          <t>'附表9'!J29</t>
        </is>
      </c>
      <c r="C3257" t="inlineStr">
        <is>
          <t>excel_formula</t>
        </is>
      </c>
    </row>
    <row r="3258">
      <c r="A3258" t="inlineStr">
        <is>
          <t>附表9!L60</t>
        </is>
      </c>
      <c r="B3258" t="inlineStr">
        <is>
          <t>'附表9'!J30</t>
        </is>
      </c>
      <c r="C3258" t="inlineStr">
        <is>
          <t>excel_formula</t>
        </is>
      </c>
    </row>
    <row r="3259">
      <c r="A3259" t="inlineStr">
        <is>
          <t>附表9!M60</t>
        </is>
      </c>
      <c r="B3259" t="inlineStr">
        <is>
          <t>'附表9'!J31</t>
        </is>
      </c>
      <c r="C3259" t="inlineStr">
        <is>
          <t>excel_formula</t>
        </is>
      </c>
    </row>
    <row r="3260">
      <c r="A3260" t="inlineStr">
        <is>
          <t>附表9!N60</t>
        </is>
      </c>
      <c r="B3260" t="inlineStr">
        <is>
          <t>'附表9'!J32</t>
        </is>
      </c>
      <c r="C3260" t="inlineStr">
        <is>
          <t>excel_formula</t>
        </is>
      </c>
    </row>
    <row r="3261">
      <c r="A3261" t="inlineStr">
        <is>
          <t>附表9!O60</t>
        </is>
      </c>
      <c r="B3261" t="inlineStr">
        <is>
          <t>'附表9'!J33</t>
        </is>
      </c>
      <c r="C3261" t="inlineStr">
        <is>
          <t>excel_formula</t>
        </is>
      </c>
    </row>
    <row r="3262">
      <c r="A3262" t="inlineStr">
        <is>
          <t>附表9!P60</t>
        </is>
      </c>
      <c r="B3262" t="inlineStr">
        <is>
          <t>'附表9'!J34</t>
        </is>
      </c>
      <c r="C3262" t="inlineStr">
        <is>
          <t>excel_formula</t>
        </is>
      </c>
    </row>
    <row r="3263">
      <c r="A3263" t="inlineStr">
        <is>
          <t>附表9!Q60</t>
        </is>
      </c>
      <c r="B3263" t="inlineStr">
        <is>
          <t>'附表9'!J35</t>
        </is>
      </c>
      <c r="C3263" t="inlineStr">
        <is>
          <t>excel_formula</t>
        </is>
      </c>
    </row>
    <row r="3264">
      <c r="A3264" t="inlineStr">
        <is>
          <t>附表9!R60</t>
        </is>
      </c>
      <c r="B3264" t="inlineStr">
        <is>
          <t>'附表9'!J36</t>
        </is>
      </c>
      <c r="C3264" t="inlineStr">
        <is>
          <t>excel_formula</t>
        </is>
      </c>
    </row>
    <row r="3265">
      <c r="A3265" t="inlineStr">
        <is>
          <t>附表9!S60</t>
        </is>
      </c>
      <c r="B3265" t="inlineStr">
        <is>
          <t>'附表9'!J37</t>
        </is>
      </c>
      <c r="C3265" t="inlineStr">
        <is>
          <t>excel_formula</t>
        </is>
      </c>
    </row>
    <row r="3266">
      <c r="A3266" t="inlineStr">
        <is>
          <t>附表9!T60</t>
        </is>
      </c>
      <c r="B3266" t="inlineStr">
        <is>
          <t>'附表9'!J38</t>
        </is>
      </c>
      <c r="C3266" t="inlineStr">
        <is>
          <t>excel_formula</t>
        </is>
      </c>
    </row>
    <row r="3267">
      <c r="A3267" t="inlineStr">
        <is>
          <t>附表9!U60</t>
        </is>
      </c>
      <c r="B3267" t="inlineStr">
        <is>
          <t>'附表9'!J39</t>
        </is>
      </c>
      <c r="C3267" t="inlineStr">
        <is>
          <t>excel_formula</t>
        </is>
      </c>
    </row>
    <row r="3268">
      <c r="A3268" t="inlineStr">
        <is>
          <t>附表9!V60</t>
        </is>
      </c>
      <c r="B3268" t="inlineStr">
        <is>
          <t>'附表9'!J40</t>
        </is>
      </c>
      <c r="C3268" t="inlineStr">
        <is>
          <t>excel_formula</t>
        </is>
      </c>
    </row>
    <row r="3269">
      <c r="A3269" t="inlineStr">
        <is>
          <t>附表9!W60</t>
        </is>
      </c>
      <c r="B3269" t="inlineStr">
        <is>
          <t>'附表9'!J41</t>
        </is>
      </c>
      <c r="C3269" t="inlineStr">
        <is>
          <t>excel_formula</t>
        </is>
      </c>
    </row>
    <row r="3270">
      <c r="A3270" t="inlineStr">
        <is>
          <t>附表9!X60</t>
        </is>
      </c>
      <c r="B3270" t="inlineStr">
        <is>
          <t>'附表9'!J42</t>
        </is>
      </c>
      <c r="C3270" t="inlineStr">
        <is>
          <t>excel_formula</t>
        </is>
      </c>
    </row>
    <row r="3271">
      <c r="A3271" t="inlineStr">
        <is>
          <t>附表9!Y60</t>
        </is>
      </c>
      <c r="B3271" t="inlineStr">
        <is>
          <t>'附表9'!J43</t>
        </is>
      </c>
      <c r="C3271" t="inlineStr">
        <is>
          <t>excel_formula</t>
        </is>
      </c>
    </row>
    <row r="3272">
      <c r="A3272" t="inlineStr">
        <is>
          <t>附表9!Z60</t>
        </is>
      </c>
      <c r="B3272" t="inlineStr">
        <is>
          <t>'附表9'!J44</t>
        </is>
      </c>
      <c r="C3272" t="inlineStr">
        <is>
          <t>excel_formula</t>
        </is>
      </c>
    </row>
    <row r="3273">
      <c r="A3273" t="inlineStr">
        <is>
          <t>附表9!B61</t>
        </is>
      </c>
      <c r="B3273" t="inlineStr">
        <is>
          <t>'附表9'!K20</t>
        </is>
      </c>
      <c r="C3273" t="inlineStr">
        <is>
          <t>excel_formula</t>
        </is>
      </c>
    </row>
    <row r="3274">
      <c r="A3274" t="inlineStr">
        <is>
          <t>附表9!C61</t>
        </is>
      </c>
      <c r="B3274" t="inlineStr">
        <is>
          <t>'附表9'!K21</t>
        </is>
      </c>
      <c r="C3274" t="inlineStr">
        <is>
          <t>excel_formula</t>
        </is>
      </c>
    </row>
    <row r="3275">
      <c r="A3275" t="inlineStr">
        <is>
          <t>附表9!D61</t>
        </is>
      </c>
      <c r="B3275" t="inlineStr">
        <is>
          <t>'附表9'!K22</t>
        </is>
      </c>
      <c r="C3275" t="inlineStr">
        <is>
          <t>excel_formula</t>
        </is>
      </c>
    </row>
    <row r="3276">
      <c r="A3276" t="inlineStr">
        <is>
          <t>附表9!E61</t>
        </is>
      </c>
      <c r="B3276" t="inlineStr">
        <is>
          <t>'附表9'!K23</t>
        </is>
      </c>
      <c r="C3276" t="inlineStr">
        <is>
          <t>excel_formula</t>
        </is>
      </c>
    </row>
    <row r="3277">
      <c r="A3277" t="inlineStr">
        <is>
          <t>附表9!F61</t>
        </is>
      </c>
      <c r="B3277" t="inlineStr">
        <is>
          <t>'附表9'!K24</t>
        </is>
      </c>
      <c r="C3277" t="inlineStr">
        <is>
          <t>excel_formula</t>
        </is>
      </c>
    </row>
    <row r="3278">
      <c r="A3278" t="inlineStr">
        <is>
          <t>附表9!G61</t>
        </is>
      </c>
      <c r="B3278" t="inlineStr">
        <is>
          <t>'附表9'!K25</t>
        </is>
      </c>
      <c r="C3278" t="inlineStr">
        <is>
          <t>excel_formula</t>
        </is>
      </c>
    </row>
    <row r="3279">
      <c r="A3279" t="inlineStr">
        <is>
          <t>附表9!H61</t>
        </is>
      </c>
      <c r="B3279" t="inlineStr">
        <is>
          <t>'附表9'!K26</t>
        </is>
      </c>
      <c r="C3279" t="inlineStr">
        <is>
          <t>excel_formula</t>
        </is>
      </c>
    </row>
    <row r="3280">
      <c r="A3280" t="inlineStr">
        <is>
          <t>附表9!I61</t>
        </is>
      </c>
      <c r="B3280" t="inlineStr">
        <is>
          <t>'附表9'!K27</t>
        </is>
      </c>
      <c r="C3280" t="inlineStr">
        <is>
          <t>excel_formula</t>
        </is>
      </c>
    </row>
    <row r="3281">
      <c r="A3281" t="inlineStr">
        <is>
          <t>附表9!J61</t>
        </is>
      </c>
      <c r="B3281" t="inlineStr">
        <is>
          <t>'附表9'!K28</t>
        </is>
      </c>
      <c r="C3281" t="inlineStr">
        <is>
          <t>excel_formula</t>
        </is>
      </c>
    </row>
    <row r="3282">
      <c r="A3282" t="inlineStr">
        <is>
          <t>附表9!K61</t>
        </is>
      </c>
      <c r="B3282" t="inlineStr">
        <is>
          <t>'附表9'!K29</t>
        </is>
      </c>
      <c r="C3282" t="inlineStr">
        <is>
          <t>excel_formula</t>
        </is>
      </c>
    </row>
    <row r="3283">
      <c r="A3283" t="inlineStr">
        <is>
          <t>附表9!L61</t>
        </is>
      </c>
      <c r="B3283" t="inlineStr">
        <is>
          <t>'附表9'!K30</t>
        </is>
      </c>
      <c r="C3283" t="inlineStr">
        <is>
          <t>excel_formula</t>
        </is>
      </c>
    </row>
    <row r="3284">
      <c r="A3284" t="inlineStr">
        <is>
          <t>附表9!M61</t>
        </is>
      </c>
      <c r="B3284" t="inlineStr">
        <is>
          <t>'附表9'!K31</t>
        </is>
      </c>
      <c r="C3284" t="inlineStr">
        <is>
          <t>excel_formula</t>
        </is>
      </c>
    </row>
    <row r="3285">
      <c r="A3285" t="inlineStr">
        <is>
          <t>附表9!N61</t>
        </is>
      </c>
      <c r="B3285" t="inlineStr">
        <is>
          <t>'附表9'!K32</t>
        </is>
      </c>
      <c r="C3285" t="inlineStr">
        <is>
          <t>excel_formula</t>
        </is>
      </c>
    </row>
    <row r="3286">
      <c r="A3286" t="inlineStr">
        <is>
          <t>附表9!O61</t>
        </is>
      </c>
      <c r="B3286" t="inlineStr">
        <is>
          <t>'附表9'!K33</t>
        </is>
      </c>
      <c r="C3286" t="inlineStr">
        <is>
          <t>excel_formula</t>
        </is>
      </c>
    </row>
    <row r="3287">
      <c r="A3287" t="inlineStr">
        <is>
          <t>附表9!P61</t>
        </is>
      </c>
      <c r="B3287" t="inlineStr">
        <is>
          <t>'附表9'!K34</t>
        </is>
      </c>
      <c r="C3287" t="inlineStr">
        <is>
          <t>excel_formula</t>
        </is>
      </c>
    </row>
    <row r="3288">
      <c r="A3288" t="inlineStr">
        <is>
          <t>附表9!Q61</t>
        </is>
      </c>
      <c r="B3288" t="inlineStr">
        <is>
          <t>'附表9'!K35</t>
        </is>
      </c>
      <c r="C3288" t="inlineStr">
        <is>
          <t>excel_formula</t>
        </is>
      </c>
    </row>
    <row r="3289">
      <c r="A3289" t="inlineStr">
        <is>
          <t>附表9!R61</t>
        </is>
      </c>
      <c r="B3289" t="inlineStr">
        <is>
          <t>'附表9'!K36</t>
        </is>
      </c>
      <c r="C3289" t="inlineStr">
        <is>
          <t>excel_formula</t>
        </is>
      </c>
    </row>
    <row r="3290">
      <c r="A3290" t="inlineStr">
        <is>
          <t>附表9!S61</t>
        </is>
      </c>
      <c r="B3290" t="inlineStr">
        <is>
          <t>'附表9'!K37</t>
        </is>
      </c>
      <c r="C3290" t="inlineStr">
        <is>
          <t>excel_formula</t>
        </is>
      </c>
    </row>
    <row r="3291">
      <c r="A3291" t="inlineStr">
        <is>
          <t>附表9!T61</t>
        </is>
      </c>
      <c r="B3291" t="inlineStr">
        <is>
          <t>'附表9'!K38</t>
        </is>
      </c>
      <c r="C3291" t="inlineStr">
        <is>
          <t>excel_formula</t>
        </is>
      </c>
    </row>
    <row r="3292">
      <c r="A3292" t="inlineStr">
        <is>
          <t>附表9!U61</t>
        </is>
      </c>
      <c r="B3292" t="inlineStr">
        <is>
          <t>'附表9'!K39</t>
        </is>
      </c>
      <c r="C3292" t="inlineStr">
        <is>
          <t>excel_formula</t>
        </is>
      </c>
    </row>
    <row r="3293">
      <c r="A3293" t="inlineStr">
        <is>
          <t>附表9!V61</t>
        </is>
      </c>
      <c r="B3293" t="inlineStr">
        <is>
          <t>'附表9'!K40</t>
        </is>
      </c>
      <c r="C3293" t="inlineStr">
        <is>
          <t>excel_formula</t>
        </is>
      </c>
    </row>
    <row r="3294">
      <c r="A3294" t="inlineStr">
        <is>
          <t>附表9!W61</t>
        </is>
      </c>
      <c r="B3294" t="inlineStr">
        <is>
          <t>'附表9'!K41</t>
        </is>
      </c>
      <c r="C3294" t="inlineStr">
        <is>
          <t>excel_formula</t>
        </is>
      </c>
    </row>
    <row r="3295">
      <c r="A3295" t="inlineStr">
        <is>
          <t>附表9!X61</t>
        </is>
      </c>
      <c r="B3295" t="inlineStr">
        <is>
          <t>'附表9'!K42</t>
        </is>
      </c>
      <c r="C3295" t="inlineStr">
        <is>
          <t>excel_formula</t>
        </is>
      </c>
    </row>
    <row r="3296">
      <c r="A3296" t="inlineStr">
        <is>
          <t>附表9!Y61</t>
        </is>
      </c>
      <c r="B3296" t="inlineStr">
        <is>
          <t>'附表9'!K43</t>
        </is>
      </c>
      <c r="C3296" t="inlineStr">
        <is>
          <t>excel_formula</t>
        </is>
      </c>
    </row>
    <row r="3297">
      <c r="A3297" t="inlineStr">
        <is>
          <t>附表9!Z61</t>
        </is>
      </c>
      <c r="B3297" t="inlineStr">
        <is>
          <t>'附表9'!K44</t>
        </is>
      </c>
      <c r="C3297" t="inlineStr">
        <is>
          <t>excel_formula</t>
        </is>
      </c>
    </row>
    <row r="3298">
      <c r="A3298" t="inlineStr">
        <is>
          <t>附表10!B52</t>
        </is>
      </c>
      <c r="B3298" t="inlineStr">
        <is>
          <t>'附表10'!D20</t>
        </is>
      </c>
      <c r="C3298" t="inlineStr">
        <is>
          <t>excel_formula</t>
        </is>
      </c>
    </row>
    <row r="3299">
      <c r="A3299" t="inlineStr">
        <is>
          <t>附表10!C52</t>
        </is>
      </c>
      <c r="B3299" t="inlineStr">
        <is>
          <t>'附表10'!D21</t>
        </is>
      </c>
      <c r="C3299" t="inlineStr">
        <is>
          <t>excel_formula</t>
        </is>
      </c>
    </row>
    <row r="3300">
      <c r="A3300" t="inlineStr">
        <is>
          <t>附表10!D52</t>
        </is>
      </c>
      <c r="B3300" t="inlineStr">
        <is>
          <t>'附表10'!D22</t>
        </is>
      </c>
      <c r="C3300" t="inlineStr">
        <is>
          <t>excel_formula</t>
        </is>
      </c>
    </row>
    <row r="3301">
      <c r="A3301" t="inlineStr">
        <is>
          <t>附表10!E52</t>
        </is>
      </c>
      <c r="B3301" t="inlineStr">
        <is>
          <t>'附表10'!D23</t>
        </is>
      </c>
      <c r="C3301" t="inlineStr">
        <is>
          <t>excel_formula</t>
        </is>
      </c>
    </row>
    <row r="3302">
      <c r="A3302" t="inlineStr">
        <is>
          <t>附表10!F52</t>
        </is>
      </c>
      <c r="B3302" t="inlineStr">
        <is>
          <t>'附表10'!D24</t>
        </is>
      </c>
      <c r="C3302" t="inlineStr">
        <is>
          <t>excel_formula</t>
        </is>
      </c>
    </row>
    <row r="3303">
      <c r="A3303" t="inlineStr">
        <is>
          <t>附表10!G52</t>
        </is>
      </c>
      <c r="B3303" t="inlineStr">
        <is>
          <t>'附表10'!D25</t>
        </is>
      </c>
      <c r="C3303" t="inlineStr">
        <is>
          <t>excel_formula</t>
        </is>
      </c>
    </row>
    <row r="3304">
      <c r="A3304" t="inlineStr">
        <is>
          <t>附表10!H52</t>
        </is>
      </c>
      <c r="B3304" t="inlineStr">
        <is>
          <t>'附表10'!D26</t>
        </is>
      </c>
      <c r="C3304" t="inlineStr">
        <is>
          <t>excel_formula</t>
        </is>
      </c>
    </row>
    <row r="3305">
      <c r="A3305" t="inlineStr">
        <is>
          <t>附表10!I52</t>
        </is>
      </c>
      <c r="B3305" t="inlineStr">
        <is>
          <t>'附表10'!D27</t>
        </is>
      </c>
      <c r="C3305" t="inlineStr">
        <is>
          <t>excel_formula</t>
        </is>
      </c>
    </row>
    <row r="3306">
      <c r="A3306" t="inlineStr">
        <is>
          <t>附表10!J52</t>
        </is>
      </c>
      <c r="B3306" t="inlineStr">
        <is>
          <t>'附表10'!D28</t>
        </is>
      </c>
      <c r="C3306" t="inlineStr">
        <is>
          <t>excel_formula</t>
        </is>
      </c>
    </row>
    <row r="3307">
      <c r="A3307" t="inlineStr">
        <is>
          <t>附表10!K52</t>
        </is>
      </c>
      <c r="B3307" t="inlineStr">
        <is>
          <t>'附表10'!D29</t>
        </is>
      </c>
      <c r="C3307" t="inlineStr">
        <is>
          <t>excel_formula</t>
        </is>
      </c>
    </row>
    <row r="3308">
      <c r="A3308" t="inlineStr">
        <is>
          <t>附表10!L52</t>
        </is>
      </c>
      <c r="B3308" t="inlineStr">
        <is>
          <t>'附表10'!D30</t>
        </is>
      </c>
      <c r="C3308" t="inlineStr">
        <is>
          <t>excel_formula</t>
        </is>
      </c>
    </row>
    <row r="3309">
      <c r="A3309" t="inlineStr">
        <is>
          <t>附表10!M52</t>
        </is>
      </c>
      <c r="B3309" t="inlineStr">
        <is>
          <t>'附表10'!D31</t>
        </is>
      </c>
      <c r="C3309" t="inlineStr">
        <is>
          <t>excel_formula</t>
        </is>
      </c>
    </row>
    <row r="3310">
      <c r="A3310" t="inlineStr">
        <is>
          <t>附表10!N52</t>
        </is>
      </c>
      <c r="B3310" t="inlineStr">
        <is>
          <t>'附表10'!D32</t>
        </is>
      </c>
      <c r="C3310" t="inlineStr">
        <is>
          <t>excel_formula</t>
        </is>
      </c>
    </row>
    <row r="3311">
      <c r="A3311" t="inlineStr">
        <is>
          <t>附表10!O52</t>
        </is>
      </c>
      <c r="B3311" t="inlineStr">
        <is>
          <t>'附表10'!D33</t>
        </is>
      </c>
      <c r="C3311" t="inlineStr">
        <is>
          <t>excel_formula</t>
        </is>
      </c>
    </row>
    <row r="3312">
      <c r="A3312" t="inlineStr">
        <is>
          <t>附表10!P52</t>
        </is>
      </c>
      <c r="B3312" t="inlineStr">
        <is>
          <t>'附表10'!D34</t>
        </is>
      </c>
      <c r="C3312" t="inlineStr">
        <is>
          <t>excel_formula</t>
        </is>
      </c>
    </row>
    <row r="3313">
      <c r="A3313" t="inlineStr">
        <is>
          <t>附表10!Q52</t>
        </is>
      </c>
      <c r="B3313" t="inlineStr">
        <is>
          <t>'附表10'!D35</t>
        </is>
      </c>
      <c r="C3313" t="inlineStr">
        <is>
          <t>excel_formula</t>
        </is>
      </c>
    </row>
    <row r="3314">
      <c r="A3314" t="inlineStr">
        <is>
          <t>附表10!R52</t>
        </is>
      </c>
      <c r="B3314" t="inlineStr">
        <is>
          <t>'附表10'!D36</t>
        </is>
      </c>
      <c r="C3314" t="inlineStr">
        <is>
          <t>excel_formula</t>
        </is>
      </c>
    </row>
    <row r="3315">
      <c r="A3315" t="inlineStr">
        <is>
          <t>附表10!S52</t>
        </is>
      </c>
      <c r="B3315" t="inlineStr">
        <is>
          <t>'附表10'!D37</t>
        </is>
      </c>
      <c r="C3315" t="inlineStr">
        <is>
          <t>excel_formula</t>
        </is>
      </c>
    </row>
    <row r="3316">
      <c r="A3316" t="inlineStr">
        <is>
          <t>附表10!T52</t>
        </is>
      </c>
      <c r="B3316" t="inlineStr">
        <is>
          <t>'附表10'!D38</t>
        </is>
      </c>
      <c r="C3316" t="inlineStr">
        <is>
          <t>excel_formula</t>
        </is>
      </c>
    </row>
    <row r="3317">
      <c r="A3317" t="inlineStr">
        <is>
          <t>附表10!U52</t>
        </is>
      </c>
      <c r="B3317" t="inlineStr">
        <is>
          <t>'附表10'!D39</t>
        </is>
      </c>
      <c r="C3317" t="inlineStr">
        <is>
          <t>excel_formula</t>
        </is>
      </c>
    </row>
    <row r="3318">
      <c r="A3318" t="inlineStr">
        <is>
          <t>附表10!V52</t>
        </is>
      </c>
      <c r="B3318" t="inlineStr">
        <is>
          <t>'附表10'!D40</t>
        </is>
      </c>
      <c r="C3318" t="inlineStr">
        <is>
          <t>excel_formula</t>
        </is>
      </c>
    </row>
    <row r="3319">
      <c r="A3319" t="inlineStr">
        <is>
          <t>附表10!W52</t>
        </is>
      </c>
      <c r="B3319" t="inlineStr">
        <is>
          <t>'附表10'!D41</t>
        </is>
      </c>
      <c r="C3319" t="inlineStr">
        <is>
          <t>excel_formula</t>
        </is>
      </c>
    </row>
    <row r="3320">
      <c r="A3320" t="inlineStr">
        <is>
          <t>附表10!X52</t>
        </is>
      </c>
      <c r="B3320" t="inlineStr">
        <is>
          <t>'附表10'!D42</t>
        </is>
      </c>
      <c r="C3320" t="inlineStr">
        <is>
          <t>excel_formula</t>
        </is>
      </c>
    </row>
    <row r="3321">
      <c r="A3321" t="inlineStr">
        <is>
          <t>附表10!Y52</t>
        </is>
      </c>
      <c r="B3321" t="inlineStr">
        <is>
          <t>'附表10'!D43</t>
        </is>
      </c>
      <c r="C3321" t="inlineStr">
        <is>
          <t>excel_formula</t>
        </is>
      </c>
    </row>
    <row r="3322">
      <c r="A3322" t="inlineStr">
        <is>
          <t>附表10!Z52</t>
        </is>
      </c>
      <c r="B3322" t="inlineStr">
        <is>
          <t>'附表10'!D44</t>
        </is>
      </c>
      <c r="C3322" t="inlineStr">
        <is>
          <t>excel_formula</t>
        </is>
      </c>
    </row>
    <row r="3323">
      <c r="A3323" t="inlineStr">
        <is>
          <t>附表10!B53</t>
        </is>
      </c>
      <c r="B3323" t="inlineStr">
        <is>
          <t>'附表10'!E20</t>
        </is>
      </c>
      <c r="C3323" t="inlineStr">
        <is>
          <t>excel_formula</t>
        </is>
      </c>
    </row>
    <row r="3324">
      <c r="A3324" t="inlineStr">
        <is>
          <t>附表10!C53</t>
        </is>
      </c>
      <c r="B3324" t="inlineStr">
        <is>
          <t>'附表10'!E21</t>
        </is>
      </c>
      <c r="C3324" t="inlineStr">
        <is>
          <t>excel_formula</t>
        </is>
      </c>
    </row>
    <row r="3325">
      <c r="A3325" t="inlineStr">
        <is>
          <t>附表10!D53</t>
        </is>
      </c>
      <c r="B3325" t="inlineStr">
        <is>
          <t>'附表10'!E22</t>
        </is>
      </c>
      <c r="C3325" t="inlineStr">
        <is>
          <t>excel_formula</t>
        </is>
      </c>
    </row>
    <row r="3326">
      <c r="A3326" t="inlineStr">
        <is>
          <t>附表10!E53</t>
        </is>
      </c>
      <c r="B3326" t="inlineStr">
        <is>
          <t>'附表10'!E23</t>
        </is>
      </c>
      <c r="C3326" t="inlineStr">
        <is>
          <t>excel_formula</t>
        </is>
      </c>
    </row>
    <row r="3327">
      <c r="A3327" t="inlineStr">
        <is>
          <t>附表10!F53</t>
        </is>
      </c>
      <c r="B3327" t="inlineStr">
        <is>
          <t>'附表10'!E24</t>
        </is>
      </c>
      <c r="C3327" t="inlineStr">
        <is>
          <t>excel_formula</t>
        </is>
      </c>
    </row>
    <row r="3328">
      <c r="A3328" t="inlineStr">
        <is>
          <t>附表10!G53</t>
        </is>
      </c>
      <c r="B3328" t="inlineStr">
        <is>
          <t>'附表10'!E25</t>
        </is>
      </c>
      <c r="C3328" t="inlineStr">
        <is>
          <t>excel_formula</t>
        </is>
      </c>
    </row>
    <row r="3329">
      <c r="A3329" t="inlineStr">
        <is>
          <t>附表10!H53</t>
        </is>
      </c>
      <c r="B3329" t="inlineStr">
        <is>
          <t>'附表10'!E26</t>
        </is>
      </c>
      <c r="C3329" t="inlineStr">
        <is>
          <t>excel_formula</t>
        </is>
      </c>
    </row>
    <row r="3330">
      <c r="A3330" t="inlineStr">
        <is>
          <t>附表10!I53</t>
        </is>
      </c>
      <c r="B3330" t="inlineStr">
        <is>
          <t>'附表10'!E27</t>
        </is>
      </c>
      <c r="C3330" t="inlineStr">
        <is>
          <t>excel_formula</t>
        </is>
      </c>
    </row>
    <row r="3331">
      <c r="A3331" t="inlineStr">
        <is>
          <t>附表10!J53</t>
        </is>
      </c>
      <c r="B3331" t="inlineStr">
        <is>
          <t>'附表10'!E28</t>
        </is>
      </c>
      <c r="C3331" t="inlineStr">
        <is>
          <t>excel_formula</t>
        </is>
      </c>
    </row>
    <row r="3332">
      <c r="A3332" t="inlineStr">
        <is>
          <t>附表10!K53</t>
        </is>
      </c>
      <c r="B3332" t="inlineStr">
        <is>
          <t>'附表10'!E29</t>
        </is>
      </c>
      <c r="C3332" t="inlineStr">
        <is>
          <t>excel_formula</t>
        </is>
      </c>
    </row>
    <row r="3333">
      <c r="A3333" t="inlineStr">
        <is>
          <t>附表10!L53</t>
        </is>
      </c>
      <c r="B3333" t="inlineStr">
        <is>
          <t>'附表10'!E30</t>
        </is>
      </c>
      <c r="C3333" t="inlineStr">
        <is>
          <t>excel_formula</t>
        </is>
      </c>
    </row>
    <row r="3334">
      <c r="A3334" t="inlineStr">
        <is>
          <t>附表10!M53</t>
        </is>
      </c>
      <c r="B3334" t="inlineStr">
        <is>
          <t>'附表10'!E31</t>
        </is>
      </c>
      <c r="C3334" t="inlineStr">
        <is>
          <t>excel_formula</t>
        </is>
      </c>
    </row>
    <row r="3335">
      <c r="A3335" t="inlineStr">
        <is>
          <t>附表10!N53</t>
        </is>
      </c>
      <c r="B3335" t="inlineStr">
        <is>
          <t>'附表10'!E32</t>
        </is>
      </c>
      <c r="C3335" t="inlineStr">
        <is>
          <t>excel_formula</t>
        </is>
      </c>
    </row>
    <row r="3336">
      <c r="A3336" t="inlineStr">
        <is>
          <t>附表10!O53</t>
        </is>
      </c>
      <c r="B3336" t="inlineStr">
        <is>
          <t>'附表10'!E33</t>
        </is>
      </c>
      <c r="C3336" t="inlineStr">
        <is>
          <t>excel_formula</t>
        </is>
      </c>
    </row>
    <row r="3337">
      <c r="A3337" t="inlineStr">
        <is>
          <t>附表10!P53</t>
        </is>
      </c>
      <c r="B3337" t="inlineStr">
        <is>
          <t>'附表10'!E34</t>
        </is>
      </c>
      <c r="C3337" t="inlineStr">
        <is>
          <t>excel_formula</t>
        </is>
      </c>
    </row>
    <row r="3338">
      <c r="A3338" t="inlineStr">
        <is>
          <t>附表10!Q53</t>
        </is>
      </c>
      <c r="B3338" t="inlineStr">
        <is>
          <t>'附表10'!E35</t>
        </is>
      </c>
      <c r="C3338" t="inlineStr">
        <is>
          <t>excel_formula</t>
        </is>
      </c>
    </row>
    <row r="3339">
      <c r="A3339" t="inlineStr">
        <is>
          <t>附表10!R53</t>
        </is>
      </c>
      <c r="B3339" t="inlineStr">
        <is>
          <t>'附表10'!E36</t>
        </is>
      </c>
      <c r="C3339" t="inlineStr">
        <is>
          <t>excel_formula</t>
        </is>
      </c>
    </row>
    <row r="3340">
      <c r="A3340" t="inlineStr">
        <is>
          <t>附表10!S53</t>
        </is>
      </c>
      <c r="B3340" t="inlineStr">
        <is>
          <t>'附表10'!E37</t>
        </is>
      </c>
      <c r="C3340" t="inlineStr">
        <is>
          <t>excel_formula</t>
        </is>
      </c>
    </row>
    <row r="3341">
      <c r="A3341" t="inlineStr">
        <is>
          <t>附表10!T53</t>
        </is>
      </c>
      <c r="B3341" t="inlineStr">
        <is>
          <t>'附表10'!E38</t>
        </is>
      </c>
      <c r="C3341" t="inlineStr">
        <is>
          <t>excel_formula</t>
        </is>
      </c>
    </row>
    <row r="3342">
      <c r="A3342" t="inlineStr">
        <is>
          <t>附表10!U53</t>
        </is>
      </c>
      <c r="B3342" t="inlineStr">
        <is>
          <t>'附表10'!E39</t>
        </is>
      </c>
      <c r="C3342" t="inlineStr">
        <is>
          <t>excel_formula</t>
        </is>
      </c>
    </row>
    <row r="3343">
      <c r="A3343" t="inlineStr">
        <is>
          <t>附表10!V53</t>
        </is>
      </c>
      <c r="B3343" t="inlineStr">
        <is>
          <t>'附表10'!E40</t>
        </is>
      </c>
      <c r="C3343" t="inlineStr">
        <is>
          <t>excel_formula</t>
        </is>
      </c>
    </row>
    <row r="3344">
      <c r="A3344" t="inlineStr">
        <is>
          <t>附表10!W53</t>
        </is>
      </c>
      <c r="B3344" t="inlineStr">
        <is>
          <t>'附表10'!E41</t>
        </is>
      </c>
      <c r="C3344" t="inlineStr">
        <is>
          <t>excel_formula</t>
        </is>
      </c>
    </row>
    <row r="3345">
      <c r="A3345" t="inlineStr">
        <is>
          <t>附表10!X53</t>
        </is>
      </c>
      <c r="B3345" t="inlineStr">
        <is>
          <t>'附表10'!E42</t>
        </is>
      </c>
      <c r="C3345" t="inlineStr">
        <is>
          <t>excel_formula</t>
        </is>
      </c>
    </row>
    <row r="3346">
      <c r="A3346" t="inlineStr">
        <is>
          <t>附表10!Y53</t>
        </is>
      </c>
      <c r="B3346" t="inlineStr">
        <is>
          <t>'附表10'!E43</t>
        </is>
      </c>
      <c r="C3346" t="inlineStr">
        <is>
          <t>excel_formula</t>
        </is>
      </c>
    </row>
    <row r="3347">
      <c r="A3347" t="inlineStr">
        <is>
          <t>附表10!Z53</t>
        </is>
      </c>
      <c r="B3347" t="inlineStr">
        <is>
          <t>'附表10'!E44</t>
        </is>
      </c>
      <c r="C3347" t="inlineStr">
        <is>
          <t>excel_formula</t>
        </is>
      </c>
    </row>
    <row r="3348">
      <c r="A3348" t="inlineStr">
        <is>
          <t>附表10!B54</t>
        </is>
      </c>
      <c r="B3348" t="inlineStr">
        <is>
          <t>'附表10'!F20</t>
        </is>
      </c>
      <c r="C3348" t="inlineStr">
        <is>
          <t>excel_formula</t>
        </is>
      </c>
    </row>
    <row r="3349">
      <c r="A3349" t="inlineStr">
        <is>
          <t>附表10!C54</t>
        </is>
      </c>
      <c r="B3349" t="inlineStr">
        <is>
          <t>'附表10'!F21</t>
        </is>
      </c>
      <c r="C3349" t="inlineStr">
        <is>
          <t>excel_formula</t>
        </is>
      </c>
    </row>
    <row r="3350">
      <c r="A3350" t="inlineStr">
        <is>
          <t>附表10!D54</t>
        </is>
      </c>
      <c r="B3350" t="inlineStr">
        <is>
          <t>'附表10'!F22</t>
        </is>
      </c>
      <c r="C3350" t="inlineStr">
        <is>
          <t>excel_formula</t>
        </is>
      </c>
    </row>
    <row r="3351">
      <c r="A3351" t="inlineStr">
        <is>
          <t>附表10!E54</t>
        </is>
      </c>
      <c r="B3351" t="inlineStr">
        <is>
          <t>'附表10'!F23</t>
        </is>
      </c>
      <c r="C3351" t="inlineStr">
        <is>
          <t>excel_formula</t>
        </is>
      </c>
    </row>
    <row r="3352">
      <c r="A3352" t="inlineStr">
        <is>
          <t>附表10!F54</t>
        </is>
      </c>
      <c r="B3352" t="inlineStr">
        <is>
          <t>'附表10'!F24</t>
        </is>
      </c>
      <c r="C3352" t="inlineStr">
        <is>
          <t>excel_formula</t>
        </is>
      </c>
    </row>
    <row r="3353">
      <c r="A3353" t="inlineStr">
        <is>
          <t>附表10!G54</t>
        </is>
      </c>
      <c r="B3353" t="inlineStr">
        <is>
          <t>'附表10'!F25</t>
        </is>
      </c>
      <c r="C3353" t="inlineStr">
        <is>
          <t>excel_formula</t>
        </is>
      </c>
    </row>
    <row r="3354">
      <c r="A3354" t="inlineStr">
        <is>
          <t>附表10!H54</t>
        </is>
      </c>
      <c r="B3354" t="inlineStr">
        <is>
          <t>'附表10'!F26</t>
        </is>
      </c>
      <c r="C3354" t="inlineStr">
        <is>
          <t>excel_formula</t>
        </is>
      </c>
    </row>
    <row r="3355">
      <c r="A3355" t="inlineStr">
        <is>
          <t>附表10!I54</t>
        </is>
      </c>
      <c r="B3355" t="inlineStr">
        <is>
          <t>'附表10'!F27</t>
        </is>
      </c>
      <c r="C3355" t="inlineStr">
        <is>
          <t>excel_formula</t>
        </is>
      </c>
    </row>
    <row r="3356">
      <c r="A3356" t="inlineStr">
        <is>
          <t>附表10!J54</t>
        </is>
      </c>
      <c r="B3356" t="inlineStr">
        <is>
          <t>'附表10'!F28</t>
        </is>
      </c>
      <c r="C3356" t="inlineStr">
        <is>
          <t>excel_formula</t>
        </is>
      </c>
    </row>
    <row r="3357">
      <c r="A3357" t="inlineStr">
        <is>
          <t>附表10!K54</t>
        </is>
      </c>
      <c r="B3357" t="inlineStr">
        <is>
          <t>'附表10'!F29</t>
        </is>
      </c>
      <c r="C3357" t="inlineStr">
        <is>
          <t>excel_formula</t>
        </is>
      </c>
    </row>
    <row r="3358">
      <c r="A3358" t="inlineStr">
        <is>
          <t>附表10!L54</t>
        </is>
      </c>
      <c r="B3358" t="inlineStr">
        <is>
          <t>'附表10'!F30</t>
        </is>
      </c>
      <c r="C3358" t="inlineStr">
        <is>
          <t>excel_formula</t>
        </is>
      </c>
    </row>
    <row r="3359">
      <c r="A3359" t="inlineStr">
        <is>
          <t>附表10!M54</t>
        </is>
      </c>
      <c r="B3359" t="inlineStr">
        <is>
          <t>'附表10'!F31</t>
        </is>
      </c>
      <c r="C3359" t="inlineStr">
        <is>
          <t>excel_formula</t>
        </is>
      </c>
    </row>
    <row r="3360">
      <c r="A3360" t="inlineStr">
        <is>
          <t>附表10!N54</t>
        </is>
      </c>
      <c r="B3360" t="inlineStr">
        <is>
          <t>'附表10'!F32</t>
        </is>
      </c>
      <c r="C3360" t="inlineStr">
        <is>
          <t>excel_formula</t>
        </is>
      </c>
    </row>
    <row r="3361">
      <c r="A3361" t="inlineStr">
        <is>
          <t>附表10!O54</t>
        </is>
      </c>
      <c r="B3361" t="inlineStr">
        <is>
          <t>'附表10'!F33</t>
        </is>
      </c>
      <c r="C3361" t="inlineStr">
        <is>
          <t>excel_formula</t>
        </is>
      </c>
    </row>
    <row r="3362">
      <c r="A3362" t="inlineStr">
        <is>
          <t>附表10!P54</t>
        </is>
      </c>
      <c r="B3362" t="inlineStr">
        <is>
          <t>'附表10'!F34</t>
        </is>
      </c>
      <c r="C3362" t="inlineStr">
        <is>
          <t>excel_formula</t>
        </is>
      </c>
    </row>
    <row r="3363">
      <c r="A3363" t="inlineStr">
        <is>
          <t>附表10!Q54</t>
        </is>
      </c>
      <c r="B3363" t="inlineStr">
        <is>
          <t>'附表10'!F35</t>
        </is>
      </c>
      <c r="C3363" t="inlineStr">
        <is>
          <t>excel_formula</t>
        </is>
      </c>
    </row>
    <row r="3364">
      <c r="A3364" t="inlineStr">
        <is>
          <t>附表10!R54</t>
        </is>
      </c>
      <c r="B3364" t="inlineStr">
        <is>
          <t>'附表10'!F36</t>
        </is>
      </c>
      <c r="C3364" t="inlineStr">
        <is>
          <t>excel_formula</t>
        </is>
      </c>
    </row>
    <row r="3365">
      <c r="A3365" t="inlineStr">
        <is>
          <t>附表10!S54</t>
        </is>
      </c>
      <c r="B3365" t="inlineStr">
        <is>
          <t>'附表10'!F37</t>
        </is>
      </c>
      <c r="C3365" t="inlineStr">
        <is>
          <t>excel_formula</t>
        </is>
      </c>
    </row>
    <row r="3366">
      <c r="A3366" t="inlineStr">
        <is>
          <t>附表10!T54</t>
        </is>
      </c>
      <c r="B3366" t="inlineStr">
        <is>
          <t>'附表10'!F38</t>
        </is>
      </c>
      <c r="C3366" t="inlineStr">
        <is>
          <t>excel_formula</t>
        </is>
      </c>
    </row>
    <row r="3367">
      <c r="A3367" t="inlineStr">
        <is>
          <t>附表10!U54</t>
        </is>
      </c>
      <c r="B3367" t="inlineStr">
        <is>
          <t>'附表10'!F39</t>
        </is>
      </c>
      <c r="C3367" t="inlineStr">
        <is>
          <t>excel_formula</t>
        </is>
      </c>
    </row>
    <row r="3368">
      <c r="A3368" t="inlineStr">
        <is>
          <t>附表10!V54</t>
        </is>
      </c>
      <c r="B3368" t="inlineStr">
        <is>
          <t>'附表10'!F40</t>
        </is>
      </c>
      <c r="C3368" t="inlineStr">
        <is>
          <t>excel_formula</t>
        </is>
      </c>
    </row>
    <row r="3369">
      <c r="A3369" t="inlineStr">
        <is>
          <t>附表10!W54</t>
        </is>
      </c>
      <c r="B3369" t="inlineStr">
        <is>
          <t>'附表10'!F41</t>
        </is>
      </c>
      <c r="C3369" t="inlineStr">
        <is>
          <t>excel_formula</t>
        </is>
      </c>
    </row>
    <row r="3370">
      <c r="A3370" t="inlineStr">
        <is>
          <t>附表10!X54</t>
        </is>
      </c>
      <c r="B3370" t="inlineStr">
        <is>
          <t>'附表10'!F42</t>
        </is>
      </c>
      <c r="C3370" t="inlineStr">
        <is>
          <t>excel_formula</t>
        </is>
      </c>
    </row>
    <row r="3371">
      <c r="A3371" t="inlineStr">
        <is>
          <t>附表10!Y54</t>
        </is>
      </c>
      <c r="B3371" t="inlineStr">
        <is>
          <t>'附表10'!F43</t>
        </is>
      </c>
      <c r="C3371" t="inlineStr">
        <is>
          <t>excel_formula</t>
        </is>
      </c>
    </row>
    <row r="3372">
      <c r="A3372" t="inlineStr">
        <is>
          <t>附表10!Z54</t>
        </is>
      </c>
      <c r="B3372" t="inlineStr">
        <is>
          <t>'附表10'!F44</t>
        </is>
      </c>
      <c r="C3372" t="inlineStr">
        <is>
          <t>excel_formula</t>
        </is>
      </c>
    </row>
    <row r="3373">
      <c r="A3373" t="inlineStr">
        <is>
          <t>附表10!B56</t>
        </is>
      </c>
      <c r="B3373" t="inlineStr">
        <is>
          <t>'附表10'!C20</t>
        </is>
      </c>
      <c r="C3373" t="inlineStr">
        <is>
          <t>excel_formula</t>
        </is>
      </c>
    </row>
    <row r="3374">
      <c r="A3374" t="inlineStr">
        <is>
          <t>附表10!C56</t>
        </is>
      </c>
      <c r="B3374" t="inlineStr">
        <is>
          <t>'附表10'!C21</t>
        </is>
      </c>
      <c r="C3374" t="inlineStr">
        <is>
          <t>excel_formula</t>
        </is>
      </c>
    </row>
    <row r="3375">
      <c r="A3375" t="inlineStr">
        <is>
          <t>附表10!D56</t>
        </is>
      </c>
      <c r="B3375" t="inlineStr">
        <is>
          <t>'附表10'!C22</t>
        </is>
      </c>
      <c r="C3375" t="inlineStr">
        <is>
          <t>excel_formula</t>
        </is>
      </c>
    </row>
    <row r="3376">
      <c r="A3376" t="inlineStr">
        <is>
          <t>附表10!E56</t>
        </is>
      </c>
      <c r="B3376" t="inlineStr">
        <is>
          <t>'附表10'!C23</t>
        </is>
      </c>
      <c r="C3376" t="inlineStr">
        <is>
          <t>excel_formula</t>
        </is>
      </c>
    </row>
    <row r="3377">
      <c r="A3377" t="inlineStr">
        <is>
          <t>附表10!F56</t>
        </is>
      </c>
      <c r="B3377" t="inlineStr">
        <is>
          <t>'附表10'!C24</t>
        </is>
      </c>
      <c r="C3377" t="inlineStr">
        <is>
          <t>excel_formula</t>
        </is>
      </c>
    </row>
    <row r="3378">
      <c r="A3378" t="inlineStr">
        <is>
          <t>附表10!G56</t>
        </is>
      </c>
      <c r="B3378" t="inlineStr">
        <is>
          <t>'附表10'!C25</t>
        </is>
      </c>
      <c r="C3378" t="inlineStr">
        <is>
          <t>excel_formula</t>
        </is>
      </c>
    </row>
    <row r="3379">
      <c r="A3379" t="inlineStr">
        <is>
          <t>附表10!H56</t>
        </is>
      </c>
      <c r="B3379" t="inlineStr">
        <is>
          <t>'附表10'!C26</t>
        </is>
      </c>
      <c r="C3379" t="inlineStr">
        <is>
          <t>excel_formula</t>
        </is>
      </c>
    </row>
    <row r="3380">
      <c r="A3380" t="inlineStr">
        <is>
          <t>附表10!I56</t>
        </is>
      </c>
      <c r="B3380" t="inlineStr">
        <is>
          <t>'附表10'!C27</t>
        </is>
      </c>
      <c r="C3380" t="inlineStr">
        <is>
          <t>excel_formula</t>
        </is>
      </c>
    </row>
    <row r="3381">
      <c r="A3381" t="inlineStr">
        <is>
          <t>附表10!J56</t>
        </is>
      </c>
      <c r="B3381" t="inlineStr">
        <is>
          <t>'附表10'!C28</t>
        </is>
      </c>
      <c r="C3381" t="inlineStr">
        <is>
          <t>excel_formula</t>
        </is>
      </c>
    </row>
    <row r="3382">
      <c r="A3382" t="inlineStr">
        <is>
          <t>附表10!K56</t>
        </is>
      </c>
      <c r="B3382" t="inlineStr">
        <is>
          <t>'附表10'!C29</t>
        </is>
      </c>
      <c r="C3382" t="inlineStr">
        <is>
          <t>excel_formula</t>
        </is>
      </c>
    </row>
    <row r="3383">
      <c r="A3383" t="inlineStr">
        <is>
          <t>附表10!L56</t>
        </is>
      </c>
      <c r="B3383" t="inlineStr">
        <is>
          <t>'附表10'!C30</t>
        </is>
      </c>
      <c r="C3383" t="inlineStr">
        <is>
          <t>excel_formula</t>
        </is>
      </c>
    </row>
    <row r="3384">
      <c r="A3384" t="inlineStr">
        <is>
          <t>附表10!M56</t>
        </is>
      </c>
      <c r="B3384" t="inlineStr">
        <is>
          <t>'附表10'!C31</t>
        </is>
      </c>
      <c r="C3384" t="inlineStr">
        <is>
          <t>excel_formula</t>
        </is>
      </c>
    </row>
    <row r="3385">
      <c r="A3385" t="inlineStr">
        <is>
          <t>附表10!N56</t>
        </is>
      </c>
      <c r="B3385" t="inlineStr">
        <is>
          <t>'附表10'!C32</t>
        </is>
      </c>
      <c r="C3385" t="inlineStr">
        <is>
          <t>excel_formula</t>
        </is>
      </c>
    </row>
    <row r="3386">
      <c r="A3386" t="inlineStr">
        <is>
          <t>附表10!O56</t>
        </is>
      </c>
      <c r="B3386" t="inlineStr">
        <is>
          <t>'附表10'!C33</t>
        </is>
      </c>
      <c r="C3386" t="inlineStr">
        <is>
          <t>excel_formula</t>
        </is>
      </c>
    </row>
    <row r="3387">
      <c r="A3387" t="inlineStr">
        <is>
          <t>附表10!P56</t>
        </is>
      </c>
      <c r="B3387" t="inlineStr">
        <is>
          <t>'附表10'!C34</t>
        </is>
      </c>
      <c r="C3387" t="inlineStr">
        <is>
          <t>excel_formula</t>
        </is>
      </c>
    </row>
    <row r="3388">
      <c r="A3388" t="inlineStr">
        <is>
          <t>附表10!Q56</t>
        </is>
      </c>
      <c r="B3388" t="inlineStr">
        <is>
          <t>'附表10'!C35</t>
        </is>
      </c>
      <c r="C3388" t="inlineStr">
        <is>
          <t>excel_formula</t>
        </is>
      </c>
    </row>
    <row r="3389">
      <c r="A3389" t="inlineStr">
        <is>
          <t>附表10!R56</t>
        </is>
      </c>
      <c r="B3389" t="inlineStr">
        <is>
          <t>'附表10'!C36</t>
        </is>
      </c>
      <c r="C3389" t="inlineStr">
        <is>
          <t>excel_formula</t>
        </is>
      </c>
    </row>
    <row r="3390">
      <c r="A3390" t="inlineStr">
        <is>
          <t>附表10!S56</t>
        </is>
      </c>
      <c r="B3390" t="inlineStr">
        <is>
          <t>'附表10'!C37</t>
        </is>
      </c>
      <c r="C3390" t="inlineStr">
        <is>
          <t>excel_formula</t>
        </is>
      </c>
    </row>
    <row r="3391">
      <c r="A3391" t="inlineStr">
        <is>
          <t>附表10!T56</t>
        </is>
      </c>
      <c r="B3391" t="inlineStr">
        <is>
          <t>'附表10'!C38</t>
        </is>
      </c>
      <c r="C3391" t="inlineStr">
        <is>
          <t>excel_formula</t>
        </is>
      </c>
    </row>
    <row r="3392">
      <c r="A3392" t="inlineStr">
        <is>
          <t>附表10!U56</t>
        </is>
      </c>
      <c r="B3392" t="inlineStr">
        <is>
          <t>'附表10'!C39</t>
        </is>
      </c>
      <c r="C3392" t="inlineStr">
        <is>
          <t>excel_formula</t>
        </is>
      </c>
    </row>
    <row r="3393">
      <c r="A3393" t="inlineStr">
        <is>
          <t>附表10!V56</t>
        </is>
      </c>
      <c r="B3393" t="inlineStr">
        <is>
          <t>'附表10'!C40</t>
        </is>
      </c>
      <c r="C3393" t="inlineStr">
        <is>
          <t>excel_formula</t>
        </is>
      </c>
    </row>
    <row r="3394">
      <c r="A3394" t="inlineStr">
        <is>
          <t>附表10!W56</t>
        </is>
      </c>
      <c r="B3394" t="inlineStr">
        <is>
          <t>'附表10'!C41</t>
        </is>
      </c>
      <c r="C3394" t="inlineStr">
        <is>
          <t>excel_formula</t>
        </is>
      </c>
    </row>
    <row r="3395">
      <c r="A3395" t="inlineStr">
        <is>
          <t>附表10!X56</t>
        </is>
      </c>
      <c r="B3395" t="inlineStr">
        <is>
          <t>'附表10'!C42</t>
        </is>
      </c>
      <c r="C3395" t="inlineStr">
        <is>
          <t>excel_formula</t>
        </is>
      </c>
    </row>
    <row r="3396">
      <c r="A3396" t="inlineStr">
        <is>
          <t>附表10!Y56</t>
        </is>
      </c>
      <c r="B3396" t="inlineStr">
        <is>
          <t>'附表10'!C43</t>
        </is>
      </c>
      <c r="C3396" t="inlineStr">
        <is>
          <t>excel_formula</t>
        </is>
      </c>
    </row>
    <row r="3397">
      <c r="A3397" t="inlineStr">
        <is>
          <t>附表10!Z56</t>
        </is>
      </c>
      <c r="B3397" t="inlineStr">
        <is>
          <t>'附表10'!C44</t>
        </is>
      </c>
      <c r="C3397" t="inlineStr">
        <is>
          <t>excel_formula</t>
        </is>
      </c>
    </row>
    <row r="3398">
      <c r="A3398" t="inlineStr">
        <is>
          <t>附表10!B57</t>
        </is>
      </c>
      <c r="B3398" t="inlineStr">
        <is>
          <t>'附表10'!G20</t>
        </is>
      </c>
      <c r="C3398" t="inlineStr">
        <is>
          <t>excel_formula</t>
        </is>
      </c>
    </row>
    <row r="3399">
      <c r="A3399" t="inlineStr">
        <is>
          <t>附表10!C57</t>
        </is>
      </c>
      <c r="B3399" t="inlineStr">
        <is>
          <t>'附表10'!G21</t>
        </is>
      </c>
      <c r="C3399" t="inlineStr">
        <is>
          <t>excel_formula</t>
        </is>
      </c>
    </row>
    <row r="3400">
      <c r="A3400" t="inlineStr">
        <is>
          <t>附表10!D57</t>
        </is>
      </c>
      <c r="B3400" t="inlineStr">
        <is>
          <t>'附表10'!G22</t>
        </is>
      </c>
      <c r="C3400" t="inlineStr">
        <is>
          <t>excel_formula</t>
        </is>
      </c>
    </row>
    <row r="3401">
      <c r="A3401" t="inlineStr">
        <is>
          <t>附表10!E57</t>
        </is>
      </c>
      <c r="B3401" t="inlineStr">
        <is>
          <t>'附表10'!G23</t>
        </is>
      </c>
      <c r="C3401" t="inlineStr">
        <is>
          <t>excel_formula</t>
        </is>
      </c>
    </row>
    <row r="3402">
      <c r="A3402" t="inlineStr">
        <is>
          <t>附表10!F57</t>
        </is>
      </c>
      <c r="B3402" t="inlineStr">
        <is>
          <t>'附表10'!G24</t>
        </is>
      </c>
      <c r="C3402" t="inlineStr">
        <is>
          <t>excel_formula</t>
        </is>
      </c>
    </row>
    <row r="3403">
      <c r="A3403" t="inlineStr">
        <is>
          <t>附表10!G57</t>
        </is>
      </c>
      <c r="B3403" t="inlineStr">
        <is>
          <t>'附表10'!G25</t>
        </is>
      </c>
      <c r="C3403" t="inlineStr">
        <is>
          <t>excel_formula</t>
        </is>
      </c>
    </row>
    <row r="3404">
      <c r="A3404" t="inlineStr">
        <is>
          <t>附表10!H57</t>
        </is>
      </c>
      <c r="B3404" t="inlineStr">
        <is>
          <t>'附表10'!G26</t>
        </is>
      </c>
      <c r="C3404" t="inlineStr">
        <is>
          <t>excel_formula</t>
        </is>
      </c>
    </row>
    <row r="3405">
      <c r="A3405" t="inlineStr">
        <is>
          <t>附表10!I57</t>
        </is>
      </c>
      <c r="B3405" t="inlineStr">
        <is>
          <t>'附表10'!G27</t>
        </is>
      </c>
      <c r="C3405" t="inlineStr">
        <is>
          <t>excel_formula</t>
        </is>
      </c>
    </row>
    <row r="3406">
      <c r="A3406" t="inlineStr">
        <is>
          <t>附表10!J57</t>
        </is>
      </c>
      <c r="B3406" t="inlineStr">
        <is>
          <t>'附表10'!G28</t>
        </is>
      </c>
      <c r="C3406" t="inlineStr">
        <is>
          <t>excel_formula</t>
        </is>
      </c>
    </row>
    <row r="3407">
      <c r="A3407" t="inlineStr">
        <is>
          <t>附表10!K57</t>
        </is>
      </c>
      <c r="B3407" t="inlineStr">
        <is>
          <t>'附表10'!G29</t>
        </is>
      </c>
      <c r="C3407" t="inlineStr">
        <is>
          <t>excel_formula</t>
        </is>
      </c>
    </row>
    <row r="3408">
      <c r="A3408" t="inlineStr">
        <is>
          <t>附表10!L57</t>
        </is>
      </c>
      <c r="B3408" t="inlineStr">
        <is>
          <t>'附表10'!G30</t>
        </is>
      </c>
      <c r="C3408" t="inlineStr">
        <is>
          <t>excel_formula</t>
        </is>
      </c>
    </row>
    <row r="3409">
      <c r="A3409" t="inlineStr">
        <is>
          <t>附表10!M57</t>
        </is>
      </c>
      <c r="B3409" t="inlineStr">
        <is>
          <t>'附表10'!G31</t>
        </is>
      </c>
      <c r="C3409" t="inlineStr">
        <is>
          <t>excel_formula</t>
        </is>
      </c>
    </row>
    <row r="3410">
      <c r="A3410" t="inlineStr">
        <is>
          <t>附表10!N57</t>
        </is>
      </c>
      <c r="B3410" t="inlineStr">
        <is>
          <t>'附表10'!G32</t>
        </is>
      </c>
      <c r="C3410" t="inlineStr">
        <is>
          <t>excel_formula</t>
        </is>
      </c>
    </row>
    <row r="3411">
      <c r="A3411" t="inlineStr">
        <is>
          <t>附表10!O57</t>
        </is>
      </c>
      <c r="B3411" t="inlineStr">
        <is>
          <t>'附表10'!G33</t>
        </is>
      </c>
      <c r="C3411" t="inlineStr">
        <is>
          <t>excel_formula</t>
        </is>
      </c>
    </row>
    <row r="3412">
      <c r="A3412" t="inlineStr">
        <is>
          <t>附表10!P57</t>
        </is>
      </c>
      <c r="B3412" t="inlineStr">
        <is>
          <t>'附表10'!G34</t>
        </is>
      </c>
      <c r="C3412" t="inlineStr">
        <is>
          <t>excel_formula</t>
        </is>
      </c>
    </row>
    <row r="3413">
      <c r="A3413" t="inlineStr">
        <is>
          <t>附表10!Q57</t>
        </is>
      </c>
      <c r="B3413" t="inlineStr">
        <is>
          <t>'附表10'!G35</t>
        </is>
      </c>
      <c r="C3413" t="inlineStr">
        <is>
          <t>excel_formula</t>
        </is>
      </c>
    </row>
    <row r="3414">
      <c r="A3414" t="inlineStr">
        <is>
          <t>附表10!R57</t>
        </is>
      </c>
      <c r="B3414" t="inlineStr">
        <is>
          <t>'附表10'!G36</t>
        </is>
      </c>
      <c r="C3414" t="inlineStr">
        <is>
          <t>excel_formula</t>
        </is>
      </c>
    </row>
    <row r="3415">
      <c r="A3415" t="inlineStr">
        <is>
          <t>附表10!S57</t>
        </is>
      </c>
      <c r="B3415" t="inlineStr">
        <is>
          <t>'附表10'!G37</t>
        </is>
      </c>
      <c r="C3415" t="inlineStr">
        <is>
          <t>excel_formula</t>
        </is>
      </c>
    </row>
    <row r="3416">
      <c r="A3416" t="inlineStr">
        <is>
          <t>附表10!T57</t>
        </is>
      </c>
      <c r="B3416" t="inlineStr">
        <is>
          <t>'附表10'!G38</t>
        </is>
      </c>
      <c r="C3416" t="inlineStr">
        <is>
          <t>excel_formula</t>
        </is>
      </c>
    </row>
    <row r="3417">
      <c r="A3417" t="inlineStr">
        <is>
          <t>附表10!U57</t>
        </is>
      </c>
      <c r="B3417" t="inlineStr">
        <is>
          <t>'附表10'!G39</t>
        </is>
      </c>
      <c r="C3417" t="inlineStr">
        <is>
          <t>excel_formula</t>
        </is>
      </c>
    </row>
    <row r="3418">
      <c r="A3418" t="inlineStr">
        <is>
          <t>附表10!V57</t>
        </is>
      </c>
      <c r="B3418" t="inlineStr">
        <is>
          <t>'附表10'!G40</t>
        </is>
      </c>
      <c r="C3418" t="inlineStr">
        <is>
          <t>excel_formula</t>
        </is>
      </c>
    </row>
    <row r="3419">
      <c r="A3419" t="inlineStr">
        <is>
          <t>附表10!W57</t>
        </is>
      </c>
      <c r="B3419" t="inlineStr">
        <is>
          <t>'附表10'!G41</t>
        </is>
      </c>
      <c r="C3419" t="inlineStr">
        <is>
          <t>excel_formula</t>
        </is>
      </c>
    </row>
    <row r="3420">
      <c r="A3420" t="inlineStr">
        <is>
          <t>附表10!X57</t>
        </is>
      </c>
      <c r="B3420" t="inlineStr">
        <is>
          <t>'附表10'!G42</t>
        </is>
      </c>
      <c r="C3420" t="inlineStr">
        <is>
          <t>excel_formula</t>
        </is>
      </c>
    </row>
    <row r="3421">
      <c r="A3421" t="inlineStr">
        <is>
          <t>附表10!Y57</t>
        </is>
      </c>
      <c r="B3421" t="inlineStr">
        <is>
          <t>'附表10'!G43</t>
        </is>
      </c>
      <c r="C3421" t="inlineStr">
        <is>
          <t>excel_formula</t>
        </is>
      </c>
    </row>
    <row r="3422">
      <c r="A3422" t="inlineStr">
        <is>
          <t>附表10!Z57</t>
        </is>
      </c>
      <c r="B3422" t="inlineStr">
        <is>
          <t>'附表10'!G44</t>
        </is>
      </c>
      <c r="C3422" t="inlineStr">
        <is>
          <t>excel_formula</t>
        </is>
      </c>
    </row>
    <row r="3423">
      <c r="A3423" t="inlineStr">
        <is>
          <t>附表10!B58</t>
        </is>
      </c>
      <c r="B3423" t="inlineStr">
        <is>
          <t>'附表10'!H20</t>
        </is>
      </c>
      <c r="C3423" t="inlineStr">
        <is>
          <t>excel_formula</t>
        </is>
      </c>
    </row>
    <row r="3424">
      <c r="A3424" t="inlineStr">
        <is>
          <t>附表10!C58</t>
        </is>
      </c>
      <c r="B3424" t="inlineStr">
        <is>
          <t>'附表10'!H21</t>
        </is>
      </c>
      <c r="C3424" t="inlineStr">
        <is>
          <t>excel_formula</t>
        </is>
      </c>
    </row>
    <row r="3425">
      <c r="A3425" t="inlineStr">
        <is>
          <t>附表10!D58</t>
        </is>
      </c>
      <c r="B3425" t="inlineStr">
        <is>
          <t>'附表10'!H22</t>
        </is>
      </c>
      <c r="C3425" t="inlineStr">
        <is>
          <t>excel_formula</t>
        </is>
      </c>
    </row>
    <row r="3426">
      <c r="A3426" t="inlineStr">
        <is>
          <t>附表10!E58</t>
        </is>
      </c>
      <c r="B3426" t="inlineStr">
        <is>
          <t>'附表10'!H23</t>
        </is>
      </c>
      <c r="C3426" t="inlineStr">
        <is>
          <t>excel_formula</t>
        </is>
      </c>
    </row>
    <row r="3427">
      <c r="A3427" t="inlineStr">
        <is>
          <t>附表10!F58</t>
        </is>
      </c>
      <c r="B3427" t="inlineStr">
        <is>
          <t>'附表10'!H24</t>
        </is>
      </c>
      <c r="C3427" t="inlineStr">
        <is>
          <t>excel_formula</t>
        </is>
      </c>
    </row>
    <row r="3428">
      <c r="A3428" t="inlineStr">
        <is>
          <t>附表10!G58</t>
        </is>
      </c>
      <c r="B3428" t="inlineStr">
        <is>
          <t>'附表10'!H25</t>
        </is>
      </c>
      <c r="C3428" t="inlineStr">
        <is>
          <t>excel_formula</t>
        </is>
      </c>
    </row>
    <row r="3429">
      <c r="A3429" t="inlineStr">
        <is>
          <t>附表10!H58</t>
        </is>
      </c>
      <c r="B3429" t="inlineStr">
        <is>
          <t>'附表10'!H26</t>
        </is>
      </c>
      <c r="C3429" t="inlineStr">
        <is>
          <t>excel_formula</t>
        </is>
      </c>
    </row>
    <row r="3430">
      <c r="A3430" t="inlineStr">
        <is>
          <t>附表10!I58</t>
        </is>
      </c>
      <c r="B3430" t="inlineStr">
        <is>
          <t>'附表10'!H27</t>
        </is>
      </c>
      <c r="C3430" t="inlineStr">
        <is>
          <t>excel_formula</t>
        </is>
      </c>
    </row>
    <row r="3431">
      <c r="A3431" t="inlineStr">
        <is>
          <t>附表10!J58</t>
        </is>
      </c>
      <c r="B3431" t="inlineStr">
        <is>
          <t>'附表10'!H28</t>
        </is>
      </c>
      <c r="C3431" t="inlineStr">
        <is>
          <t>excel_formula</t>
        </is>
      </c>
    </row>
    <row r="3432">
      <c r="A3432" t="inlineStr">
        <is>
          <t>附表10!K58</t>
        </is>
      </c>
      <c r="B3432" t="inlineStr">
        <is>
          <t>'附表10'!H29</t>
        </is>
      </c>
      <c r="C3432" t="inlineStr">
        <is>
          <t>excel_formula</t>
        </is>
      </c>
    </row>
    <row r="3433">
      <c r="A3433" t="inlineStr">
        <is>
          <t>附表10!L58</t>
        </is>
      </c>
      <c r="B3433" t="inlineStr">
        <is>
          <t>'附表10'!H30</t>
        </is>
      </c>
      <c r="C3433" t="inlineStr">
        <is>
          <t>excel_formula</t>
        </is>
      </c>
    </row>
    <row r="3434">
      <c r="A3434" t="inlineStr">
        <is>
          <t>附表10!M58</t>
        </is>
      </c>
      <c r="B3434" t="inlineStr">
        <is>
          <t>'附表10'!H31</t>
        </is>
      </c>
      <c r="C3434" t="inlineStr">
        <is>
          <t>excel_formula</t>
        </is>
      </c>
    </row>
    <row r="3435">
      <c r="A3435" t="inlineStr">
        <is>
          <t>附表10!N58</t>
        </is>
      </c>
      <c r="B3435" t="inlineStr">
        <is>
          <t>'附表10'!H32</t>
        </is>
      </c>
      <c r="C3435" t="inlineStr">
        <is>
          <t>excel_formula</t>
        </is>
      </c>
    </row>
    <row r="3436">
      <c r="A3436" t="inlineStr">
        <is>
          <t>附表10!O58</t>
        </is>
      </c>
      <c r="B3436" t="inlineStr">
        <is>
          <t>'附表10'!H33</t>
        </is>
      </c>
      <c r="C3436" t="inlineStr">
        <is>
          <t>excel_formula</t>
        </is>
      </c>
    </row>
    <row r="3437">
      <c r="A3437" t="inlineStr">
        <is>
          <t>附表10!P58</t>
        </is>
      </c>
      <c r="B3437" t="inlineStr">
        <is>
          <t>'附表10'!H34</t>
        </is>
      </c>
      <c r="C3437" t="inlineStr">
        <is>
          <t>excel_formula</t>
        </is>
      </c>
    </row>
    <row r="3438">
      <c r="A3438" t="inlineStr">
        <is>
          <t>附表10!Q58</t>
        </is>
      </c>
      <c r="B3438" t="inlineStr">
        <is>
          <t>'附表10'!H35</t>
        </is>
      </c>
      <c r="C3438" t="inlineStr">
        <is>
          <t>excel_formula</t>
        </is>
      </c>
    </row>
    <row r="3439">
      <c r="A3439" t="inlineStr">
        <is>
          <t>附表10!R58</t>
        </is>
      </c>
      <c r="B3439" t="inlineStr">
        <is>
          <t>'附表10'!H36</t>
        </is>
      </c>
      <c r="C3439" t="inlineStr">
        <is>
          <t>excel_formula</t>
        </is>
      </c>
    </row>
    <row r="3440">
      <c r="A3440" t="inlineStr">
        <is>
          <t>附表10!S58</t>
        </is>
      </c>
      <c r="B3440" t="inlineStr">
        <is>
          <t>'附表10'!H37</t>
        </is>
      </c>
      <c r="C3440" t="inlineStr">
        <is>
          <t>excel_formula</t>
        </is>
      </c>
    </row>
    <row r="3441">
      <c r="A3441" t="inlineStr">
        <is>
          <t>附表10!T58</t>
        </is>
      </c>
      <c r="B3441" t="inlineStr">
        <is>
          <t>'附表10'!H38</t>
        </is>
      </c>
      <c r="C3441" t="inlineStr">
        <is>
          <t>excel_formula</t>
        </is>
      </c>
    </row>
    <row r="3442">
      <c r="A3442" t="inlineStr">
        <is>
          <t>附表10!U58</t>
        </is>
      </c>
      <c r="B3442" t="inlineStr">
        <is>
          <t>'附表10'!H39</t>
        </is>
      </c>
      <c r="C3442" t="inlineStr">
        <is>
          <t>excel_formula</t>
        </is>
      </c>
    </row>
    <row r="3443">
      <c r="A3443" t="inlineStr">
        <is>
          <t>附表10!V58</t>
        </is>
      </c>
      <c r="B3443" t="inlineStr">
        <is>
          <t>'附表10'!H40</t>
        </is>
      </c>
      <c r="C3443" t="inlineStr">
        <is>
          <t>excel_formula</t>
        </is>
      </c>
    </row>
    <row r="3444">
      <c r="A3444" t="inlineStr">
        <is>
          <t>附表10!W58</t>
        </is>
      </c>
      <c r="B3444" t="inlineStr">
        <is>
          <t>'附表10'!H41</t>
        </is>
      </c>
      <c r="C3444" t="inlineStr">
        <is>
          <t>excel_formula</t>
        </is>
      </c>
    </row>
    <row r="3445">
      <c r="A3445" t="inlineStr">
        <is>
          <t>附表10!X58</t>
        </is>
      </c>
      <c r="B3445" t="inlineStr">
        <is>
          <t>'附表10'!H42</t>
        </is>
      </c>
      <c r="C3445" t="inlineStr">
        <is>
          <t>excel_formula</t>
        </is>
      </c>
    </row>
    <row r="3446">
      <c r="A3446" t="inlineStr">
        <is>
          <t>附表10!Y58</t>
        </is>
      </c>
      <c r="B3446" t="inlineStr">
        <is>
          <t>'附表10'!H43</t>
        </is>
      </c>
      <c r="C3446" t="inlineStr">
        <is>
          <t>excel_formula</t>
        </is>
      </c>
    </row>
    <row r="3447">
      <c r="A3447" t="inlineStr">
        <is>
          <t>附表10!Z58</t>
        </is>
      </c>
      <c r="B3447" t="inlineStr">
        <is>
          <t>'附表10'!H44</t>
        </is>
      </c>
      <c r="C3447" t="inlineStr">
        <is>
          <t>excel_formula</t>
        </is>
      </c>
    </row>
    <row r="3448">
      <c r="A3448" t="inlineStr">
        <is>
          <t>附表10!B59</t>
        </is>
      </c>
      <c r="B3448" t="inlineStr">
        <is>
          <t>'附表10'!I20</t>
        </is>
      </c>
      <c r="C3448" t="inlineStr">
        <is>
          <t>excel_formula</t>
        </is>
      </c>
    </row>
    <row r="3449">
      <c r="A3449" t="inlineStr">
        <is>
          <t>附表10!C59</t>
        </is>
      </c>
      <c r="B3449" t="inlineStr">
        <is>
          <t>'附表10'!I21</t>
        </is>
      </c>
      <c r="C3449" t="inlineStr">
        <is>
          <t>excel_formula</t>
        </is>
      </c>
    </row>
    <row r="3450">
      <c r="A3450" t="inlineStr">
        <is>
          <t>附表10!D59</t>
        </is>
      </c>
      <c r="B3450" t="inlineStr">
        <is>
          <t>'附表10'!I22</t>
        </is>
      </c>
      <c r="C3450" t="inlineStr">
        <is>
          <t>excel_formula</t>
        </is>
      </c>
    </row>
    <row r="3451">
      <c r="A3451" t="inlineStr">
        <is>
          <t>附表10!E59</t>
        </is>
      </c>
      <c r="B3451" t="inlineStr">
        <is>
          <t>'附表10'!I23</t>
        </is>
      </c>
      <c r="C3451" t="inlineStr">
        <is>
          <t>excel_formula</t>
        </is>
      </c>
    </row>
    <row r="3452">
      <c r="A3452" t="inlineStr">
        <is>
          <t>附表10!F59</t>
        </is>
      </c>
      <c r="B3452" t="inlineStr">
        <is>
          <t>'附表10'!I24</t>
        </is>
      </c>
      <c r="C3452" t="inlineStr">
        <is>
          <t>excel_formula</t>
        </is>
      </c>
    </row>
    <row r="3453">
      <c r="A3453" t="inlineStr">
        <is>
          <t>附表10!G59</t>
        </is>
      </c>
      <c r="B3453" t="inlineStr">
        <is>
          <t>'附表10'!I25</t>
        </is>
      </c>
      <c r="C3453" t="inlineStr">
        <is>
          <t>excel_formula</t>
        </is>
      </c>
    </row>
    <row r="3454">
      <c r="A3454" t="inlineStr">
        <is>
          <t>附表10!H59</t>
        </is>
      </c>
      <c r="B3454" t="inlineStr">
        <is>
          <t>'附表10'!I26</t>
        </is>
      </c>
      <c r="C3454" t="inlineStr">
        <is>
          <t>excel_formula</t>
        </is>
      </c>
    </row>
    <row r="3455">
      <c r="A3455" t="inlineStr">
        <is>
          <t>附表10!I59</t>
        </is>
      </c>
      <c r="B3455" t="inlineStr">
        <is>
          <t>'附表10'!I27</t>
        </is>
      </c>
      <c r="C3455" t="inlineStr">
        <is>
          <t>excel_formula</t>
        </is>
      </c>
    </row>
    <row r="3456">
      <c r="A3456" t="inlineStr">
        <is>
          <t>附表10!J59</t>
        </is>
      </c>
      <c r="B3456" t="inlineStr">
        <is>
          <t>'附表10'!I28</t>
        </is>
      </c>
      <c r="C3456" t="inlineStr">
        <is>
          <t>excel_formula</t>
        </is>
      </c>
    </row>
    <row r="3457">
      <c r="A3457" t="inlineStr">
        <is>
          <t>附表10!K59</t>
        </is>
      </c>
      <c r="B3457" t="inlineStr">
        <is>
          <t>'附表10'!I29</t>
        </is>
      </c>
      <c r="C3457" t="inlineStr">
        <is>
          <t>excel_formula</t>
        </is>
      </c>
    </row>
    <row r="3458">
      <c r="A3458" t="inlineStr">
        <is>
          <t>附表10!L59</t>
        </is>
      </c>
      <c r="B3458" t="inlineStr">
        <is>
          <t>'附表10'!I30</t>
        </is>
      </c>
      <c r="C3458" t="inlineStr">
        <is>
          <t>excel_formula</t>
        </is>
      </c>
    </row>
    <row r="3459">
      <c r="A3459" t="inlineStr">
        <is>
          <t>附表10!M59</t>
        </is>
      </c>
      <c r="B3459" t="inlineStr">
        <is>
          <t>'附表10'!I31</t>
        </is>
      </c>
      <c r="C3459" t="inlineStr">
        <is>
          <t>excel_formula</t>
        </is>
      </c>
    </row>
    <row r="3460">
      <c r="A3460" t="inlineStr">
        <is>
          <t>附表10!N59</t>
        </is>
      </c>
      <c r="B3460" t="inlineStr">
        <is>
          <t>'附表10'!I32</t>
        </is>
      </c>
      <c r="C3460" t="inlineStr">
        <is>
          <t>excel_formula</t>
        </is>
      </c>
    </row>
    <row r="3461">
      <c r="A3461" t="inlineStr">
        <is>
          <t>附表10!O59</t>
        </is>
      </c>
      <c r="B3461" t="inlineStr">
        <is>
          <t>'附表10'!I33</t>
        </is>
      </c>
      <c r="C3461" t="inlineStr">
        <is>
          <t>excel_formula</t>
        </is>
      </c>
    </row>
    <row r="3462">
      <c r="A3462" t="inlineStr">
        <is>
          <t>附表10!P59</t>
        </is>
      </c>
      <c r="B3462" t="inlineStr">
        <is>
          <t>'附表10'!I34</t>
        </is>
      </c>
      <c r="C3462" t="inlineStr">
        <is>
          <t>excel_formula</t>
        </is>
      </c>
    </row>
    <row r="3463">
      <c r="A3463" t="inlineStr">
        <is>
          <t>附表10!Q59</t>
        </is>
      </c>
      <c r="B3463" t="inlineStr">
        <is>
          <t>'附表10'!I35</t>
        </is>
      </c>
      <c r="C3463" t="inlineStr">
        <is>
          <t>excel_formula</t>
        </is>
      </c>
    </row>
    <row r="3464">
      <c r="A3464" t="inlineStr">
        <is>
          <t>附表10!R59</t>
        </is>
      </c>
      <c r="B3464" t="inlineStr">
        <is>
          <t>'附表10'!I36</t>
        </is>
      </c>
      <c r="C3464" t="inlineStr">
        <is>
          <t>excel_formula</t>
        </is>
      </c>
    </row>
    <row r="3465">
      <c r="A3465" t="inlineStr">
        <is>
          <t>附表10!S59</t>
        </is>
      </c>
      <c r="B3465" t="inlineStr">
        <is>
          <t>'附表10'!I37</t>
        </is>
      </c>
      <c r="C3465" t="inlineStr">
        <is>
          <t>excel_formula</t>
        </is>
      </c>
    </row>
    <row r="3466">
      <c r="A3466" t="inlineStr">
        <is>
          <t>附表10!T59</t>
        </is>
      </c>
      <c r="B3466" t="inlineStr">
        <is>
          <t>'附表10'!I38</t>
        </is>
      </c>
      <c r="C3466" t="inlineStr">
        <is>
          <t>excel_formula</t>
        </is>
      </c>
    </row>
    <row r="3467">
      <c r="A3467" t="inlineStr">
        <is>
          <t>附表10!U59</t>
        </is>
      </c>
      <c r="B3467" t="inlineStr">
        <is>
          <t>'附表10'!I39</t>
        </is>
      </c>
      <c r="C3467" t="inlineStr">
        <is>
          <t>excel_formula</t>
        </is>
      </c>
    </row>
    <row r="3468">
      <c r="A3468" t="inlineStr">
        <is>
          <t>附表10!V59</t>
        </is>
      </c>
      <c r="B3468" t="inlineStr">
        <is>
          <t>'附表10'!I40</t>
        </is>
      </c>
      <c r="C3468" t="inlineStr">
        <is>
          <t>excel_formula</t>
        </is>
      </c>
    </row>
    <row r="3469">
      <c r="A3469" t="inlineStr">
        <is>
          <t>附表10!W59</t>
        </is>
      </c>
      <c r="B3469" t="inlineStr">
        <is>
          <t>'附表10'!I41</t>
        </is>
      </c>
      <c r="C3469" t="inlineStr">
        <is>
          <t>excel_formula</t>
        </is>
      </c>
    </row>
    <row r="3470">
      <c r="A3470" t="inlineStr">
        <is>
          <t>附表10!X59</t>
        </is>
      </c>
      <c r="B3470" t="inlineStr">
        <is>
          <t>'附表10'!I42</t>
        </is>
      </c>
      <c r="C3470" t="inlineStr">
        <is>
          <t>excel_formula</t>
        </is>
      </c>
    </row>
    <row r="3471">
      <c r="A3471" t="inlineStr">
        <is>
          <t>附表10!Y59</t>
        </is>
      </c>
      <c r="B3471" t="inlineStr">
        <is>
          <t>'附表10'!I43</t>
        </is>
      </c>
      <c r="C3471" t="inlineStr">
        <is>
          <t>excel_formula</t>
        </is>
      </c>
    </row>
    <row r="3472">
      <c r="A3472" t="inlineStr">
        <is>
          <t>附表10!Z59</t>
        </is>
      </c>
      <c r="B3472" t="inlineStr">
        <is>
          <t>'附表10'!I44</t>
        </is>
      </c>
      <c r="C3472" t="inlineStr">
        <is>
          <t>excel_formula</t>
        </is>
      </c>
    </row>
    <row r="3473">
      <c r="A3473" t="inlineStr">
        <is>
          <t>附表10!B60</t>
        </is>
      </c>
      <c r="B3473" t="inlineStr">
        <is>
          <t>'附表10'!M20</t>
        </is>
      </c>
      <c r="C3473" t="inlineStr">
        <is>
          <t>excel_formula</t>
        </is>
      </c>
    </row>
    <row r="3474">
      <c r="A3474" t="inlineStr">
        <is>
          <t>附表10!C60</t>
        </is>
      </c>
      <c r="B3474" t="inlineStr">
        <is>
          <t>'附表10'!M21</t>
        </is>
      </c>
      <c r="C3474" t="inlineStr">
        <is>
          <t>excel_formula</t>
        </is>
      </c>
    </row>
    <row r="3475">
      <c r="A3475" t="inlineStr">
        <is>
          <t>附表10!D60</t>
        </is>
      </c>
      <c r="B3475" t="inlineStr">
        <is>
          <t>'附表10'!M22</t>
        </is>
      </c>
      <c r="C3475" t="inlineStr">
        <is>
          <t>excel_formula</t>
        </is>
      </c>
    </row>
    <row r="3476">
      <c r="A3476" t="inlineStr">
        <is>
          <t>附表10!E60</t>
        </is>
      </c>
      <c r="B3476" t="inlineStr">
        <is>
          <t>'附表10'!M23</t>
        </is>
      </c>
      <c r="C3476" t="inlineStr">
        <is>
          <t>excel_formula</t>
        </is>
      </c>
    </row>
    <row r="3477">
      <c r="A3477" t="inlineStr">
        <is>
          <t>附表10!F60</t>
        </is>
      </c>
      <c r="B3477" t="inlineStr">
        <is>
          <t>'附表10'!M24</t>
        </is>
      </c>
      <c r="C3477" t="inlineStr">
        <is>
          <t>excel_formula</t>
        </is>
      </c>
    </row>
    <row r="3478">
      <c r="A3478" t="inlineStr">
        <is>
          <t>附表10!G60</t>
        </is>
      </c>
      <c r="B3478" t="inlineStr">
        <is>
          <t>'附表10'!M25</t>
        </is>
      </c>
      <c r="C3478" t="inlineStr">
        <is>
          <t>excel_formula</t>
        </is>
      </c>
    </row>
    <row r="3479">
      <c r="A3479" t="inlineStr">
        <is>
          <t>附表10!H60</t>
        </is>
      </c>
      <c r="B3479" t="inlineStr">
        <is>
          <t>'附表10'!M26</t>
        </is>
      </c>
      <c r="C3479" t="inlineStr">
        <is>
          <t>excel_formula</t>
        </is>
      </c>
    </row>
    <row r="3480">
      <c r="A3480" t="inlineStr">
        <is>
          <t>附表10!I60</t>
        </is>
      </c>
      <c r="B3480" t="inlineStr">
        <is>
          <t>'附表10'!M27</t>
        </is>
      </c>
      <c r="C3480" t="inlineStr">
        <is>
          <t>excel_formula</t>
        </is>
      </c>
    </row>
    <row r="3481">
      <c r="A3481" t="inlineStr">
        <is>
          <t>附表10!J60</t>
        </is>
      </c>
      <c r="B3481" t="inlineStr">
        <is>
          <t>'附表10'!M28</t>
        </is>
      </c>
      <c r="C3481" t="inlineStr">
        <is>
          <t>excel_formula</t>
        </is>
      </c>
    </row>
    <row r="3482">
      <c r="A3482" t="inlineStr">
        <is>
          <t>附表10!K60</t>
        </is>
      </c>
      <c r="B3482" t="inlineStr">
        <is>
          <t>'附表10'!M29</t>
        </is>
      </c>
      <c r="C3482" t="inlineStr">
        <is>
          <t>excel_formula</t>
        </is>
      </c>
    </row>
    <row r="3483">
      <c r="A3483" t="inlineStr">
        <is>
          <t>附表10!L60</t>
        </is>
      </c>
      <c r="B3483" t="inlineStr">
        <is>
          <t>'附表10'!M30</t>
        </is>
      </c>
      <c r="C3483" t="inlineStr">
        <is>
          <t>excel_formula</t>
        </is>
      </c>
    </row>
    <row r="3484">
      <c r="A3484" t="inlineStr">
        <is>
          <t>附表10!M60</t>
        </is>
      </c>
      <c r="B3484" t="inlineStr">
        <is>
          <t>'附表10'!M31</t>
        </is>
      </c>
      <c r="C3484" t="inlineStr">
        <is>
          <t>excel_formula</t>
        </is>
      </c>
    </row>
    <row r="3485">
      <c r="A3485" t="inlineStr">
        <is>
          <t>附表10!N60</t>
        </is>
      </c>
      <c r="B3485" t="inlineStr">
        <is>
          <t>'附表10'!M32</t>
        </is>
      </c>
      <c r="C3485" t="inlineStr">
        <is>
          <t>excel_formula</t>
        </is>
      </c>
    </row>
    <row r="3486">
      <c r="A3486" t="inlineStr">
        <is>
          <t>附表10!O60</t>
        </is>
      </c>
      <c r="B3486" t="inlineStr">
        <is>
          <t>'附表10'!M33</t>
        </is>
      </c>
      <c r="C3486" t="inlineStr">
        <is>
          <t>excel_formula</t>
        </is>
      </c>
    </row>
    <row r="3487">
      <c r="A3487" t="inlineStr">
        <is>
          <t>附表10!P60</t>
        </is>
      </c>
      <c r="B3487" t="inlineStr">
        <is>
          <t>'附表10'!M34</t>
        </is>
      </c>
      <c r="C3487" t="inlineStr">
        <is>
          <t>excel_formula</t>
        </is>
      </c>
    </row>
    <row r="3488">
      <c r="A3488" t="inlineStr">
        <is>
          <t>附表10!Q60</t>
        </is>
      </c>
      <c r="B3488" t="inlineStr">
        <is>
          <t>'附表10'!M35</t>
        </is>
      </c>
      <c r="C3488" t="inlineStr">
        <is>
          <t>excel_formula</t>
        </is>
      </c>
    </row>
    <row r="3489">
      <c r="A3489" t="inlineStr">
        <is>
          <t>附表10!R60</t>
        </is>
      </c>
      <c r="B3489" t="inlineStr">
        <is>
          <t>'附表10'!M36</t>
        </is>
      </c>
      <c r="C3489" t="inlineStr">
        <is>
          <t>excel_formula</t>
        </is>
      </c>
    </row>
    <row r="3490">
      <c r="A3490" t="inlineStr">
        <is>
          <t>附表10!S60</t>
        </is>
      </c>
      <c r="B3490" t="inlineStr">
        <is>
          <t>'附表10'!M37</t>
        </is>
      </c>
      <c r="C3490" t="inlineStr">
        <is>
          <t>excel_formula</t>
        </is>
      </c>
    </row>
    <row r="3491">
      <c r="A3491" t="inlineStr">
        <is>
          <t>附表10!T60</t>
        </is>
      </c>
      <c r="B3491" t="inlineStr">
        <is>
          <t>'附表10'!M38</t>
        </is>
      </c>
      <c r="C3491" t="inlineStr">
        <is>
          <t>excel_formula</t>
        </is>
      </c>
    </row>
    <row r="3492">
      <c r="A3492" t="inlineStr">
        <is>
          <t>附表10!U60</t>
        </is>
      </c>
      <c r="B3492" t="inlineStr">
        <is>
          <t>'附表10'!M39</t>
        </is>
      </c>
      <c r="C3492" t="inlineStr">
        <is>
          <t>excel_formula</t>
        </is>
      </c>
    </row>
    <row r="3493">
      <c r="A3493" t="inlineStr">
        <is>
          <t>附表10!V60</t>
        </is>
      </c>
      <c r="B3493" t="inlineStr">
        <is>
          <t>'附表10'!M40</t>
        </is>
      </c>
      <c r="C3493" t="inlineStr">
        <is>
          <t>excel_formula</t>
        </is>
      </c>
    </row>
    <row r="3494">
      <c r="A3494" t="inlineStr">
        <is>
          <t>附表10!W60</t>
        </is>
      </c>
      <c r="B3494" t="inlineStr">
        <is>
          <t>'附表10'!M41</t>
        </is>
      </c>
      <c r="C3494" t="inlineStr">
        <is>
          <t>excel_formula</t>
        </is>
      </c>
    </row>
    <row r="3495">
      <c r="A3495" t="inlineStr">
        <is>
          <t>附表10!X60</t>
        </is>
      </c>
      <c r="B3495" t="inlineStr">
        <is>
          <t>'附表10'!M42</t>
        </is>
      </c>
      <c r="C3495" t="inlineStr">
        <is>
          <t>excel_formula</t>
        </is>
      </c>
    </row>
    <row r="3496">
      <c r="A3496" t="inlineStr">
        <is>
          <t>附表10!Y60</t>
        </is>
      </c>
      <c r="B3496" t="inlineStr">
        <is>
          <t>'附表10'!M43</t>
        </is>
      </c>
      <c r="C3496" t="inlineStr">
        <is>
          <t>excel_formula</t>
        </is>
      </c>
    </row>
    <row r="3497">
      <c r="A3497" t="inlineStr">
        <is>
          <t>附表10!Z60</t>
        </is>
      </c>
      <c r="B3497" t="inlineStr">
        <is>
          <t>'附表10'!M44</t>
        </is>
      </c>
      <c r="C3497" t="inlineStr">
        <is>
          <t>excel_formula</t>
        </is>
      </c>
    </row>
    <row r="3498">
      <c r="A3498" t="inlineStr">
        <is>
          <t>附表10!B61</t>
        </is>
      </c>
      <c r="B3498" t="inlineStr">
        <is>
          <t>'附表10'!N20</t>
        </is>
      </c>
      <c r="C3498" t="inlineStr">
        <is>
          <t>excel_formula</t>
        </is>
      </c>
    </row>
    <row r="3499">
      <c r="A3499" t="inlineStr">
        <is>
          <t>附表10!C61</t>
        </is>
      </c>
      <c r="B3499" t="inlineStr">
        <is>
          <t>'附表10'!N21</t>
        </is>
      </c>
      <c r="C3499" t="inlineStr">
        <is>
          <t>excel_formula</t>
        </is>
      </c>
    </row>
    <row r="3500">
      <c r="A3500" t="inlineStr">
        <is>
          <t>附表10!D61</t>
        </is>
      </c>
      <c r="B3500" t="inlineStr">
        <is>
          <t>'附表10'!N22</t>
        </is>
      </c>
      <c r="C3500" t="inlineStr">
        <is>
          <t>excel_formula</t>
        </is>
      </c>
    </row>
    <row r="3501">
      <c r="A3501" t="inlineStr">
        <is>
          <t>附表10!E61</t>
        </is>
      </c>
      <c r="B3501" t="inlineStr">
        <is>
          <t>'附表10'!N23</t>
        </is>
      </c>
      <c r="C3501" t="inlineStr">
        <is>
          <t>excel_formula</t>
        </is>
      </c>
    </row>
    <row r="3502">
      <c r="A3502" t="inlineStr">
        <is>
          <t>附表10!F61</t>
        </is>
      </c>
      <c r="B3502" t="inlineStr">
        <is>
          <t>'附表10'!N24</t>
        </is>
      </c>
      <c r="C3502" t="inlineStr">
        <is>
          <t>excel_formula</t>
        </is>
      </c>
    </row>
    <row r="3503">
      <c r="A3503" t="inlineStr">
        <is>
          <t>附表10!G61</t>
        </is>
      </c>
      <c r="B3503" t="inlineStr">
        <is>
          <t>'附表10'!N25</t>
        </is>
      </c>
      <c r="C3503" t="inlineStr">
        <is>
          <t>excel_formula</t>
        </is>
      </c>
    </row>
    <row r="3504">
      <c r="A3504" t="inlineStr">
        <is>
          <t>附表10!H61</t>
        </is>
      </c>
      <c r="B3504" t="inlineStr">
        <is>
          <t>'附表10'!N26</t>
        </is>
      </c>
      <c r="C3504" t="inlineStr">
        <is>
          <t>excel_formula</t>
        </is>
      </c>
    </row>
    <row r="3505">
      <c r="A3505" t="inlineStr">
        <is>
          <t>附表10!I61</t>
        </is>
      </c>
      <c r="B3505" t="inlineStr">
        <is>
          <t>'附表10'!N27</t>
        </is>
      </c>
      <c r="C3505" t="inlineStr">
        <is>
          <t>excel_formula</t>
        </is>
      </c>
    </row>
    <row r="3506">
      <c r="A3506" t="inlineStr">
        <is>
          <t>附表10!J61</t>
        </is>
      </c>
      <c r="B3506" t="inlineStr">
        <is>
          <t>'附表10'!N28</t>
        </is>
      </c>
      <c r="C3506" t="inlineStr">
        <is>
          <t>excel_formula</t>
        </is>
      </c>
    </row>
    <row r="3507">
      <c r="A3507" t="inlineStr">
        <is>
          <t>附表10!K61</t>
        </is>
      </c>
      <c r="B3507" t="inlineStr">
        <is>
          <t>'附表10'!N29</t>
        </is>
      </c>
      <c r="C3507" t="inlineStr">
        <is>
          <t>excel_formula</t>
        </is>
      </c>
    </row>
    <row r="3508">
      <c r="A3508" t="inlineStr">
        <is>
          <t>附表10!L61</t>
        </is>
      </c>
      <c r="B3508" t="inlineStr">
        <is>
          <t>'附表10'!N30</t>
        </is>
      </c>
      <c r="C3508" t="inlineStr">
        <is>
          <t>excel_formula</t>
        </is>
      </c>
    </row>
    <row r="3509">
      <c r="A3509" t="inlineStr">
        <is>
          <t>附表10!M61</t>
        </is>
      </c>
      <c r="B3509" t="inlineStr">
        <is>
          <t>'附表10'!N31</t>
        </is>
      </c>
      <c r="C3509" t="inlineStr">
        <is>
          <t>excel_formula</t>
        </is>
      </c>
    </row>
    <row r="3510">
      <c r="A3510" t="inlineStr">
        <is>
          <t>附表10!N61</t>
        </is>
      </c>
      <c r="B3510" t="inlineStr">
        <is>
          <t>'附表10'!N32</t>
        </is>
      </c>
      <c r="C3510" t="inlineStr">
        <is>
          <t>excel_formula</t>
        </is>
      </c>
    </row>
    <row r="3511">
      <c r="A3511" t="inlineStr">
        <is>
          <t>附表10!O61</t>
        </is>
      </c>
      <c r="B3511" t="inlineStr">
        <is>
          <t>'附表10'!N33</t>
        </is>
      </c>
      <c r="C3511" t="inlineStr">
        <is>
          <t>excel_formula</t>
        </is>
      </c>
    </row>
    <row r="3512">
      <c r="A3512" t="inlineStr">
        <is>
          <t>附表10!P61</t>
        </is>
      </c>
      <c r="B3512" t="inlineStr">
        <is>
          <t>'附表10'!N34</t>
        </is>
      </c>
      <c r="C3512" t="inlineStr">
        <is>
          <t>excel_formula</t>
        </is>
      </c>
    </row>
    <row r="3513">
      <c r="A3513" t="inlineStr">
        <is>
          <t>附表10!Q61</t>
        </is>
      </c>
      <c r="B3513" t="inlineStr">
        <is>
          <t>'附表10'!N35</t>
        </is>
      </c>
      <c r="C3513" t="inlineStr">
        <is>
          <t>excel_formula</t>
        </is>
      </c>
    </row>
    <row r="3514">
      <c r="A3514" t="inlineStr">
        <is>
          <t>附表10!R61</t>
        </is>
      </c>
      <c r="B3514" t="inlineStr">
        <is>
          <t>'附表10'!N36</t>
        </is>
      </c>
      <c r="C3514" t="inlineStr">
        <is>
          <t>excel_formula</t>
        </is>
      </c>
    </row>
    <row r="3515">
      <c r="A3515" t="inlineStr">
        <is>
          <t>附表10!S61</t>
        </is>
      </c>
      <c r="B3515" t="inlineStr">
        <is>
          <t>'附表10'!N37</t>
        </is>
      </c>
      <c r="C3515" t="inlineStr">
        <is>
          <t>excel_formula</t>
        </is>
      </c>
    </row>
    <row r="3516">
      <c r="A3516" t="inlineStr">
        <is>
          <t>附表10!T61</t>
        </is>
      </c>
      <c r="B3516" t="inlineStr">
        <is>
          <t>'附表10'!N38</t>
        </is>
      </c>
      <c r="C3516" t="inlineStr">
        <is>
          <t>excel_formula</t>
        </is>
      </c>
    </row>
    <row r="3517">
      <c r="A3517" t="inlineStr">
        <is>
          <t>附表10!U61</t>
        </is>
      </c>
      <c r="B3517" t="inlineStr">
        <is>
          <t>'附表10'!N39</t>
        </is>
      </c>
      <c r="C3517" t="inlineStr">
        <is>
          <t>excel_formula</t>
        </is>
      </c>
    </row>
    <row r="3518">
      <c r="A3518" t="inlineStr">
        <is>
          <t>附表10!V61</t>
        </is>
      </c>
      <c r="B3518" t="inlineStr">
        <is>
          <t>'附表10'!N40</t>
        </is>
      </c>
      <c r="C3518" t="inlineStr">
        <is>
          <t>excel_formula</t>
        </is>
      </c>
    </row>
    <row r="3519">
      <c r="A3519" t="inlineStr">
        <is>
          <t>附表10!W61</t>
        </is>
      </c>
      <c r="B3519" t="inlineStr">
        <is>
          <t>'附表10'!N41</t>
        </is>
      </c>
      <c r="C3519" t="inlineStr">
        <is>
          <t>excel_formula</t>
        </is>
      </c>
    </row>
    <row r="3520">
      <c r="A3520" t="inlineStr">
        <is>
          <t>附表10!X61</t>
        </is>
      </c>
      <c r="B3520" t="inlineStr">
        <is>
          <t>'附表10'!N42</t>
        </is>
      </c>
      <c r="C3520" t="inlineStr">
        <is>
          <t>excel_formula</t>
        </is>
      </c>
    </row>
    <row r="3521">
      <c r="A3521" t="inlineStr">
        <is>
          <t>附表10!Y61</t>
        </is>
      </c>
      <c r="B3521" t="inlineStr">
        <is>
          <t>'附表10'!N43</t>
        </is>
      </c>
      <c r="C3521" t="inlineStr">
        <is>
          <t>excel_formula</t>
        </is>
      </c>
    </row>
    <row r="3522">
      <c r="A3522" t="inlineStr">
        <is>
          <t>附表10!Z61</t>
        </is>
      </c>
      <c r="B3522" t="inlineStr">
        <is>
          <t>'附表10'!N44</t>
        </is>
      </c>
      <c r="C3522" t="inlineStr">
        <is>
          <t>excel_formula</t>
        </is>
      </c>
    </row>
    <row r="3523">
      <c r="A3523" t="inlineStr">
        <is>
          <t>附表10!B63</t>
        </is>
      </c>
      <c r="B3523" t="inlineStr">
        <is>
          <t>'附表10'!O20</t>
        </is>
      </c>
      <c r="C3523" t="inlineStr">
        <is>
          <t>excel_formula</t>
        </is>
      </c>
    </row>
    <row r="3524">
      <c r="A3524" t="inlineStr">
        <is>
          <t>附表10!C63</t>
        </is>
      </c>
      <c r="B3524" t="inlineStr">
        <is>
          <t>'附表10'!O21</t>
        </is>
      </c>
      <c r="C3524" t="inlineStr">
        <is>
          <t>excel_formula</t>
        </is>
      </c>
    </row>
    <row r="3525">
      <c r="A3525" t="inlineStr">
        <is>
          <t>附表10!D63</t>
        </is>
      </c>
      <c r="B3525" t="inlineStr">
        <is>
          <t>'附表10'!O22</t>
        </is>
      </c>
      <c r="C3525" t="inlineStr">
        <is>
          <t>excel_formula</t>
        </is>
      </c>
    </row>
    <row r="3526">
      <c r="A3526" t="inlineStr">
        <is>
          <t>附表10!E63</t>
        </is>
      </c>
      <c r="B3526" t="inlineStr">
        <is>
          <t>'附表10'!O23</t>
        </is>
      </c>
      <c r="C3526" t="inlineStr">
        <is>
          <t>excel_formula</t>
        </is>
      </c>
    </row>
    <row r="3527">
      <c r="A3527" t="inlineStr">
        <is>
          <t>附表10!F63</t>
        </is>
      </c>
      <c r="B3527" t="inlineStr">
        <is>
          <t>'附表10'!O24</t>
        </is>
      </c>
      <c r="C3527" t="inlineStr">
        <is>
          <t>excel_formula</t>
        </is>
      </c>
    </row>
    <row r="3528">
      <c r="A3528" t="inlineStr">
        <is>
          <t>附表10!G63</t>
        </is>
      </c>
      <c r="B3528" t="inlineStr">
        <is>
          <t>'附表10'!O25</t>
        </is>
      </c>
      <c r="C3528" t="inlineStr">
        <is>
          <t>excel_formula</t>
        </is>
      </c>
    </row>
    <row r="3529">
      <c r="A3529" t="inlineStr">
        <is>
          <t>附表10!H63</t>
        </is>
      </c>
      <c r="B3529" t="inlineStr">
        <is>
          <t>'附表10'!O26</t>
        </is>
      </c>
      <c r="C3529" t="inlineStr">
        <is>
          <t>excel_formula</t>
        </is>
      </c>
    </row>
    <row r="3530">
      <c r="A3530" t="inlineStr">
        <is>
          <t>附表10!I63</t>
        </is>
      </c>
      <c r="B3530" t="inlineStr">
        <is>
          <t>'附表10'!O27</t>
        </is>
      </c>
      <c r="C3530" t="inlineStr">
        <is>
          <t>excel_formula</t>
        </is>
      </c>
    </row>
    <row r="3531">
      <c r="A3531" t="inlineStr">
        <is>
          <t>附表10!J63</t>
        </is>
      </c>
      <c r="B3531" t="inlineStr">
        <is>
          <t>'附表10'!O28</t>
        </is>
      </c>
      <c r="C3531" t="inlineStr">
        <is>
          <t>excel_formula</t>
        </is>
      </c>
    </row>
    <row r="3532">
      <c r="A3532" t="inlineStr">
        <is>
          <t>附表10!K63</t>
        </is>
      </c>
      <c r="B3532" t="inlineStr">
        <is>
          <t>'附表10'!O29</t>
        </is>
      </c>
      <c r="C3532" t="inlineStr">
        <is>
          <t>excel_formula</t>
        </is>
      </c>
    </row>
    <row r="3533">
      <c r="A3533" t="inlineStr">
        <is>
          <t>附表10!L63</t>
        </is>
      </c>
      <c r="B3533" t="inlineStr">
        <is>
          <t>'附表10'!O30</t>
        </is>
      </c>
      <c r="C3533" t="inlineStr">
        <is>
          <t>excel_formula</t>
        </is>
      </c>
    </row>
    <row r="3534">
      <c r="A3534" t="inlineStr">
        <is>
          <t>附表10!M63</t>
        </is>
      </c>
      <c r="B3534" t="inlineStr">
        <is>
          <t>'附表10'!O31</t>
        </is>
      </c>
      <c r="C3534" t="inlineStr">
        <is>
          <t>excel_formula</t>
        </is>
      </c>
    </row>
    <row r="3535">
      <c r="A3535" t="inlineStr">
        <is>
          <t>附表10!N63</t>
        </is>
      </c>
      <c r="B3535" t="inlineStr">
        <is>
          <t>'附表10'!O32</t>
        </is>
      </c>
      <c r="C3535" t="inlineStr">
        <is>
          <t>excel_formula</t>
        </is>
      </c>
    </row>
    <row r="3536">
      <c r="A3536" t="inlineStr">
        <is>
          <t>附表10!O63</t>
        </is>
      </c>
      <c r="B3536" t="inlineStr">
        <is>
          <t>'附表10'!O33</t>
        </is>
      </c>
      <c r="C3536" t="inlineStr">
        <is>
          <t>excel_formula</t>
        </is>
      </c>
    </row>
    <row r="3537">
      <c r="A3537" t="inlineStr">
        <is>
          <t>附表10!P63</t>
        </is>
      </c>
      <c r="B3537" t="inlineStr">
        <is>
          <t>'附表10'!O34</t>
        </is>
      </c>
      <c r="C3537" t="inlineStr">
        <is>
          <t>excel_formula</t>
        </is>
      </c>
    </row>
    <row r="3538">
      <c r="A3538" t="inlineStr">
        <is>
          <t>附表10!Q63</t>
        </is>
      </c>
      <c r="B3538" t="inlineStr">
        <is>
          <t>'附表10'!O35</t>
        </is>
      </c>
      <c r="C3538" t="inlineStr">
        <is>
          <t>excel_formula</t>
        </is>
      </c>
    </row>
    <row r="3539">
      <c r="A3539" t="inlineStr">
        <is>
          <t>附表10!R63</t>
        </is>
      </c>
      <c r="B3539" t="inlineStr">
        <is>
          <t>'附表10'!O36</t>
        </is>
      </c>
      <c r="C3539" t="inlineStr">
        <is>
          <t>excel_formula</t>
        </is>
      </c>
    </row>
    <row r="3540">
      <c r="A3540" t="inlineStr">
        <is>
          <t>附表10!S63</t>
        </is>
      </c>
      <c r="B3540" t="inlineStr">
        <is>
          <t>'附表10'!O37</t>
        </is>
      </c>
      <c r="C3540" t="inlineStr">
        <is>
          <t>excel_formula</t>
        </is>
      </c>
    </row>
    <row r="3541">
      <c r="A3541" t="inlineStr">
        <is>
          <t>附表10!T63</t>
        </is>
      </c>
      <c r="B3541" t="inlineStr">
        <is>
          <t>'附表10'!O38</t>
        </is>
      </c>
      <c r="C3541" t="inlineStr">
        <is>
          <t>excel_formula</t>
        </is>
      </c>
    </row>
    <row r="3542">
      <c r="A3542" t="inlineStr">
        <is>
          <t>附表10!U63</t>
        </is>
      </c>
      <c r="B3542" t="inlineStr">
        <is>
          <t>'附表10'!O39</t>
        </is>
      </c>
      <c r="C3542" t="inlineStr">
        <is>
          <t>excel_formula</t>
        </is>
      </c>
    </row>
    <row r="3543">
      <c r="A3543" t="inlineStr">
        <is>
          <t>附表10!V63</t>
        </is>
      </c>
      <c r="B3543" t="inlineStr">
        <is>
          <t>'附表10'!O40</t>
        </is>
      </c>
      <c r="C3543" t="inlineStr">
        <is>
          <t>excel_formula</t>
        </is>
      </c>
    </row>
    <row r="3544">
      <c r="A3544" t="inlineStr">
        <is>
          <t>附表10!W63</t>
        </is>
      </c>
      <c r="B3544" t="inlineStr">
        <is>
          <t>'附表10'!O41</t>
        </is>
      </c>
      <c r="C3544" t="inlineStr">
        <is>
          <t>excel_formula</t>
        </is>
      </c>
    </row>
    <row r="3545">
      <c r="A3545" t="inlineStr">
        <is>
          <t>附表10!X63</t>
        </is>
      </c>
      <c r="B3545" t="inlineStr">
        <is>
          <t>'附表10'!O42</t>
        </is>
      </c>
      <c r="C3545" t="inlineStr">
        <is>
          <t>excel_formula</t>
        </is>
      </c>
    </row>
    <row r="3546">
      <c r="A3546" t="inlineStr">
        <is>
          <t>附表10!Y63</t>
        </is>
      </c>
      <c r="B3546" t="inlineStr">
        <is>
          <t>'附表10'!O43</t>
        </is>
      </c>
      <c r="C3546" t="inlineStr">
        <is>
          <t>excel_formula</t>
        </is>
      </c>
    </row>
    <row r="3547">
      <c r="A3547" t="inlineStr">
        <is>
          <t>附表10!Z63</t>
        </is>
      </c>
      <c r="B3547" t="inlineStr">
        <is>
          <t>'附表10'!O44</t>
        </is>
      </c>
      <c r="C3547" t="inlineStr">
        <is>
          <t>excel_formula</t>
        </is>
      </c>
    </row>
    <row r="3548">
      <c r="A3548" t="inlineStr">
        <is>
          <t>附表2!D4</t>
        </is>
      </c>
      <c r="B3548" t="inlineStr">
        <is>
          <t>附表2!B14</t>
        </is>
      </c>
      <c r="C3548" t="inlineStr">
        <is>
          <t>excel_formula</t>
        </is>
      </c>
    </row>
    <row r="3549">
      <c r="A3549" t="inlineStr">
        <is>
          <t>附表2!D5</t>
        </is>
      </c>
      <c r="B3549" t="inlineStr">
        <is>
          <t>附表2!C14</t>
        </is>
      </c>
      <c r="C3549" t="inlineStr">
        <is>
          <t>excel_formula</t>
        </is>
      </c>
    </row>
    <row r="3550">
      <c r="A3550" t="inlineStr">
        <is>
          <t>附表2!D7</t>
        </is>
      </c>
      <c r="B3550" t="inlineStr">
        <is>
          <t>附表2!E14</t>
        </is>
      </c>
      <c r="C3550" t="inlineStr">
        <is>
          <t>excel_formula</t>
        </is>
      </c>
    </row>
    <row r="3551">
      <c r="A3551" t="inlineStr">
        <is>
          <t>附表2!D8</t>
        </is>
      </c>
      <c r="B3551" t="inlineStr">
        <is>
          <t>附表2!F14</t>
        </is>
      </c>
      <c r="C3551" t="inlineStr">
        <is>
          <t>excel_formula</t>
        </is>
      </c>
    </row>
    <row r="3552">
      <c r="A3552" t="inlineStr">
        <is>
          <t>附表2!D10</t>
        </is>
      </c>
      <c r="B3552" t="inlineStr">
        <is>
          <t>附表2!E14</t>
        </is>
      </c>
      <c r="C3552" t="inlineStr">
        <is>
          <t>excel_formula</t>
        </is>
      </c>
    </row>
    <row r="3553">
      <c r="A3553" t="inlineStr">
        <is>
          <t>附表5!E4</t>
        </is>
      </c>
      <c r="B3553" t="inlineStr">
        <is>
          <t>附表5!B16</t>
        </is>
      </c>
      <c r="C3553" t="inlineStr">
        <is>
          <t>excel_formula</t>
        </is>
      </c>
    </row>
    <row r="3554">
      <c r="A3554" t="inlineStr">
        <is>
          <t>附表5!F4</t>
        </is>
      </c>
      <c r="B3554" t="inlineStr">
        <is>
          <t>附表5!B17</t>
        </is>
      </c>
      <c r="C3554" t="inlineStr">
        <is>
          <t>excel_formula</t>
        </is>
      </c>
    </row>
    <row r="3555">
      <c r="A3555" t="inlineStr">
        <is>
          <t>附表5!G4</t>
        </is>
      </c>
      <c r="B3555" t="inlineStr">
        <is>
          <t>附表5!B18</t>
        </is>
      </c>
      <c r="C3555" t="inlineStr">
        <is>
          <t>excel_formula</t>
        </is>
      </c>
    </row>
    <row r="3556">
      <c r="A3556" t="inlineStr">
        <is>
          <t>附表5!H4</t>
        </is>
      </c>
      <c r="B3556" t="inlineStr">
        <is>
          <t>附表5!B19</t>
        </is>
      </c>
      <c r="C3556" t="inlineStr">
        <is>
          <t>excel_formula</t>
        </is>
      </c>
    </row>
    <row r="3557">
      <c r="A3557" t="inlineStr">
        <is>
          <t>附表5!I4</t>
        </is>
      </c>
      <c r="B3557" t="inlineStr">
        <is>
          <t>附表5!B20</t>
        </is>
      </c>
      <c r="C3557" t="inlineStr">
        <is>
          <t>excel_formula</t>
        </is>
      </c>
    </row>
    <row r="3558">
      <c r="A3558" t="inlineStr">
        <is>
          <t>附表5!J4</t>
        </is>
      </c>
      <c r="B3558" t="inlineStr">
        <is>
          <t>附表5!B21</t>
        </is>
      </c>
      <c r="C3558" t="inlineStr">
        <is>
          <t>excel_formula</t>
        </is>
      </c>
    </row>
    <row r="3559">
      <c r="A3559" t="inlineStr">
        <is>
          <t>附表5!K4</t>
        </is>
      </c>
      <c r="B3559" t="inlineStr">
        <is>
          <t>附表5!B22</t>
        </is>
      </c>
      <c r="C3559" t="inlineStr">
        <is>
          <t>excel_formula</t>
        </is>
      </c>
    </row>
    <row r="3560">
      <c r="A3560" t="inlineStr">
        <is>
          <t>附表5!L4</t>
        </is>
      </c>
      <c r="B3560" t="inlineStr">
        <is>
          <t>附表5!B23</t>
        </is>
      </c>
      <c r="C3560" t="inlineStr">
        <is>
          <t>excel_formula</t>
        </is>
      </c>
    </row>
    <row r="3561">
      <c r="A3561" t="inlineStr">
        <is>
          <t>附表5!M4</t>
        </is>
      </c>
      <c r="B3561" t="inlineStr">
        <is>
          <t>附表5!B24</t>
        </is>
      </c>
      <c r="C3561" t="inlineStr">
        <is>
          <t>excel_formula</t>
        </is>
      </c>
    </row>
    <row r="3562">
      <c r="A3562" t="inlineStr">
        <is>
          <t>附表5!N4</t>
        </is>
      </c>
      <c r="B3562" t="inlineStr">
        <is>
          <t>附表5!B25</t>
        </is>
      </c>
      <c r="C3562" t="inlineStr">
        <is>
          <t>excel_formula</t>
        </is>
      </c>
    </row>
    <row r="3563">
      <c r="A3563" t="inlineStr">
        <is>
          <t>附表5!O4</t>
        </is>
      </c>
      <c r="B3563" t="inlineStr">
        <is>
          <t>附表5!B26</t>
        </is>
      </c>
      <c r="C3563" t="inlineStr">
        <is>
          <t>excel_formula</t>
        </is>
      </c>
    </row>
    <row r="3564">
      <c r="A3564" t="inlineStr">
        <is>
          <t>附表5!P4</t>
        </is>
      </c>
      <c r="B3564" t="inlineStr">
        <is>
          <t>附表5!B27</t>
        </is>
      </c>
      <c r="C3564" t="inlineStr">
        <is>
          <t>excel_formula</t>
        </is>
      </c>
    </row>
    <row r="3565">
      <c r="A3565" t="inlineStr">
        <is>
          <t>附表5!Q4</t>
        </is>
      </c>
      <c r="B3565" t="inlineStr">
        <is>
          <t>附表5!B28</t>
        </is>
      </c>
      <c r="C3565" t="inlineStr">
        <is>
          <t>excel_formula</t>
        </is>
      </c>
    </row>
    <row r="3566">
      <c r="A3566" t="inlineStr">
        <is>
          <t>附表5!R4</t>
        </is>
      </c>
      <c r="B3566" t="inlineStr">
        <is>
          <t>附表5!B29</t>
        </is>
      </c>
      <c r="C3566" t="inlineStr">
        <is>
          <t>excel_formula</t>
        </is>
      </c>
    </row>
    <row r="3567">
      <c r="A3567" t="inlineStr">
        <is>
          <t>附表5!S4</t>
        </is>
      </c>
      <c r="B3567" t="inlineStr">
        <is>
          <t>附表5!B30</t>
        </is>
      </c>
      <c r="C3567" t="inlineStr">
        <is>
          <t>excel_formula</t>
        </is>
      </c>
    </row>
    <row r="3568">
      <c r="A3568" t="inlineStr">
        <is>
          <t>附表5!T4</t>
        </is>
      </c>
      <c r="B3568" t="inlineStr">
        <is>
          <t>附表5!B31</t>
        </is>
      </c>
      <c r="C3568" t="inlineStr">
        <is>
          <t>excel_formula</t>
        </is>
      </c>
    </row>
    <row r="3569">
      <c r="A3569" t="inlineStr">
        <is>
          <t>附表5!U4</t>
        </is>
      </c>
      <c r="B3569" t="inlineStr">
        <is>
          <t>附表5!B32</t>
        </is>
      </c>
      <c r="C3569" t="inlineStr">
        <is>
          <t>excel_formula</t>
        </is>
      </c>
    </row>
    <row r="3570">
      <c r="A3570" t="inlineStr">
        <is>
          <t>附表5!V4</t>
        </is>
      </c>
      <c r="B3570" t="inlineStr">
        <is>
          <t>附表5!B33</t>
        </is>
      </c>
      <c r="C3570" t="inlineStr">
        <is>
          <t>excel_formula</t>
        </is>
      </c>
    </row>
    <row r="3571">
      <c r="A3571" t="inlineStr">
        <is>
          <t>附表5!W4</t>
        </is>
      </c>
      <c r="B3571" t="inlineStr">
        <is>
          <t>附表5!B34</t>
        </is>
      </c>
      <c r="C3571" t="inlineStr">
        <is>
          <t>excel_formula</t>
        </is>
      </c>
    </row>
    <row r="3572">
      <c r="A3572" t="inlineStr">
        <is>
          <t>附表5!X4</t>
        </is>
      </c>
      <c r="B3572" t="inlineStr">
        <is>
          <t>附表5!B35</t>
        </is>
      </c>
      <c r="C3572" t="inlineStr">
        <is>
          <t>excel_formula</t>
        </is>
      </c>
    </row>
    <row r="3573">
      <c r="A3573" t="inlineStr">
        <is>
          <t>附表5!Y4</t>
        </is>
      </c>
      <c r="B3573" t="inlineStr">
        <is>
          <t>附表5!B36</t>
        </is>
      </c>
      <c r="C3573" t="inlineStr">
        <is>
          <t>excel_formula</t>
        </is>
      </c>
    </row>
    <row r="3574">
      <c r="A3574" t="inlineStr">
        <is>
          <t>附表5!Z4</t>
        </is>
      </c>
      <c r="B3574" t="inlineStr">
        <is>
          <t>附表5!B37</t>
        </is>
      </c>
      <c r="C3574" t="inlineStr">
        <is>
          <t>excel_formula</t>
        </is>
      </c>
    </row>
    <row r="3575">
      <c r="A3575" t="inlineStr">
        <is>
          <t>附表5!AA4</t>
        </is>
      </c>
      <c r="B3575" t="inlineStr">
        <is>
          <t>附表5!B38</t>
        </is>
      </c>
      <c r="C3575" t="inlineStr">
        <is>
          <t>excel_formula</t>
        </is>
      </c>
    </row>
    <row r="3576">
      <c r="A3576" t="inlineStr">
        <is>
          <t>附表5!AB4</t>
        </is>
      </c>
      <c r="B3576" t="inlineStr">
        <is>
          <t>附表5!B39</t>
        </is>
      </c>
      <c r="C3576" t="inlineStr">
        <is>
          <t>excel_formula</t>
        </is>
      </c>
    </row>
    <row r="3577">
      <c r="A3577" t="inlineStr">
        <is>
          <t>附表5!E5</t>
        </is>
      </c>
      <c r="B3577" t="inlineStr">
        <is>
          <t>附表5!B16</t>
        </is>
      </c>
      <c r="C3577" t="inlineStr">
        <is>
          <t>excel_formula</t>
        </is>
      </c>
    </row>
    <row r="3578">
      <c r="A3578" t="inlineStr">
        <is>
          <t>附表5!F5</t>
        </is>
      </c>
      <c r="B3578" t="inlineStr">
        <is>
          <t>附表5!B17</t>
        </is>
      </c>
      <c r="C3578" t="inlineStr">
        <is>
          <t>excel_formula</t>
        </is>
      </c>
    </row>
    <row r="3579">
      <c r="A3579" t="inlineStr">
        <is>
          <t>附表5!G5</t>
        </is>
      </c>
      <c r="B3579" t="inlineStr">
        <is>
          <t>附表5!B18</t>
        </is>
      </c>
      <c r="C3579" t="inlineStr">
        <is>
          <t>excel_formula</t>
        </is>
      </c>
    </row>
    <row r="3580">
      <c r="A3580" t="inlineStr">
        <is>
          <t>附表5!H5</t>
        </is>
      </c>
      <c r="B3580" t="inlineStr">
        <is>
          <t>附表5!B19</t>
        </is>
      </c>
      <c r="C3580" t="inlineStr">
        <is>
          <t>excel_formula</t>
        </is>
      </c>
    </row>
    <row r="3581">
      <c r="A3581" t="inlineStr">
        <is>
          <t>附表5!I5</t>
        </is>
      </c>
      <c r="B3581" t="inlineStr">
        <is>
          <t>附表5!B20</t>
        </is>
      </c>
      <c r="C3581" t="inlineStr">
        <is>
          <t>excel_formula</t>
        </is>
      </c>
    </row>
    <row r="3582">
      <c r="A3582" t="inlineStr">
        <is>
          <t>附表5!J5</t>
        </is>
      </c>
      <c r="B3582" t="inlineStr">
        <is>
          <t>附表5!B21</t>
        </is>
      </c>
      <c r="C3582" t="inlineStr">
        <is>
          <t>excel_formula</t>
        </is>
      </c>
    </row>
    <row r="3583">
      <c r="A3583" t="inlineStr">
        <is>
          <t>附表5!K5</t>
        </is>
      </c>
      <c r="B3583" t="inlineStr">
        <is>
          <t>附表5!B22</t>
        </is>
      </c>
      <c r="C3583" t="inlineStr">
        <is>
          <t>excel_formula</t>
        </is>
      </c>
    </row>
    <row r="3584">
      <c r="A3584" t="inlineStr">
        <is>
          <t>附表5!L5</t>
        </is>
      </c>
      <c r="B3584" t="inlineStr">
        <is>
          <t>附表5!B23</t>
        </is>
      </c>
      <c r="C3584" t="inlineStr">
        <is>
          <t>excel_formula</t>
        </is>
      </c>
    </row>
    <row r="3585">
      <c r="A3585" t="inlineStr">
        <is>
          <t>附表5!M5</t>
        </is>
      </c>
      <c r="B3585" t="inlineStr">
        <is>
          <t>附表5!B24</t>
        </is>
      </c>
      <c r="C3585" t="inlineStr">
        <is>
          <t>excel_formula</t>
        </is>
      </c>
    </row>
    <row r="3586">
      <c r="A3586" t="inlineStr">
        <is>
          <t>附表5!N5</t>
        </is>
      </c>
      <c r="B3586" t="inlineStr">
        <is>
          <t>附表5!B25</t>
        </is>
      </c>
      <c r="C3586" t="inlineStr">
        <is>
          <t>excel_formula</t>
        </is>
      </c>
    </row>
    <row r="3587">
      <c r="A3587" t="inlineStr">
        <is>
          <t>附表5!O5</t>
        </is>
      </c>
      <c r="B3587" t="inlineStr">
        <is>
          <t>附表5!B26</t>
        </is>
      </c>
      <c r="C3587" t="inlineStr">
        <is>
          <t>excel_formula</t>
        </is>
      </c>
    </row>
    <row r="3588">
      <c r="A3588" t="inlineStr">
        <is>
          <t>附表5!P5</t>
        </is>
      </c>
      <c r="B3588" t="inlineStr">
        <is>
          <t>附表5!B27</t>
        </is>
      </c>
      <c r="C3588" t="inlineStr">
        <is>
          <t>excel_formula</t>
        </is>
      </c>
    </row>
    <row r="3589">
      <c r="A3589" t="inlineStr">
        <is>
          <t>附表5!Q5</t>
        </is>
      </c>
      <c r="B3589" t="inlineStr">
        <is>
          <t>附表5!B28</t>
        </is>
      </c>
      <c r="C3589" t="inlineStr">
        <is>
          <t>excel_formula</t>
        </is>
      </c>
    </row>
    <row r="3590">
      <c r="A3590" t="inlineStr">
        <is>
          <t>附表5!R5</t>
        </is>
      </c>
      <c r="B3590" t="inlineStr">
        <is>
          <t>附表5!B29</t>
        </is>
      </c>
      <c r="C3590" t="inlineStr">
        <is>
          <t>excel_formula</t>
        </is>
      </c>
    </row>
    <row r="3591">
      <c r="A3591" t="inlineStr">
        <is>
          <t>附表5!S5</t>
        </is>
      </c>
      <c r="B3591" t="inlineStr">
        <is>
          <t>附表5!B30</t>
        </is>
      </c>
      <c r="C3591" t="inlineStr">
        <is>
          <t>excel_formula</t>
        </is>
      </c>
    </row>
    <row r="3592">
      <c r="A3592" t="inlineStr">
        <is>
          <t>附表5!T5</t>
        </is>
      </c>
      <c r="B3592" t="inlineStr">
        <is>
          <t>附表5!B31</t>
        </is>
      </c>
      <c r="C3592" t="inlineStr">
        <is>
          <t>excel_formula</t>
        </is>
      </c>
    </row>
    <row r="3593">
      <c r="A3593" t="inlineStr">
        <is>
          <t>附表5!U5</t>
        </is>
      </c>
      <c r="B3593" t="inlineStr">
        <is>
          <t>附表5!B32</t>
        </is>
      </c>
      <c r="C3593" t="inlineStr">
        <is>
          <t>excel_formula</t>
        </is>
      </c>
    </row>
    <row r="3594">
      <c r="A3594" t="inlineStr">
        <is>
          <t>附表5!V5</t>
        </is>
      </c>
      <c r="B3594" t="inlineStr">
        <is>
          <t>附表5!B33</t>
        </is>
      </c>
      <c r="C3594" t="inlineStr">
        <is>
          <t>excel_formula</t>
        </is>
      </c>
    </row>
    <row r="3595">
      <c r="A3595" t="inlineStr">
        <is>
          <t>附表5!W5</t>
        </is>
      </c>
      <c r="B3595" t="inlineStr">
        <is>
          <t>附表5!B34</t>
        </is>
      </c>
      <c r="C3595" t="inlineStr">
        <is>
          <t>excel_formula</t>
        </is>
      </c>
    </row>
    <row r="3596">
      <c r="A3596" t="inlineStr">
        <is>
          <t>附表5!X5</t>
        </is>
      </c>
      <c r="B3596" t="inlineStr">
        <is>
          <t>附表5!B35</t>
        </is>
      </c>
      <c r="C3596" t="inlineStr">
        <is>
          <t>excel_formula</t>
        </is>
      </c>
    </row>
    <row r="3597">
      <c r="A3597" t="inlineStr">
        <is>
          <t>附表5!Y5</t>
        </is>
      </c>
      <c r="B3597" t="inlineStr">
        <is>
          <t>附表5!B36</t>
        </is>
      </c>
      <c r="C3597" t="inlineStr">
        <is>
          <t>excel_formula</t>
        </is>
      </c>
    </row>
    <row r="3598">
      <c r="A3598" t="inlineStr">
        <is>
          <t>附表5!Z5</t>
        </is>
      </c>
      <c r="B3598" t="inlineStr">
        <is>
          <t>附表5!B37</t>
        </is>
      </c>
      <c r="C3598" t="inlineStr">
        <is>
          <t>excel_formula</t>
        </is>
      </c>
    </row>
    <row r="3599">
      <c r="A3599" t="inlineStr">
        <is>
          <t>附表5!AA5</t>
        </is>
      </c>
      <c r="B3599" t="inlineStr">
        <is>
          <t>附表5!B38</t>
        </is>
      </c>
      <c r="C3599" t="inlineStr">
        <is>
          <t>excel_formula</t>
        </is>
      </c>
    </row>
    <row r="3600">
      <c r="A3600" t="inlineStr">
        <is>
          <t>附表5!AB5</t>
        </is>
      </c>
      <c r="B3600" t="inlineStr">
        <is>
          <t>附表5!B39</t>
        </is>
      </c>
      <c r="C3600" t="inlineStr">
        <is>
          <t>excel_formula</t>
        </is>
      </c>
    </row>
    <row r="3601">
      <c r="A3601" t="inlineStr">
        <is>
          <t>附表5!E6</t>
        </is>
      </c>
      <c r="B3601" t="inlineStr">
        <is>
          <t>附表5!F16</t>
        </is>
      </c>
      <c r="C3601" t="inlineStr">
        <is>
          <t>excel_formula</t>
        </is>
      </c>
    </row>
    <row r="3602">
      <c r="A3602" t="inlineStr">
        <is>
          <t>附表5!F6</t>
        </is>
      </c>
      <c r="B3602" t="inlineStr">
        <is>
          <t>附表5!F17</t>
        </is>
      </c>
      <c r="C3602" t="inlineStr">
        <is>
          <t>excel_formula</t>
        </is>
      </c>
    </row>
    <row r="3603">
      <c r="A3603" t="inlineStr">
        <is>
          <t>附表5!G6</t>
        </is>
      </c>
      <c r="B3603" t="inlineStr">
        <is>
          <t>附表5!F18</t>
        </is>
      </c>
      <c r="C3603" t="inlineStr">
        <is>
          <t>excel_formula</t>
        </is>
      </c>
    </row>
    <row r="3604">
      <c r="A3604" t="inlineStr">
        <is>
          <t>附表5!H6</t>
        </is>
      </c>
      <c r="B3604" t="inlineStr">
        <is>
          <t>附表5!F19</t>
        </is>
      </c>
      <c r="C3604" t="inlineStr">
        <is>
          <t>excel_formula</t>
        </is>
      </c>
    </row>
    <row r="3605">
      <c r="A3605" t="inlineStr">
        <is>
          <t>附表5!I6</t>
        </is>
      </c>
      <c r="B3605" t="inlineStr">
        <is>
          <t>附表5!F20</t>
        </is>
      </c>
      <c r="C3605" t="inlineStr">
        <is>
          <t>excel_formula</t>
        </is>
      </c>
    </row>
    <row r="3606">
      <c r="A3606" t="inlineStr">
        <is>
          <t>附表5!J6</t>
        </is>
      </c>
      <c r="B3606" t="inlineStr">
        <is>
          <t>附表5!F21</t>
        </is>
      </c>
      <c r="C3606" t="inlineStr">
        <is>
          <t>excel_formula</t>
        </is>
      </c>
    </row>
    <row r="3607">
      <c r="A3607" t="inlineStr">
        <is>
          <t>附表5!K6</t>
        </is>
      </c>
      <c r="B3607" t="inlineStr">
        <is>
          <t>附表5!F22</t>
        </is>
      </c>
      <c r="C3607" t="inlineStr">
        <is>
          <t>excel_formula</t>
        </is>
      </c>
    </row>
    <row r="3608">
      <c r="A3608" t="inlineStr">
        <is>
          <t>附表5!L6</t>
        </is>
      </c>
      <c r="B3608" t="inlineStr">
        <is>
          <t>附表5!F23</t>
        </is>
      </c>
      <c r="C3608" t="inlineStr">
        <is>
          <t>excel_formula</t>
        </is>
      </c>
    </row>
    <row r="3609">
      <c r="A3609" t="inlineStr">
        <is>
          <t>附表5!M6</t>
        </is>
      </c>
      <c r="B3609" t="inlineStr">
        <is>
          <t>附表5!F24</t>
        </is>
      </c>
      <c r="C3609" t="inlineStr">
        <is>
          <t>excel_formula</t>
        </is>
      </c>
    </row>
    <row r="3610">
      <c r="A3610" t="inlineStr">
        <is>
          <t>附表5!N6</t>
        </is>
      </c>
      <c r="B3610" t="inlineStr">
        <is>
          <t>附表5!F25</t>
        </is>
      </c>
      <c r="C3610" t="inlineStr">
        <is>
          <t>excel_formula</t>
        </is>
      </c>
    </row>
    <row r="3611">
      <c r="A3611" t="inlineStr">
        <is>
          <t>附表5!O6</t>
        </is>
      </c>
      <c r="B3611" t="inlineStr">
        <is>
          <t>附表5!F26</t>
        </is>
      </c>
      <c r="C3611" t="inlineStr">
        <is>
          <t>excel_formula</t>
        </is>
      </c>
    </row>
    <row r="3612">
      <c r="A3612" t="inlineStr">
        <is>
          <t>附表5!P6</t>
        </is>
      </c>
      <c r="B3612" t="inlineStr">
        <is>
          <t>附表5!F27</t>
        </is>
      </c>
      <c r="C3612" t="inlineStr">
        <is>
          <t>excel_formula</t>
        </is>
      </c>
    </row>
    <row r="3613">
      <c r="A3613" t="inlineStr">
        <is>
          <t>附表5!Q6</t>
        </is>
      </c>
      <c r="B3613" t="inlineStr">
        <is>
          <t>附表5!F28</t>
        </is>
      </c>
      <c r="C3613" t="inlineStr">
        <is>
          <t>excel_formula</t>
        </is>
      </c>
    </row>
    <row r="3614">
      <c r="A3614" t="inlineStr">
        <is>
          <t>附表5!R6</t>
        </is>
      </c>
      <c r="B3614" t="inlineStr">
        <is>
          <t>附表5!F29</t>
        </is>
      </c>
      <c r="C3614" t="inlineStr">
        <is>
          <t>excel_formula</t>
        </is>
      </c>
    </row>
    <row r="3615">
      <c r="A3615" t="inlineStr">
        <is>
          <t>附表5!S6</t>
        </is>
      </c>
      <c r="B3615" t="inlineStr">
        <is>
          <t>附表5!F30</t>
        </is>
      </c>
      <c r="C3615" t="inlineStr">
        <is>
          <t>excel_formula</t>
        </is>
      </c>
    </row>
    <row r="3616">
      <c r="A3616" t="inlineStr">
        <is>
          <t>附表5!T6</t>
        </is>
      </c>
      <c r="B3616" t="inlineStr">
        <is>
          <t>附表5!F31</t>
        </is>
      </c>
      <c r="C3616" t="inlineStr">
        <is>
          <t>excel_formula</t>
        </is>
      </c>
    </row>
    <row r="3617">
      <c r="A3617" t="inlineStr">
        <is>
          <t>附表5!U6</t>
        </is>
      </c>
      <c r="B3617" t="inlineStr">
        <is>
          <t>附表5!F32</t>
        </is>
      </c>
      <c r="C3617" t="inlineStr">
        <is>
          <t>excel_formula</t>
        </is>
      </c>
    </row>
    <row r="3618">
      <c r="A3618" t="inlineStr">
        <is>
          <t>附表5!V6</t>
        </is>
      </c>
      <c r="B3618" t="inlineStr">
        <is>
          <t>附表5!F33</t>
        </is>
      </c>
      <c r="C3618" t="inlineStr">
        <is>
          <t>excel_formula</t>
        </is>
      </c>
    </row>
    <row r="3619">
      <c r="A3619" t="inlineStr">
        <is>
          <t>附表5!W6</t>
        </is>
      </c>
      <c r="B3619" t="inlineStr">
        <is>
          <t>附表5!F34</t>
        </is>
      </c>
      <c r="C3619" t="inlineStr">
        <is>
          <t>excel_formula</t>
        </is>
      </c>
    </row>
    <row r="3620">
      <c r="A3620" t="inlineStr">
        <is>
          <t>附表5!X6</t>
        </is>
      </c>
      <c r="B3620" t="inlineStr">
        <is>
          <t>附表5!F35</t>
        </is>
      </c>
      <c r="C3620" t="inlineStr">
        <is>
          <t>excel_formula</t>
        </is>
      </c>
    </row>
    <row r="3621">
      <c r="A3621" t="inlineStr">
        <is>
          <t>附表5!Y6</t>
        </is>
      </c>
      <c r="B3621" t="inlineStr">
        <is>
          <t>附表5!F36</t>
        </is>
      </c>
      <c r="C3621" t="inlineStr">
        <is>
          <t>excel_formula</t>
        </is>
      </c>
    </row>
    <row r="3622">
      <c r="A3622" t="inlineStr">
        <is>
          <t>附表5!Z6</t>
        </is>
      </c>
      <c r="B3622" t="inlineStr">
        <is>
          <t>附表5!F37</t>
        </is>
      </c>
      <c r="C3622" t="inlineStr">
        <is>
          <t>excel_formula</t>
        </is>
      </c>
    </row>
    <row r="3623">
      <c r="A3623" t="inlineStr">
        <is>
          <t>附表5!AA6</t>
        </is>
      </c>
      <c r="B3623" t="inlineStr">
        <is>
          <t>附表5!F38</t>
        </is>
      </c>
      <c r="C3623" t="inlineStr">
        <is>
          <t>excel_formula</t>
        </is>
      </c>
    </row>
    <row r="3624">
      <c r="A3624" t="inlineStr">
        <is>
          <t>附表5!AB6</t>
        </is>
      </c>
      <c r="B3624" t="inlineStr">
        <is>
          <t>附表5!F39</t>
        </is>
      </c>
      <c r="C3624" t="inlineStr">
        <is>
          <t>excel_formula</t>
        </is>
      </c>
    </row>
    <row r="3625">
      <c r="A3625" t="inlineStr">
        <is>
          <t>附表5!E7</t>
        </is>
      </c>
      <c r="B3625" t="inlineStr">
        <is>
          <t>附表5!E16</t>
        </is>
      </c>
      <c r="C3625" t="inlineStr">
        <is>
          <t>excel_formula</t>
        </is>
      </c>
    </row>
    <row r="3626">
      <c r="A3626" t="inlineStr">
        <is>
          <t>附表5!F7</t>
        </is>
      </c>
      <c r="B3626" t="inlineStr">
        <is>
          <t>附表5!E17</t>
        </is>
      </c>
      <c r="C3626" t="inlineStr">
        <is>
          <t>excel_formula</t>
        </is>
      </c>
    </row>
    <row r="3627">
      <c r="A3627" t="inlineStr">
        <is>
          <t>附表5!G7</t>
        </is>
      </c>
      <c r="B3627" t="inlineStr">
        <is>
          <t>附表5!E18</t>
        </is>
      </c>
      <c r="C3627" t="inlineStr">
        <is>
          <t>excel_formula</t>
        </is>
      </c>
    </row>
    <row r="3628">
      <c r="A3628" t="inlineStr">
        <is>
          <t>附表5!H7</t>
        </is>
      </c>
      <c r="B3628" t="inlineStr">
        <is>
          <t>附表5!E19</t>
        </is>
      </c>
      <c r="C3628" t="inlineStr">
        <is>
          <t>excel_formula</t>
        </is>
      </c>
    </row>
    <row r="3629">
      <c r="A3629" t="inlineStr">
        <is>
          <t>附表5!I7</t>
        </is>
      </c>
      <c r="B3629" t="inlineStr">
        <is>
          <t>附表5!E20</t>
        </is>
      </c>
      <c r="C3629" t="inlineStr">
        <is>
          <t>excel_formula</t>
        </is>
      </c>
    </row>
    <row r="3630">
      <c r="A3630" t="inlineStr">
        <is>
          <t>附表5!J7</t>
        </is>
      </c>
      <c r="B3630" t="inlineStr">
        <is>
          <t>附表5!E21</t>
        </is>
      </c>
      <c r="C3630" t="inlineStr">
        <is>
          <t>excel_formula</t>
        </is>
      </c>
    </row>
    <row r="3631">
      <c r="A3631" t="inlineStr">
        <is>
          <t>附表5!K7</t>
        </is>
      </c>
      <c r="B3631" t="inlineStr">
        <is>
          <t>附表5!E22</t>
        </is>
      </c>
      <c r="C3631" t="inlineStr">
        <is>
          <t>excel_formula</t>
        </is>
      </c>
    </row>
    <row r="3632">
      <c r="A3632" t="inlineStr">
        <is>
          <t>附表5!L7</t>
        </is>
      </c>
      <c r="B3632" t="inlineStr">
        <is>
          <t>附表5!E23</t>
        </is>
      </c>
      <c r="C3632" t="inlineStr">
        <is>
          <t>excel_formula</t>
        </is>
      </c>
    </row>
    <row r="3633">
      <c r="A3633" t="inlineStr">
        <is>
          <t>附表5!M7</t>
        </is>
      </c>
      <c r="B3633" t="inlineStr">
        <is>
          <t>附表5!E24</t>
        </is>
      </c>
      <c r="C3633" t="inlineStr">
        <is>
          <t>excel_formula</t>
        </is>
      </c>
    </row>
    <row r="3634">
      <c r="A3634" t="inlineStr">
        <is>
          <t>附表5!N7</t>
        </is>
      </c>
      <c r="B3634" t="inlineStr">
        <is>
          <t>附表5!E25</t>
        </is>
      </c>
      <c r="C3634" t="inlineStr">
        <is>
          <t>excel_formula</t>
        </is>
      </c>
    </row>
    <row r="3635">
      <c r="A3635" t="inlineStr">
        <is>
          <t>附表5!O7</t>
        </is>
      </c>
      <c r="B3635" t="inlineStr">
        <is>
          <t>附表5!E26</t>
        </is>
      </c>
      <c r="C3635" t="inlineStr">
        <is>
          <t>excel_formula</t>
        </is>
      </c>
    </row>
    <row r="3636">
      <c r="A3636" t="inlineStr">
        <is>
          <t>附表5!P7</t>
        </is>
      </c>
      <c r="B3636" t="inlineStr">
        <is>
          <t>附表5!E27</t>
        </is>
      </c>
      <c r="C3636" t="inlineStr">
        <is>
          <t>excel_formula</t>
        </is>
      </c>
    </row>
    <row r="3637">
      <c r="A3637" t="inlineStr">
        <is>
          <t>附表5!Q7</t>
        </is>
      </c>
      <c r="B3637" t="inlineStr">
        <is>
          <t>附表5!E28</t>
        </is>
      </c>
      <c r="C3637" t="inlineStr">
        <is>
          <t>excel_formula</t>
        </is>
      </c>
    </row>
    <row r="3638">
      <c r="A3638" t="inlineStr">
        <is>
          <t>附表5!R7</t>
        </is>
      </c>
      <c r="B3638" t="inlineStr">
        <is>
          <t>附表5!E29</t>
        </is>
      </c>
      <c r="C3638" t="inlineStr">
        <is>
          <t>excel_formula</t>
        </is>
      </c>
    </row>
    <row r="3639">
      <c r="A3639" t="inlineStr">
        <is>
          <t>附表5!S7</t>
        </is>
      </c>
      <c r="B3639" t="inlineStr">
        <is>
          <t>附表5!E30</t>
        </is>
      </c>
      <c r="C3639" t="inlineStr">
        <is>
          <t>excel_formula</t>
        </is>
      </c>
    </row>
    <row r="3640">
      <c r="A3640" t="inlineStr">
        <is>
          <t>附表5!T7</t>
        </is>
      </c>
      <c r="B3640" t="inlineStr">
        <is>
          <t>附表5!E31</t>
        </is>
      </c>
      <c r="C3640" t="inlineStr">
        <is>
          <t>excel_formula</t>
        </is>
      </c>
    </row>
    <row r="3641">
      <c r="A3641" t="inlineStr">
        <is>
          <t>附表5!U7</t>
        </is>
      </c>
      <c r="B3641" t="inlineStr">
        <is>
          <t>附表5!E32</t>
        </is>
      </c>
      <c r="C3641" t="inlineStr">
        <is>
          <t>excel_formula</t>
        </is>
      </c>
    </row>
    <row r="3642">
      <c r="A3642" t="inlineStr">
        <is>
          <t>附表5!V7</t>
        </is>
      </c>
      <c r="B3642" t="inlineStr">
        <is>
          <t>附表5!E33</t>
        </is>
      </c>
      <c r="C3642" t="inlineStr">
        <is>
          <t>excel_formula</t>
        </is>
      </c>
    </row>
    <row r="3643">
      <c r="A3643" t="inlineStr">
        <is>
          <t>附表5!W7</t>
        </is>
      </c>
      <c r="B3643" t="inlineStr">
        <is>
          <t>附表5!E34</t>
        </is>
      </c>
      <c r="C3643" t="inlineStr">
        <is>
          <t>excel_formula</t>
        </is>
      </c>
    </row>
    <row r="3644">
      <c r="A3644" t="inlineStr">
        <is>
          <t>附表5!X7</t>
        </is>
      </c>
      <c r="B3644" t="inlineStr">
        <is>
          <t>附表5!E35</t>
        </is>
      </c>
      <c r="C3644" t="inlineStr">
        <is>
          <t>excel_formula</t>
        </is>
      </c>
    </row>
    <row r="3645">
      <c r="A3645" t="inlineStr">
        <is>
          <t>附表5!Y7</t>
        </is>
      </c>
      <c r="B3645" t="inlineStr">
        <is>
          <t>附表5!E36</t>
        </is>
      </c>
      <c r="C3645" t="inlineStr">
        <is>
          <t>excel_formula</t>
        </is>
      </c>
    </row>
    <row r="3646">
      <c r="A3646" t="inlineStr">
        <is>
          <t>附表5!Z7</t>
        </is>
      </c>
      <c r="B3646" t="inlineStr">
        <is>
          <t>附表5!E37</t>
        </is>
      </c>
      <c r="C3646" t="inlineStr">
        <is>
          <t>excel_formula</t>
        </is>
      </c>
    </row>
    <row r="3647">
      <c r="A3647" t="inlineStr">
        <is>
          <t>附表5!AA7</t>
        </is>
      </c>
      <c r="B3647" t="inlineStr">
        <is>
          <t>附表5!E38</t>
        </is>
      </c>
      <c r="C3647" t="inlineStr">
        <is>
          <t>excel_formula</t>
        </is>
      </c>
    </row>
    <row r="3648">
      <c r="A3648" t="inlineStr">
        <is>
          <t>附表5!AB7</t>
        </is>
      </c>
      <c r="B3648" t="inlineStr">
        <is>
          <t>附表5!E39</t>
        </is>
      </c>
      <c r="C3648" t="inlineStr">
        <is>
          <t>excel_formula</t>
        </is>
      </c>
    </row>
    <row r="3649">
      <c r="A3649" t="inlineStr">
        <is>
          <t>附表5!E11</t>
        </is>
      </c>
      <c r="B3649" t="inlineStr">
        <is>
          <t>附表5!G16</t>
        </is>
      </c>
      <c r="C3649" t="inlineStr">
        <is>
          <t>excel_formula</t>
        </is>
      </c>
    </row>
    <row r="3650">
      <c r="A3650" t="inlineStr">
        <is>
          <t>附表5!F11</t>
        </is>
      </c>
      <c r="B3650" t="inlineStr">
        <is>
          <t>附表5!G17</t>
        </is>
      </c>
      <c r="C3650" t="inlineStr">
        <is>
          <t>excel_formula</t>
        </is>
      </c>
    </row>
    <row r="3651">
      <c r="A3651" t="inlineStr">
        <is>
          <t>附表5!G11</t>
        </is>
      </c>
      <c r="B3651" t="inlineStr">
        <is>
          <t>附表5!G18</t>
        </is>
      </c>
      <c r="C3651" t="inlineStr">
        <is>
          <t>excel_formula</t>
        </is>
      </c>
    </row>
    <row r="3652">
      <c r="A3652" t="inlineStr">
        <is>
          <t>附表5!H11</t>
        </is>
      </c>
      <c r="B3652" t="inlineStr">
        <is>
          <t>附表5!G19</t>
        </is>
      </c>
      <c r="C3652" t="inlineStr">
        <is>
          <t>excel_formula</t>
        </is>
      </c>
    </row>
    <row r="3653">
      <c r="A3653" t="inlineStr">
        <is>
          <t>附表5!I11</t>
        </is>
      </c>
      <c r="B3653" t="inlineStr">
        <is>
          <t>附表5!G20</t>
        </is>
      </c>
      <c r="C3653" t="inlineStr">
        <is>
          <t>excel_formula</t>
        </is>
      </c>
    </row>
    <row r="3654">
      <c r="A3654" t="inlineStr">
        <is>
          <t>附表5!J11</t>
        </is>
      </c>
      <c r="B3654" t="inlineStr">
        <is>
          <t>附表5!G21</t>
        </is>
      </c>
      <c r="C3654" t="inlineStr">
        <is>
          <t>excel_formula</t>
        </is>
      </c>
    </row>
    <row r="3655">
      <c r="A3655" t="inlineStr">
        <is>
          <t>附表5!K11</t>
        </is>
      </c>
      <c r="B3655" t="inlineStr">
        <is>
          <t>附表5!G22</t>
        </is>
      </c>
      <c r="C3655" t="inlineStr">
        <is>
          <t>excel_formula</t>
        </is>
      </c>
    </row>
    <row r="3656">
      <c r="A3656" t="inlineStr">
        <is>
          <t>附表5!L11</t>
        </is>
      </c>
      <c r="B3656" t="inlineStr">
        <is>
          <t>附表5!G23</t>
        </is>
      </c>
      <c r="C3656" t="inlineStr">
        <is>
          <t>excel_formula</t>
        </is>
      </c>
    </row>
    <row r="3657">
      <c r="A3657" t="inlineStr">
        <is>
          <t>附表5!M11</t>
        </is>
      </c>
      <c r="B3657" t="inlineStr">
        <is>
          <t>附表5!G24</t>
        </is>
      </c>
      <c r="C3657" t="inlineStr">
        <is>
          <t>excel_formula</t>
        </is>
      </c>
    </row>
    <row r="3658">
      <c r="A3658" t="inlineStr">
        <is>
          <t>附表5!N11</t>
        </is>
      </c>
      <c r="B3658" t="inlineStr">
        <is>
          <t>附表5!G25</t>
        </is>
      </c>
      <c r="C3658" t="inlineStr">
        <is>
          <t>excel_formula</t>
        </is>
      </c>
    </row>
    <row r="3659">
      <c r="A3659" t="inlineStr">
        <is>
          <t>附表5!O11</t>
        </is>
      </c>
      <c r="B3659" t="inlineStr">
        <is>
          <t>附表5!G26</t>
        </is>
      </c>
      <c r="C3659" t="inlineStr">
        <is>
          <t>excel_formula</t>
        </is>
      </c>
    </row>
    <row r="3660">
      <c r="A3660" t="inlineStr">
        <is>
          <t>附表5!P11</t>
        </is>
      </c>
      <c r="B3660" t="inlineStr">
        <is>
          <t>附表5!G27</t>
        </is>
      </c>
      <c r="C3660" t="inlineStr">
        <is>
          <t>excel_formula</t>
        </is>
      </c>
    </row>
    <row r="3661">
      <c r="A3661" t="inlineStr">
        <is>
          <t>附表5!Q11</t>
        </is>
      </c>
      <c r="B3661" t="inlineStr">
        <is>
          <t>附表5!G28</t>
        </is>
      </c>
      <c r="C3661" t="inlineStr">
        <is>
          <t>excel_formula</t>
        </is>
      </c>
    </row>
    <row r="3662">
      <c r="A3662" t="inlineStr">
        <is>
          <t>附表5!R11</t>
        </is>
      </c>
      <c r="B3662" t="inlineStr">
        <is>
          <t>附表5!G29</t>
        </is>
      </c>
      <c r="C3662" t="inlineStr">
        <is>
          <t>excel_formula</t>
        </is>
      </c>
    </row>
    <row r="3663">
      <c r="A3663" t="inlineStr">
        <is>
          <t>附表5!S11</t>
        </is>
      </c>
      <c r="B3663" t="inlineStr">
        <is>
          <t>附表5!G30</t>
        </is>
      </c>
      <c r="C3663" t="inlineStr">
        <is>
          <t>excel_formula</t>
        </is>
      </c>
    </row>
    <row r="3664">
      <c r="A3664" t="inlineStr">
        <is>
          <t>附表5!T11</t>
        </is>
      </c>
      <c r="B3664" t="inlineStr">
        <is>
          <t>附表5!G31</t>
        </is>
      </c>
      <c r="C3664" t="inlineStr">
        <is>
          <t>excel_formula</t>
        </is>
      </c>
    </row>
    <row r="3665">
      <c r="A3665" t="inlineStr">
        <is>
          <t>附表5!U11</t>
        </is>
      </c>
      <c r="B3665" t="inlineStr">
        <is>
          <t>附表5!G32</t>
        </is>
      </c>
      <c r="C3665" t="inlineStr">
        <is>
          <t>excel_formula</t>
        </is>
      </c>
    </row>
    <row r="3666">
      <c r="A3666" t="inlineStr">
        <is>
          <t>附表5!V11</t>
        </is>
      </c>
      <c r="B3666" t="inlineStr">
        <is>
          <t>附表5!G33</t>
        </is>
      </c>
      <c r="C3666" t="inlineStr">
        <is>
          <t>excel_formula</t>
        </is>
      </c>
    </row>
    <row r="3667">
      <c r="A3667" t="inlineStr">
        <is>
          <t>附表5!W11</t>
        </is>
      </c>
      <c r="B3667" t="inlineStr">
        <is>
          <t>附表5!G34</t>
        </is>
      </c>
      <c r="C3667" t="inlineStr">
        <is>
          <t>excel_formula</t>
        </is>
      </c>
    </row>
    <row r="3668">
      <c r="A3668" t="inlineStr">
        <is>
          <t>附表5!X11</t>
        </is>
      </c>
      <c r="B3668" t="inlineStr">
        <is>
          <t>附表5!G35</t>
        </is>
      </c>
      <c r="C3668" t="inlineStr">
        <is>
          <t>excel_formula</t>
        </is>
      </c>
    </row>
    <row r="3669">
      <c r="A3669" t="inlineStr">
        <is>
          <t>附表5!Y11</t>
        </is>
      </c>
      <c r="B3669" t="inlineStr">
        <is>
          <t>附表5!G36</t>
        </is>
      </c>
      <c r="C3669" t="inlineStr">
        <is>
          <t>excel_formula</t>
        </is>
      </c>
    </row>
    <row r="3670">
      <c r="A3670" t="inlineStr">
        <is>
          <t>附表5!Z11</t>
        </is>
      </c>
      <c r="B3670" t="inlineStr">
        <is>
          <t>附表5!G37</t>
        </is>
      </c>
      <c r="C3670" t="inlineStr">
        <is>
          <t>excel_formula</t>
        </is>
      </c>
    </row>
    <row r="3671">
      <c r="A3671" t="inlineStr">
        <is>
          <t>附表5!AA11</t>
        </is>
      </c>
      <c r="B3671" t="inlineStr">
        <is>
          <t>附表5!G38</t>
        </is>
      </c>
      <c r="C3671" t="inlineStr">
        <is>
          <t>excel_formula</t>
        </is>
      </c>
    </row>
    <row r="3672">
      <c r="A3672" t="inlineStr">
        <is>
          <t>附表5!AB11</t>
        </is>
      </c>
      <c r="B3672" t="inlineStr">
        <is>
          <t>附表5!G39</t>
        </is>
      </c>
      <c r="C3672" t="inlineStr">
        <is>
          <t>excel_formula</t>
        </is>
      </c>
    </row>
    <row r="3673">
      <c r="A3673" t="inlineStr">
        <is>
          <t>附表5!E12</t>
        </is>
      </c>
      <c r="B3673" t="inlineStr">
        <is>
          <t>附表5!H16</t>
        </is>
      </c>
      <c r="C3673" t="inlineStr">
        <is>
          <t>excel_formula</t>
        </is>
      </c>
    </row>
    <row r="3674">
      <c r="A3674" t="inlineStr">
        <is>
          <t>附表5!F12</t>
        </is>
      </c>
      <c r="B3674" t="inlineStr">
        <is>
          <t>附表5!H17</t>
        </is>
      </c>
      <c r="C3674" t="inlineStr">
        <is>
          <t>excel_formula</t>
        </is>
      </c>
    </row>
    <row r="3675">
      <c r="A3675" t="inlineStr">
        <is>
          <t>附表5!G12</t>
        </is>
      </c>
      <c r="B3675" t="inlineStr">
        <is>
          <t>附表5!H18</t>
        </is>
      </c>
      <c r="C3675" t="inlineStr">
        <is>
          <t>excel_formula</t>
        </is>
      </c>
    </row>
    <row r="3676">
      <c r="A3676" t="inlineStr">
        <is>
          <t>附表5!H12</t>
        </is>
      </c>
      <c r="B3676" t="inlineStr">
        <is>
          <t>附表5!H19</t>
        </is>
      </c>
      <c r="C3676" t="inlineStr">
        <is>
          <t>excel_formula</t>
        </is>
      </c>
    </row>
    <row r="3677">
      <c r="A3677" t="inlineStr">
        <is>
          <t>附表5!I12</t>
        </is>
      </c>
      <c r="B3677" t="inlineStr">
        <is>
          <t>附表5!H20</t>
        </is>
      </c>
      <c r="C3677" t="inlineStr">
        <is>
          <t>excel_formula</t>
        </is>
      </c>
    </row>
    <row r="3678">
      <c r="A3678" t="inlineStr">
        <is>
          <t>附表5!J12</t>
        </is>
      </c>
      <c r="B3678" t="inlineStr">
        <is>
          <t>附表5!H21</t>
        </is>
      </c>
      <c r="C3678" t="inlineStr">
        <is>
          <t>excel_formula</t>
        </is>
      </c>
    </row>
    <row r="3679">
      <c r="A3679" t="inlineStr">
        <is>
          <t>附表5!K12</t>
        </is>
      </c>
      <c r="B3679" t="inlineStr">
        <is>
          <t>附表5!H22</t>
        </is>
      </c>
      <c r="C3679" t="inlineStr">
        <is>
          <t>excel_formula</t>
        </is>
      </c>
    </row>
    <row r="3680">
      <c r="A3680" t="inlineStr">
        <is>
          <t>附表5!L12</t>
        </is>
      </c>
      <c r="B3680" t="inlineStr">
        <is>
          <t>附表5!H23</t>
        </is>
      </c>
      <c r="C3680" t="inlineStr">
        <is>
          <t>excel_formula</t>
        </is>
      </c>
    </row>
    <row r="3681">
      <c r="A3681" t="inlineStr">
        <is>
          <t>附表5!M12</t>
        </is>
      </c>
      <c r="B3681" t="inlineStr">
        <is>
          <t>附表5!H24</t>
        </is>
      </c>
      <c r="C3681" t="inlineStr">
        <is>
          <t>excel_formula</t>
        </is>
      </c>
    </row>
    <row r="3682">
      <c r="A3682" t="inlineStr">
        <is>
          <t>附表5!N12</t>
        </is>
      </c>
      <c r="B3682" t="inlineStr">
        <is>
          <t>附表5!H25</t>
        </is>
      </c>
      <c r="C3682" t="inlineStr">
        <is>
          <t>excel_formula</t>
        </is>
      </c>
    </row>
    <row r="3683">
      <c r="A3683" t="inlineStr">
        <is>
          <t>附表5!O12</t>
        </is>
      </c>
      <c r="B3683" t="inlineStr">
        <is>
          <t>附表5!H26</t>
        </is>
      </c>
      <c r="C3683" t="inlineStr">
        <is>
          <t>excel_formula</t>
        </is>
      </c>
    </row>
    <row r="3684">
      <c r="A3684" t="inlineStr">
        <is>
          <t>附表5!P12</t>
        </is>
      </c>
      <c r="B3684" t="inlineStr">
        <is>
          <t>附表5!H27</t>
        </is>
      </c>
      <c r="C3684" t="inlineStr">
        <is>
          <t>excel_formula</t>
        </is>
      </c>
    </row>
    <row r="3685">
      <c r="A3685" t="inlineStr">
        <is>
          <t>附表5!Q12</t>
        </is>
      </c>
      <c r="B3685" t="inlineStr">
        <is>
          <t>附表5!H28</t>
        </is>
      </c>
      <c r="C3685" t="inlineStr">
        <is>
          <t>excel_formula</t>
        </is>
      </c>
    </row>
    <row r="3686">
      <c r="A3686" t="inlineStr">
        <is>
          <t>附表5!R12</t>
        </is>
      </c>
      <c r="B3686" t="inlineStr">
        <is>
          <t>附表5!H29</t>
        </is>
      </c>
      <c r="C3686" t="inlineStr">
        <is>
          <t>excel_formula</t>
        </is>
      </c>
    </row>
    <row r="3687">
      <c r="A3687" t="inlineStr">
        <is>
          <t>附表5!S12</t>
        </is>
      </c>
      <c r="B3687" t="inlineStr">
        <is>
          <t>附表5!H30</t>
        </is>
      </c>
      <c r="C3687" t="inlineStr">
        <is>
          <t>excel_formula</t>
        </is>
      </c>
    </row>
    <row r="3688">
      <c r="A3688" t="inlineStr">
        <is>
          <t>附表5!T12</t>
        </is>
      </c>
      <c r="B3688" t="inlineStr">
        <is>
          <t>附表5!H31</t>
        </is>
      </c>
      <c r="C3688" t="inlineStr">
        <is>
          <t>excel_formula</t>
        </is>
      </c>
    </row>
    <row r="3689">
      <c r="A3689" t="inlineStr">
        <is>
          <t>附表5!U12</t>
        </is>
      </c>
      <c r="B3689" t="inlineStr">
        <is>
          <t>附表5!H32</t>
        </is>
      </c>
      <c r="C3689" t="inlineStr">
        <is>
          <t>excel_formula</t>
        </is>
      </c>
    </row>
    <row r="3690">
      <c r="A3690" t="inlineStr">
        <is>
          <t>附表5!V12</t>
        </is>
      </c>
      <c r="B3690" t="inlineStr">
        <is>
          <t>附表5!H33</t>
        </is>
      </c>
      <c r="C3690" t="inlineStr">
        <is>
          <t>excel_formula</t>
        </is>
      </c>
    </row>
    <row r="3691">
      <c r="A3691" t="inlineStr">
        <is>
          <t>附表5!W12</t>
        </is>
      </c>
      <c r="B3691" t="inlineStr">
        <is>
          <t>附表5!H34</t>
        </is>
      </c>
      <c r="C3691" t="inlineStr">
        <is>
          <t>excel_formula</t>
        </is>
      </c>
    </row>
    <row r="3692">
      <c r="A3692" t="inlineStr">
        <is>
          <t>附表5!X12</t>
        </is>
      </c>
      <c r="B3692" t="inlineStr">
        <is>
          <t>附表5!H35</t>
        </is>
      </c>
      <c r="C3692" t="inlineStr">
        <is>
          <t>excel_formula</t>
        </is>
      </c>
    </row>
    <row r="3693">
      <c r="A3693" t="inlineStr">
        <is>
          <t>附表5!Y12</t>
        </is>
      </c>
      <c r="B3693" t="inlineStr">
        <is>
          <t>附表5!H36</t>
        </is>
      </c>
      <c r="C3693" t="inlineStr">
        <is>
          <t>excel_formula</t>
        </is>
      </c>
    </row>
    <row r="3694">
      <c r="A3694" t="inlineStr">
        <is>
          <t>附表5!Z12</t>
        </is>
      </c>
      <c r="B3694" t="inlineStr">
        <is>
          <t>附表5!H37</t>
        </is>
      </c>
      <c r="C3694" t="inlineStr">
        <is>
          <t>excel_formula</t>
        </is>
      </c>
    </row>
    <row r="3695">
      <c r="A3695" t="inlineStr">
        <is>
          <t>附表5!AA12</t>
        </is>
      </c>
      <c r="B3695" t="inlineStr">
        <is>
          <t>附表5!H38</t>
        </is>
      </c>
      <c r="C3695" t="inlineStr">
        <is>
          <t>excel_formula</t>
        </is>
      </c>
    </row>
    <row r="3696">
      <c r="A3696" t="inlineStr">
        <is>
          <t>附表5!AB12</t>
        </is>
      </c>
      <c r="B3696" t="inlineStr">
        <is>
          <t>附表5!H39</t>
        </is>
      </c>
      <c r="C3696" t="inlineStr">
        <is>
          <t>excel_formula</t>
        </is>
      </c>
    </row>
    <row r="3697">
      <c r="A3697" t="inlineStr">
        <is>
          <t>附表6!D5</t>
        </is>
      </c>
      <c r="B3697" t="inlineStr">
        <is>
          <t>附表6!B16</t>
        </is>
      </c>
      <c r="C3697" t="inlineStr">
        <is>
          <t>excel_formula</t>
        </is>
      </c>
    </row>
    <row r="3698">
      <c r="A3698" t="inlineStr">
        <is>
          <t>附表6!E5</t>
        </is>
      </c>
      <c r="B3698" t="inlineStr">
        <is>
          <t>附表6!B17</t>
        </is>
      </c>
      <c r="C3698" t="inlineStr">
        <is>
          <t>excel_formula</t>
        </is>
      </c>
    </row>
    <row r="3699">
      <c r="A3699" t="inlineStr">
        <is>
          <t>附表6!F5</t>
        </is>
      </c>
      <c r="B3699" t="inlineStr">
        <is>
          <t>附表6!B18</t>
        </is>
      </c>
      <c r="C3699" t="inlineStr">
        <is>
          <t>excel_formula</t>
        </is>
      </c>
    </row>
    <row r="3700">
      <c r="A3700" t="inlineStr">
        <is>
          <t>附表6!G5</t>
        </is>
      </c>
      <c r="B3700" t="inlineStr">
        <is>
          <t>附表6!B19</t>
        </is>
      </c>
      <c r="C3700" t="inlineStr">
        <is>
          <t>excel_formula</t>
        </is>
      </c>
    </row>
    <row r="3701">
      <c r="A3701" t="inlineStr">
        <is>
          <t>附表6!H5</t>
        </is>
      </c>
      <c r="B3701" t="inlineStr">
        <is>
          <t>附表6!B20</t>
        </is>
      </c>
      <c r="C3701" t="inlineStr">
        <is>
          <t>excel_formula</t>
        </is>
      </c>
    </row>
    <row r="3702">
      <c r="A3702" t="inlineStr">
        <is>
          <t>附表6!I5</t>
        </is>
      </c>
      <c r="B3702" t="inlineStr">
        <is>
          <t>附表6!B21</t>
        </is>
      </c>
      <c r="C3702" t="inlineStr">
        <is>
          <t>excel_formula</t>
        </is>
      </c>
    </row>
    <row r="3703">
      <c r="A3703" t="inlineStr">
        <is>
          <t>附表6!J5</t>
        </is>
      </c>
      <c r="B3703" t="inlineStr">
        <is>
          <t>附表6!B22</t>
        </is>
      </c>
      <c r="C3703" t="inlineStr">
        <is>
          <t>excel_formula</t>
        </is>
      </c>
    </row>
    <row r="3704">
      <c r="A3704" t="inlineStr">
        <is>
          <t>附表6!K5</t>
        </is>
      </c>
      <c r="B3704" t="inlineStr">
        <is>
          <t>附表6!B23</t>
        </is>
      </c>
      <c r="C3704" t="inlineStr">
        <is>
          <t>excel_formula</t>
        </is>
      </c>
    </row>
    <row r="3705">
      <c r="A3705" t="inlineStr">
        <is>
          <t>附表6!L5</t>
        </is>
      </c>
      <c r="B3705" t="inlineStr">
        <is>
          <t>附表6!B24</t>
        </is>
      </c>
      <c r="C3705" t="inlineStr">
        <is>
          <t>excel_formula</t>
        </is>
      </c>
    </row>
    <row r="3706">
      <c r="A3706" t="inlineStr">
        <is>
          <t>附表6!M5</t>
        </is>
      </c>
      <c r="B3706" t="inlineStr">
        <is>
          <t>附表6!B25</t>
        </is>
      </c>
      <c r="C3706" t="inlineStr">
        <is>
          <t>excel_formula</t>
        </is>
      </c>
    </row>
    <row r="3707">
      <c r="A3707" t="inlineStr">
        <is>
          <t>附表6!N5</t>
        </is>
      </c>
      <c r="B3707" t="inlineStr">
        <is>
          <t>附表6!B26</t>
        </is>
      </c>
      <c r="C3707" t="inlineStr">
        <is>
          <t>excel_formula</t>
        </is>
      </c>
    </row>
    <row r="3708">
      <c r="A3708" t="inlineStr">
        <is>
          <t>附表6!O5</t>
        </is>
      </c>
      <c r="B3708" t="inlineStr">
        <is>
          <t>附表6!B27</t>
        </is>
      </c>
      <c r="C3708" t="inlineStr">
        <is>
          <t>excel_formula</t>
        </is>
      </c>
    </row>
    <row r="3709">
      <c r="A3709" t="inlineStr">
        <is>
          <t>附表6!P5</t>
        </is>
      </c>
      <c r="B3709" t="inlineStr">
        <is>
          <t>附表6!B28</t>
        </is>
      </c>
      <c r="C3709" t="inlineStr">
        <is>
          <t>excel_formula</t>
        </is>
      </c>
    </row>
    <row r="3710">
      <c r="A3710" t="inlineStr">
        <is>
          <t>附表6!Q5</t>
        </is>
      </c>
      <c r="B3710" t="inlineStr">
        <is>
          <t>附表6!B29</t>
        </is>
      </c>
      <c r="C3710" t="inlineStr">
        <is>
          <t>excel_formula</t>
        </is>
      </c>
    </row>
    <row r="3711">
      <c r="A3711" t="inlineStr">
        <is>
          <t>附表6!R5</t>
        </is>
      </c>
      <c r="B3711" t="inlineStr">
        <is>
          <t>附表6!B30</t>
        </is>
      </c>
      <c r="C3711" t="inlineStr">
        <is>
          <t>excel_formula</t>
        </is>
      </c>
    </row>
    <row r="3712">
      <c r="A3712" t="inlineStr">
        <is>
          <t>附表6!S5</t>
        </is>
      </c>
      <c r="B3712" t="inlineStr">
        <is>
          <t>附表6!B31</t>
        </is>
      </c>
      <c r="C3712" t="inlineStr">
        <is>
          <t>excel_formula</t>
        </is>
      </c>
    </row>
    <row r="3713">
      <c r="A3713" t="inlineStr">
        <is>
          <t>附表6!T5</t>
        </is>
      </c>
      <c r="B3713" t="inlineStr">
        <is>
          <t>附表6!B32</t>
        </is>
      </c>
      <c r="C3713" t="inlineStr">
        <is>
          <t>excel_formula</t>
        </is>
      </c>
    </row>
    <row r="3714">
      <c r="A3714" t="inlineStr">
        <is>
          <t>附表6!U5</t>
        </is>
      </c>
      <c r="B3714" t="inlineStr">
        <is>
          <t>附表6!B33</t>
        </is>
      </c>
      <c r="C3714" t="inlineStr">
        <is>
          <t>excel_formula</t>
        </is>
      </c>
    </row>
    <row r="3715">
      <c r="A3715" t="inlineStr">
        <is>
          <t>附表6!V5</t>
        </is>
      </c>
      <c r="B3715" t="inlineStr">
        <is>
          <t>附表6!B34</t>
        </is>
      </c>
      <c r="C3715" t="inlineStr">
        <is>
          <t>excel_formula</t>
        </is>
      </c>
    </row>
    <row r="3716">
      <c r="A3716" t="inlineStr">
        <is>
          <t>附表6!W5</t>
        </is>
      </c>
      <c r="B3716" t="inlineStr">
        <is>
          <t>附表6!B35</t>
        </is>
      </c>
      <c r="C3716" t="inlineStr">
        <is>
          <t>excel_formula</t>
        </is>
      </c>
    </row>
    <row r="3717">
      <c r="A3717" t="inlineStr">
        <is>
          <t>附表6!X5</t>
        </is>
      </c>
      <c r="B3717" t="inlineStr">
        <is>
          <t>附表6!B36</t>
        </is>
      </c>
      <c r="C3717" t="inlineStr">
        <is>
          <t>excel_formula</t>
        </is>
      </c>
    </row>
    <row r="3718">
      <c r="A3718" t="inlineStr">
        <is>
          <t>附表6!Y5</t>
        </is>
      </c>
      <c r="B3718" t="inlineStr">
        <is>
          <t>附表6!B37</t>
        </is>
      </c>
      <c r="C3718" t="inlineStr">
        <is>
          <t>excel_formula</t>
        </is>
      </c>
    </row>
    <row r="3719">
      <c r="A3719" t="inlineStr">
        <is>
          <t>附表6!Z5</t>
        </is>
      </c>
      <c r="B3719" t="inlineStr">
        <is>
          <t>附表6!B38</t>
        </is>
      </c>
      <c r="C3719" t="inlineStr">
        <is>
          <t>excel_formula</t>
        </is>
      </c>
    </row>
    <row r="3720">
      <c r="A3720" t="inlineStr">
        <is>
          <t>附表6!AA5</t>
        </is>
      </c>
      <c r="B3720" t="inlineStr">
        <is>
          <t>附表6!B39</t>
        </is>
      </c>
      <c r="C3720" t="inlineStr">
        <is>
          <t>excel_formula</t>
        </is>
      </c>
    </row>
    <row r="3721">
      <c r="A3721" t="inlineStr">
        <is>
          <t>附表6!D6</t>
        </is>
      </c>
      <c r="B3721" t="inlineStr">
        <is>
          <t>附表6!C16</t>
        </is>
      </c>
      <c r="C3721" t="inlineStr">
        <is>
          <t>excel_formula</t>
        </is>
      </c>
    </row>
    <row r="3722">
      <c r="A3722" t="inlineStr">
        <is>
          <t>附表6!E6</t>
        </is>
      </c>
      <c r="B3722" t="inlineStr">
        <is>
          <t>附表6!C17</t>
        </is>
      </c>
      <c r="C3722" t="inlineStr">
        <is>
          <t>excel_formula</t>
        </is>
      </c>
    </row>
    <row r="3723">
      <c r="A3723" t="inlineStr">
        <is>
          <t>附表6!F6</t>
        </is>
      </c>
      <c r="B3723" t="inlineStr">
        <is>
          <t>附表6!C18</t>
        </is>
      </c>
      <c r="C3723" t="inlineStr">
        <is>
          <t>excel_formula</t>
        </is>
      </c>
    </row>
    <row r="3724">
      <c r="A3724" t="inlineStr">
        <is>
          <t>附表6!G6</t>
        </is>
      </c>
      <c r="B3724" t="inlineStr">
        <is>
          <t>附表6!C19</t>
        </is>
      </c>
      <c r="C3724" t="inlineStr">
        <is>
          <t>excel_formula</t>
        </is>
      </c>
    </row>
    <row r="3725">
      <c r="A3725" t="inlineStr">
        <is>
          <t>附表6!H6</t>
        </is>
      </c>
      <c r="B3725" t="inlineStr">
        <is>
          <t>附表6!C20</t>
        </is>
      </c>
      <c r="C3725" t="inlineStr">
        <is>
          <t>excel_formula</t>
        </is>
      </c>
    </row>
    <row r="3726">
      <c r="A3726" t="inlineStr">
        <is>
          <t>附表6!I6</t>
        </is>
      </c>
      <c r="B3726" t="inlineStr">
        <is>
          <t>附表6!C21</t>
        </is>
      </c>
      <c r="C3726" t="inlineStr">
        <is>
          <t>excel_formula</t>
        </is>
      </c>
    </row>
    <row r="3727">
      <c r="A3727" t="inlineStr">
        <is>
          <t>附表6!J6</t>
        </is>
      </c>
      <c r="B3727" t="inlineStr">
        <is>
          <t>附表6!C22</t>
        </is>
      </c>
      <c r="C3727" t="inlineStr">
        <is>
          <t>excel_formula</t>
        </is>
      </c>
    </row>
    <row r="3728">
      <c r="A3728" t="inlineStr">
        <is>
          <t>附表6!K6</t>
        </is>
      </c>
      <c r="B3728" t="inlineStr">
        <is>
          <t>附表6!C23</t>
        </is>
      </c>
      <c r="C3728" t="inlineStr">
        <is>
          <t>excel_formula</t>
        </is>
      </c>
    </row>
    <row r="3729">
      <c r="A3729" t="inlineStr">
        <is>
          <t>附表6!L6</t>
        </is>
      </c>
      <c r="B3729" t="inlineStr">
        <is>
          <t>附表6!C24</t>
        </is>
      </c>
      <c r="C3729" t="inlineStr">
        <is>
          <t>excel_formula</t>
        </is>
      </c>
    </row>
    <row r="3730">
      <c r="A3730" t="inlineStr">
        <is>
          <t>附表6!M6</t>
        </is>
      </c>
      <c r="B3730" t="inlineStr">
        <is>
          <t>附表6!C25</t>
        </is>
      </c>
      <c r="C3730" t="inlineStr">
        <is>
          <t>excel_formula</t>
        </is>
      </c>
    </row>
    <row r="3731">
      <c r="A3731" t="inlineStr">
        <is>
          <t>附表6!N6</t>
        </is>
      </c>
      <c r="B3731" t="inlineStr">
        <is>
          <t>附表6!C26</t>
        </is>
      </c>
      <c r="C3731" t="inlineStr">
        <is>
          <t>excel_formula</t>
        </is>
      </c>
    </row>
    <row r="3732">
      <c r="A3732" t="inlineStr">
        <is>
          <t>附表6!O6</t>
        </is>
      </c>
      <c r="B3732" t="inlineStr">
        <is>
          <t>附表6!C27</t>
        </is>
      </c>
      <c r="C3732" t="inlineStr">
        <is>
          <t>excel_formula</t>
        </is>
      </c>
    </row>
    <row r="3733">
      <c r="A3733" t="inlineStr">
        <is>
          <t>附表6!P6</t>
        </is>
      </c>
      <c r="B3733" t="inlineStr">
        <is>
          <t>附表6!C28</t>
        </is>
      </c>
      <c r="C3733" t="inlineStr">
        <is>
          <t>excel_formula</t>
        </is>
      </c>
    </row>
    <row r="3734">
      <c r="A3734" t="inlineStr">
        <is>
          <t>附表6!Q6</t>
        </is>
      </c>
      <c r="B3734" t="inlineStr">
        <is>
          <t>附表6!C29</t>
        </is>
      </c>
      <c r="C3734" t="inlineStr">
        <is>
          <t>excel_formula</t>
        </is>
      </c>
    </row>
    <row r="3735">
      <c r="A3735" t="inlineStr">
        <is>
          <t>附表6!R6</t>
        </is>
      </c>
      <c r="B3735" t="inlineStr">
        <is>
          <t>附表6!C30</t>
        </is>
      </c>
      <c r="C3735" t="inlineStr">
        <is>
          <t>excel_formula</t>
        </is>
      </c>
    </row>
    <row r="3736">
      <c r="A3736" t="inlineStr">
        <is>
          <t>附表6!S6</t>
        </is>
      </c>
      <c r="B3736" t="inlineStr">
        <is>
          <t>附表6!C31</t>
        </is>
      </c>
      <c r="C3736" t="inlineStr">
        <is>
          <t>excel_formula</t>
        </is>
      </c>
    </row>
    <row r="3737">
      <c r="A3737" t="inlineStr">
        <is>
          <t>附表6!T6</t>
        </is>
      </c>
      <c r="B3737" t="inlineStr">
        <is>
          <t>附表6!C32</t>
        </is>
      </c>
      <c r="C3737" t="inlineStr">
        <is>
          <t>excel_formula</t>
        </is>
      </c>
    </row>
    <row r="3738">
      <c r="A3738" t="inlineStr">
        <is>
          <t>附表6!U6</t>
        </is>
      </c>
      <c r="B3738" t="inlineStr">
        <is>
          <t>附表6!C33</t>
        </is>
      </c>
      <c r="C3738" t="inlineStr">
        <is>
          <t>excel_formula</t>
        </is>
      </c>
    </row>
    <row r="3739">
      <c r="A3739" t="inlineStr">
        <is>
          <t>附表6!V6</t>
        </is>
      </c>
      <c r="B3739" t="inlineStr">
        <is>
          <t>附表6!C34</t>
        </is>
      </c>
      <c r="C3739" t="inlineStr">
        <is>
          <t>excel_formula</t>
        </is>
      </c>
    </row>
    <row r="3740">
      <c r="A3740" t="inlineStr">
        <is>
          <t>附表6!W6</t>
        </is>
      </c>
      <c r="B3740" t="inlineStr">
        <is>
          <t>附表6!C35</t>
        </is>
      </c>
      <c r="C3740" t="inlineStr">
        <is>
          <t>excel_formula</t>
        </is>
      </c>
    </row>
    <row r="3741">
      <c r="A3741" t="inlineStr">
        <is>
          <t>附表6!X6</t>
        </is>
      </c>
      <c r="B3741" t="inlineStr">
        <is>
          <t>附表6!C36</t>
        </is>
      </c>
      <c r="C3741" t="inlineStr">
        <is>
          <t>excel_formula</t>
        </is>
      </c>
    </row>
    <row r="3742">
      <c r="A3742" t="inlineStr">
        <is>
          <t>附表6!Y6</t>
        </is>
      </c>
      <c r="B3742" t="inlineStr">
        <is>
          <t>附表6!C37</t>
        </is>
      </c>
      <c r="C3742" t="inlineStr">
        <is>
          <t>excel_formula</t>
        </is>
      </c>
    </row>
    <row r="3743">
      <c r="A3743" t="inlineStr">
        <is>
          <t>附表6!Z6</t>
        </is>
      </c>
      <c r="B3743" t="inlineStr">
        <is>
          <t>附表6!C38</t>
        </is>
      </c>
      <c r="C3743" t="inlineStr">
        <is>
          <t>excel_formula</t>
        </is>
      </c>
    </row>
    <row r="3744">
      <c r="A3744" t="inlineStr">
        <is>
          <t>附表6!AA6</t>
        </is>
      </c>
      <c r="B3744" t="inlineStr">
        <is>
          <t>附表6!C39</t>
        </is>
      </c>
      <c r="C3744" t="inlineStr">
        <is>
          <t>excel_formula</t>
        </is>
      </c>
    </row>
    <row r="3745">
      <c r="A3745" t="inlineStr">
        <is>
          <t>附表6!D7</t>
        </is>
      </c>
      <c r="B3745" t="inlineStr">
        <is>
          <t>附表6!D16</t>
        </is>
      </c>
      <c r="C3745" t="inlineStr">
        <is>
          <t>excel_formula</t>
        </is>
      </c>
    </row>
    <row r="3746">
      <c r="A3746" t="inlineStr">
        <is>
          <t>附表6!E7</t>
        </is>
      </c>
      <c r="B3746" t="inlineStr">
        <is>
          <t>附表6!D17</t>
        </is>
      </c>
      <c r="C3746" t="inlineStr">
        <is>
          <t>excel_formula</t>
        </is>
      </c>
    </row>
    <row r="3747">
      <c r="A3747" t="inlineStr">
        <is>
          <t>附表6!F7</t>
        </is>
      </c>
      <c r="B3747" t="inlineStr">
        <is>
          <t>附表6!D18</t>
        </is>
      </c>
      <c r="C3747" t="inlineStr">
        <is>
          <t>excel_formula</t>
        </is>
      </c>
    </row>
    <row r="3748">
      <c r="A3748" t="inlineStr">
        <is>
          <t>附表6!G7</t>
        </is>
      </c>
      <c r="B3748" t="inlineStr">
        <is>
          <t>附表6!D19</t>
        </is>
      </c>
      <c r="C3748" t="inlineStr">
        <is>
          <t>excel_formula</t>
        </is>
      </c>
    </row>
    <row r="3749">
      <c r="A3749" t="inlineStr">
        <is>
          <t>附表6!H7</t>
        </is>
      </c>
      <c r="B3749" t="inlineStr">
        <is>
          <t>附表6!D20</t>
        </is>
      </c>
      <c r="C3749" t="inlineStr">
        <is>
          <t>excel_formula</t>
        </is>
      </c>
    </row>
    <row r="3750">
      <c r="A3750" t="inlineStr">
        <is>
          <t>附表6!I7</t>
        </is>
      </c>
      <c r="B3750" t="inlineStr">
        <is>
          <t>附表6!D21</t>
        </is>
      </c>
      <c r="C3750" t="inlineStr">
        <is>
          <t>excel_formula</t>
        </is>
      </c>
    </row>
    <row r="3751">
      <c r="A3751" t="inlineStr">
        <is>
          <t>附表6!J7</t>
        </is>
      </c>
      <c r="B3751" t="inlineStr">
        <is>
          <t>附表6!D22</t>
        </is>
      </c>
      <c r="C3751" t="inlineStr">
        <is>
          <t>excel_formula</t>
        </is>
      </c>
    </row>
    <row r="3752">
      <c r="A3752" t="inlineStr">
        <is>
          <t>附表6!K7</t>
        </is>
      </c>
      <c r="B3752" t="inlineStr">
        <is>
          <t>附表6!D23</t>
        </is>
      </c>
      <c r="C3752" t="inlineStr">
        <is>
          <t>excel_formula</t>
        </is>
      </c>
    </row>
    <row r="3753">
      <c r="A3753" t="inlineStr">
        <is>
          <t>附表6!L7</t>
        </is>
      </c>
      <c r="B3753" t="inlineStr">
        <is>
          <t>附表6!D24</t>
        </is>
      </c>
      <c r="C3753" t="inlineStr">
        <is>
          <t>excel_formula</t>
        </is>
      </c>
    </row>
    <row r="3754">
      <c r="A3754" t="inlineStr">
        <is>
          <t>附表6!M7</t>
        </is>
      </c>
      <c r="B3754" t="inlineStr">
        <is>
          <t>附表6!D25</t>
        </is>
      </c>
      <c r="C3754" t="inlineStr">
        <is>
          <t>excel_formula</t>
        </is>
      </c>
    </row>
    <row r="3755">
      <c r="A3755" t="inlineStr">
        <is>
          <t>附表6!N7</t>
        </is>
      </c>
      <c r="B3755" t="inlineStr">
        <is>
          <t>附表6!D26</t>
        </is>
      </c>
      <c r="C3755" t="inlineStr">
        <is>
          <t>excel_formula</t>
        </is>
      </c>
    </row>
    <row r="3756">
      <c r="A3756" t="inlineStr">
        <is>
          <t>附表6!O7</t>
        </is>
      </c>
      <c r="B3756" t="inlineStr">
        <is>
          <t>附表6!D27</t>
        </is>
      </c>
      <c r="C3756" t="inlineStr">
        <is>
          <t>excel_formula</t>
        </is>
      </c>
    </row>
    <row r="3757">
      <c r="A3757" t="inlineStr">
        <is>
          <t>附表6!P7</t>
        </is>
      </c>
      <c r="B3757" t="inlineStr">
        <is>
          <t>附表6!D28</t>
        </is>
      </c>
      <c r="C3757" t="inlineStr">
        <is>
          <t>excel_formula</t>
        </is>
      </c>
    </row>
    <row r="3758">
      <c r="A3758" t="inlineStr">
        <is>
          <t>附表6!Q7</t>
        </is>
      </c>
      <c r="B3758" t="inlineStr">
        <is>
          <t>附表6!D29</t>
        </is>
      </c>
      <c r="C3758" t="inlineStr">
        <is>
          <t>excel_formula</t>
        </is>
      </c>
    </row>
    <row r="3759">
      <c r="A3759" t="inlineStr">
        <is>
          <t>附表6!R7</t>
        </is>
      </c>
      <c r="B3759" t="inlineStr">
        <is>
          <t>附表6!D30</t>
        </is>
      </c>
      <c r="C3759" t="inlineStr">
        <is>
          <t>excel_formula</t>
        </is>
      </c>
    </row>
    <row r="3760">
      <c r="A3760" t="inlineStr">
        <is>
          <t>附表6!S7</t>
        </is>
      </c>
      <c r="B3760" t="inlineStr">
        <is>
          <t>附表6!D31</t>
        </is>
      </c>
      <c r="C3760" t="inlineStr">
        <is>
          <t>excel_formula</t>
        </is>
      </c>
    </row>
    <row r="3761">
      <c r="A3761" t="inlineStr">
        <is>
          <t>附表6!T7</t>
        </is>
      </c>
      <c r="B3761" t="inlineStr">
        <is>
          <t>附表6!D32</t>
        </is>
      </c>
      <c r="C3761" t="inlineStr">
        <is>
          <t>excel_formula</t>
        </is>
      </c>
    </row>
    <row r="3762">
      <c r="A3762" t="inlineStr">
        <is>
          <t>附表6!U7</t>
        </is>
      </c>
      <c r="B3762" t="inlineStr">
        <is>
          <t>附表6!D33</t>
        </is>
      </c>
      <c r="C3762" t="inlineStr">
        <is>
          <t>excel_formula</t>
        </is>
      </c>
    </row>
    <row r="3763">
      <c r="A3763" t="inlineStr">
        <is>
          <t>附表6!V7</t>
        </is>
      </c>
      <c r="B3763" t="inlineStr">
        <is>
          <t>附表6!D34</t>
        </is>
      </c>
      <c r="C3763" t="inlineStr">
        <is>
          <t>excel_formula</t>
        </is>
      </c>
    </row>
    <row r="3764">
      <c r="A3764" t="inlineStr">
        <is>
          <t>附表6!W7</t>
        </is>
      </c>
      <c r="B3764" t="inlineStr">
        <is>
          <t>附表6!D35</t>
        </is>
      </c>
      <c r="C3764" t="inlineStr">
        <is>
          <t>excel_formula</t>
        </is>
      </c>
    </row>
    <row r="3765">
      <c r="A3765" t="inlineStr">
        <is>
          <t>附表6!X7</t>
        </is>
      </c>
      <c r="B3765" t="inlineStr">
        <is>
          <t>附表6!D36</t>
        </is>
      </c>
      <c r="C3765" t="inlineStr">
        <is>
          <t>excel_formula</t>
        </is>
      </c>
    </row>
    <row r="3766">
      <c r="A3766" t="inlineStr">
        <is>
          <t>附表6!Y7</t>
        </is>
      </c>
      <c r="B3766" t="inlineStr">
        <is>
          <t>附表6!D37</t>
        </is>
      </c>
      <c r="C3766" t="inlineStr">
        <is>
          <t>excel_formula</t>
        </is>
      </c>
    </row>
    <row r="3767">
      <c r="A3767" t="inlineStr">
        <is>
          <t>附表6!Z7</t>
        </is>
      </c>
      <c r="B3767" t="inlineStr">
        <is>
          <t>附表6!D38</t>
        </is>
      </c>
      <c r="C3767" t="inlineStr">
        <is>
          <t>excel_formula</t>
        </is>
      </c>
    </row>
    <row r="3768">
      <c r="A3768" t="inlineStr">
        <is>
          <t>附表6!AA7</t>
        </is>
      </c>
      <c r="B3768" t="inlineStr">
        <is>
          <t>附表6!D39</t>
        </is>
      </c>
      <c r="C3768" t="inlineStr">
        <is>
          <t>excel_formula</t>
        </is>
      </c>
    </row>
    <row r="3769">
      <c r="A3769" t="inlineStr">
        <is>
          <t>附表6!D8</t>
        </is>
      </c>
      <c r="B3769" t="inlineStr">
        <is>
          <t>附表6!E16</t>
        </is>
      </c>
      <c r="C3769" t="inlineStr">
        <is>
          <t>excel_formula</t>
        </is>
      </c>
    </row>
    <row r="3770">
      <c r="A3770" t="inlineStr">
        <is>
          <t>附表6!E8</t>
        </is>
      </c>
      <c r="B3770" t="inlineStr">
        <is>
          <t>附表6!E17</t>
        </is>
      </c>
      <c r="C3770" t="inlineStr">
        <is>
          <t>excel_formula</t>
        </is>
      </c>
    </row>
    <row r="3771">
      <c r="A3771" t="inlineStr">
        <is>
          <t>附表6!F8</t>
        </is>
      </c>
      <c r="B3771" t="inlineStr">
        <is>
          <t>附表6!E18</t>
        </is>
      </c>
      <c r="C3771" t="inlineStr">
        <is>
          <t>excel_formula</t>
        </is>
      </c>
    </row>
    <row r="3772">
      <c r="A3772" t="inlineStr">
        <is>
          <t>附表6!G8</t>
        </is>
      </c>
      <c r="B3772" t="inlineStr">
        <is>
          <t>附表6!E19</t>
        </is>
      </c>
      <c r="C3772" t="inlineStr">
        <is>
          <t>excel_formula</t>
        </is>
      </c>
    </row>
    <row r="3773">
      <c r="A3773" t="inlineStr">
        <is>
          <t>附表6!H8</t>
        </is>
      </c>
      <c r="B3773" t="inlineStr">
        <is>
          <t>附表6!E20</t>
        </is>
      </c>
      <c r="C3773" t="inlineStr">
        <is>
          <t>excel_formula</t>
        </is>
      </c>
    </row>
    <row r="3774">
      <c r="A3774" t="inlineStr">
        <is>
          <t>附表6!I8</t>
        </is>
      </c>
      <c r="B3774" t="inlineStr">
        <is>
          <t>附表6!E21</t>
        </is>
      </c>
      <c r="C3774" t="inlineStr">
        <is>
          <t>excel_formula</t>
        </is>
      </c>
    </row>
    <row r="3775">
      <c r="A3775" t="inlineStr">
        <is>
          <t>附表6!J8</t>
        </is>
      </c>
      <c r="B3775" t="inlineStr">
        <is>
          <t>附表6!E22</t>
        </is>
      </c>
      <c r="C3775" t="inlineStr">
        <is>
          <t>excel_formula</t>
        </is>
      </c>
    </row>
    <row r="3776">
      <c r="A3776" t="inlineStr">
        <is>
          <t>附表6!K8</t>
        </is>
      </c>
      <c r="B3776" t="inlineStr">
        <is>
          <t>附表6!E23</t>
        </is>
      </c>
      <c r="C3776" t="inlineStr">
        <is>
          <t>excel_formula</t>
        </is>
      </c>
    </row>
    <row r="3777">
      <c r="A3777" t="inlineStr">
        <is>
          <t>附表6!L8</t>
        </is>
      </c>
      <c r="B3777" t="inlineStr">
        <is>
          <t>附表6!E24</t>
        </is>
      </c>
      <c r="C3777" t="inlineStr">
        <is>
          <t>excel_formula</t>
        </is>
      </c>
    </row>
    <row r="3778">
      <c r="A3778" t="inlineStr">
        <is>
          <t>附表6!M8</t>
        </is>
      </c>
      <c r="B3778" t="inlineStr">
        <is>
          <t>附表6!E25</t>
        </is>
      </c>
      <c r="C3778" t="inlineStr">
        <is>
          <t>excel_formula</t>
        </is>
      </c>
    </row>
    <row r="3779">
      <c r="A3779" t="inlineStr">
        <is>
          <t>附表6!N8</t>
        </is>
      </c>
      <c r="B3779" t="inlineStr">
        <is>
          <t>附表6!E26</t>
        </is>
      </c>
      <c r="C3779" t="inlineStr">
        <is>
          <t>excel_formula</t>
        </is>
      </c>
    </row>
    <row r="3780">
      <c r="A3780" t="inlineStr">
        <is>
          <t>附表6!O8</t>
        </is>
      </c>
      <c r="B3780" t="inlineStr">
        <is>
          <t>附表6!E27</t>
        </is>
      </c>
      <c r="C3780" t="inlineStr">
        <is>
          <t>excel_formula</t>
        </is>
      </c>
    </row>
    <row r="3781">
      <c r="A3781" t="inlineStr">
        <is>
          <t>附表6!P8</t>
        </is>
      </c>
      <c r="B3781" t="inlineStr">
        <is>
          <t>附表6!E28</t>
        </is>
      </c>
      <c r="C3781" t="inlineStr">
        <is>
          <t>excel_formula</t>
        </is>
      </c>
    </row>
    <row r="3782">
      <c r="A3782" t="inlineStr">
        <is>
          <t>附表6!Q8</t>
        </is>
      </c>
      <c r="B3782" t="inlineStr">
        <is>
          <t>附表6!E29</t>
        </is>
      </c>
      <c r="C3782" t="inlineStr">
        <is>
          <t>excel_formula</t>
        </is>
      </c>
    </row>
    <row r="3783">
      <c r="A3783" t="inlineStr">
        <is>
          <t>附表6!R8</t>
        </is>
      </c>
      <c r="B3783" t="inlineStr">
        <is>
          <t>附表6!E30</t>
        </is>
      </c>
      <c r="C3783" t="inlineStr">
        <is>
          <t>excel_formula</t>
        </is>
      </c>
    </row>
    <row r="3784">
      <c r="A3784" t="inlineStr">
        <is>
          <t>附表6!S8</t>
        </is>
      </c>
      <c r="B3784" t="inlineStr">
        <is>
          <t>附表6!E31</t>
        </is>
      </c>
      <c r="C3784" t="inlineStr">
        <is>
          <t>excel_formula</t>
        </is>
      </c>
    </row>
    <row r="3785">
      <c r="A3785" t="inlineStr">
        <is>
          <t>附表6!T8</t>
        </is>
      </c>
      <c r="B3785" t="inlineStr">
        <is>
          <t>附表6!E32</t>
        </is>
      </c>
      <c r="C3785" t="inlineStr">
        <is>
          <t>excel_formula</t>
        </is>
      </c>
    </row>
    <row r="3786">
      <c r="A3786" t="inlineStr">
        <is>
          <t>附表6!U8</t>
        </is>
      </c>
      <c r="B3786" t="inlineStr">
        <is>
          <t>附表6!E33</t>
        </is>
      </c>
      <c r="C3786" t="inlineStr">
        <is>
          <t>excel_formula</t>
        </is>
      </c>
    </row>
    <row r="3787">
      <c r="A3787" t="inlineStr">
        <is>
          <t>附表6!V8</t>
        </is>
      </c>
      <c r="B3787" t="inlineStr">
        <is>
          <t>附表6!E34</t>
        </is>
      </c>
      <c r="C3787" t="inlineStr">
        <is>
          <t>excel_formula</t>
        </is>
      </c>
    </row>
    <row r="3788">
      <c r="A3788" t="inlineStr">
        <is>
          <t>附表6!W8</t>
        </is>
      </c>
      <c r="B3788" t="inlineStr">
        <is>
          <t>附表6!E35</t>
        </is>
      </c>
      <c r="C3788" t="inlineStr">
        <is>
          <t>excel_formula</t>
        </is>
      </c>
    </row>
    <row r="3789">
      <c r="A3789" t="inlineStr">
        <is>
          <t>附表6!X8</t>
        </is>
      </c>
      <c r="B3789" t="inlineStr">
        <is>
          <t>附表6!E36</t>
        </is>
      </c>
      <c r="C3789" t="inlineStr">
        <is>
          <t>excel_formula</t>
        </is>
      </c>
    </row>
    <row r="3790">
      <c r="A3790" t="inlineStr">
        <is>
          <t>附表6!Y8</t>
        </is>
      </c>
      <c r="B3790" t="inlineStr">
        <is>
          <t>附表6!E37</t>
        </is>
      </c>
      <c r="C3790" t="inlineStr">
        <is>
          <t>excel_formula</t>
        </is>
      </c>
    </row>
    <row r="3791">
      <c r="A3791" t="inlineStr">
        <is>
          <t>附表6!Z8</t>
        </is>
      </c>
      <c r="B3791" t="inlineStr">
        <is>
          <t>附表6!E38</t>
        </is>
      </c>
      <c r="C3791" t="inlineStr">
        <is>
          <t>excel_formula</t>
        </is>
      </c>
    </row>
    <row r="3792">
      <c r="A3792" t="inlineStr">
        <is>
          <t>附表6!AA8</t>
        </is>
      </c>
      <c r="B3792" t="inlineStr">
        <is>
          <t>附表6!E39</t>
        </is>
      </c>
      <c r="C3792" t="inlineStr">
        <is>
          <t>excel_formula</t>
        </is>
      </c>
    </row>
    <row r="3793">
      <c r="A3793" t="inlineStr">
        <is>
          <t>附表6!D9</t>
        </is>
      </c>
      <c r="B3793" t="inlineStr">
        <is>
          <t>附表6!E16</t>
        </is>
      </c>
      <c r="C3793" t="inlineStr">
        <is>
          <t>excel_formula</t>
        </is>
      </c>
    </row>
    <row r="3794">
      <c r="A3794" t="inlineStr">
        <is>
          <t>附表6!E9</t>
        </is>
      </c>
      <c r="B3794" t="inlineStr">
        <is>
          <t>附表6!E17</t>
        </is>
      </c>
      <c r="C3794" t="inlineStr">
        <is>
          <t>excel_formula</t>
        </is>
      </c>
    </row>
    <row r="3795">
      <c r="A3795" t="inlineStr">
        <is>
          <t>附表6!F9</t>
        </is>
      </c>
      <c r="B3795" t="inlineStr">
        <is>
          <t>附表6!E18</t>
        </is>
      </c>
      <c r="C3795" t="inlineStr">
        <is>
          <t>excel_formula</t>
        </is>
      </c>
    </row>
    <row r="3796">
      <c r="A3796" t="inlineStr">
        <is>
          <t>附表6!G9</t>
        </is>
      </c>
      <c r="B3796" t="inlineStr">
        <is>
          <t>附表6!E19</t>
        </is>
      </c>
      <c r="C3796" t="inlineStr">
        <is>
          <t>excel_formula</t>
        </is>
      </c>
    </row>
    <row r="3797">
      <c r="A3797" t="inlineStr">
        <is>
          <t>附表6!H9</t>
        </is>
      </c>
      <c r="B3797" t="inlineStr">
        <is>
          <t>附表6!E20</t>
        </is>
      </c>
      <c r="C3797" t="inlineStr">
        <is>
          <t>excel_formula</t>
        </is>
      </c>
    </row>
    <row r="3798">
      <c r="A3798" t="inlineStr">
        <is>
          <t>附表6!I9</t>
        </is>
      </c>
      <c r="B3798" t="inlineStr">
        <is>
          <t>附表6!E21</t>
        </is>
      </c>
      <c r="C3798" t="inlineStr">
        <is>
          <t>excel_formula</t>
        </is>
      </c>
    </row>
    <row r="3799">
      <c r="A3799" t="inlineStr">
        <is>
          <t>附表6!J9</t>
        </is>
      </c>
      <c r="B3799" t="inlineStr">
        <is>
          <t>附表6!E22</t>
        </is>
      </c>
      <c r="C3799" t="inlineStr">
        <is>
          <t>excel_formula</t>
        </is>
      </c>
    </row>
    <row r="3800">
      <c r="A3800" t="inlineStr">
        <is>
          <t>附表6!K9</t>
        </is>
      </c>
      <c r="B3800" t="inlineStr">
        <is>
          <t>附表6!E23</t>
        </is>
      </c>
      <c r="C3800" t="inlineStr">
        <is>
          <t>excel_formula</t>
        </is>
      </c>
    </row>
    <row r="3801">
      <c r="A3801" t="inlineStr">
        <is>
          <t>附表6!L9</t>
        </is>
      </c>
      <c r="B3801" t="inlineStr">
        <is>
          <t>附表6!E24</t>
        </is>
      </c>
      <c r="C3801" t="inlineStr">
        <is>
          <t>excel_formula</t>
        </is>
      </c>
    </row>
    <row r="3802">
      <c r="A3802" t="inlineStr">
        <is>
          <t>附表6!M9</t>
        </is>
      </c>
      <c r="B3802" t="inlineStr">
        <is>
          <t>附表6!E25</t>
        </is>
      </c>
      <c r="C3802" t="inlineStr">
        <is>
          <t>excel_formula</t>
        </is>
      </c>
    </row>
    <row r="3803">
      <c r="A3803" t="inlineStr">
        <is>
          <t>附表6!N9</t>
        </is>
      </c>
      <c r="B3803" t="inlineStr">
        <is>
          <t>附表6!E26</t>
        </is>
      </c>
      <c r="C3803" t="inlineStr">
        <is>
          <t>excel_formula</t>
        </is>
      </c>
    </row>
    <row r="3804">
      <c r="A3804" t="inlineStr">
        <is>
          <t>附表6!O9</t>
        </is>
      </c>
      <c r="B3804" t="inlineStr">
        <is>
          <t>附表6!E27</t>
        </is>
      </c>
      <c r="C3804" t="inlineStr">
        <is>
          <t>excel_formula</t>
        </is>
      </c>
    </row>
    <row r="3805">
      <c r="A3805" t="inlineStr">
        <is>
          <t>附表6!P9</t>
        </is>
      </c>
      <c r="B3805" t="inlineStr">
        <is>
          <t>附表6!E28</t>
        </is>
      </c>
      <c r="C3805" t="inlineStr">
        <is>
          <t>excel_formula</t>
        </is>
      </c>
    </row>
    <row r="3806">
      <c r="A3806" t="inlineStr">
        <is>
          <t>附表6!Q9</t>
        </is>
      </c>
      <c r="B3806" t="inlineStr">
        <is>
          <t>附表6!E29</t>
        </is>
      </c>
      <c r="C3806" t="inlineStr">
        <is>
          <t>excel_formula</t>
        </is>
      </c>
    </row>
    <row r="3807">
      <c r="A3807" t="inlineStr">
        <is>
          <t>附表6!R9</t>
        </is>
      </c>
      <c r="B3807" t="inlineStr">
        <is>
          <t>附表6!E30</t>
        </is>
      </c>
      <c r="C3807" t="inlineStr">
        <is>
          <t>excel_formula</t>
        </is>
      </c>
    </row>
    <row r="3808">
      <c r="A3808" t="inlineStr">
        <is>
          <t>附表6!S9</t>
        </is>
      </c>
      <c r="B3808" t="inlineStr">
        <is>
          <t>附表6!E31</t>
        </is>
      </c>
      <c r="C3808" t="inlineStr">
        <is>
          <t>excel_formula</t>
        </is>
      </c>
    </row>
    <row r="3809">
      <c r="A3809" t="inlineStr">
        <is>
          <t>附表6!T9</t>
        </is>
      </c>
      <c r="B3809" t="inlineStr">
        <is>
          <t>附表6!E32</t>
        </is>
      </c>
      <c r="C3809" t="inlineStr">
        <is>
          <t>excel_formula</t>
        </is>
      </c>
    </row>
    <row r="3810">
      <c r="A3810" t="inlineStr">
        <is>
          <t>附表6!U9</t>
        </is>
      </c>
      <c r="B3810" t="inlineStr">
        <is>
          <t>附表6!E33</t>
        </is>
      </c>
      <c r="C3810" t="inlineStr">
        <is>
          <t>excel_formula</t>
        </is>
      </c>
    </row>
    <row r="3811">
      <c r="A3811" t="inlineStr">
        <is>
          <t>附表6!V9</t>
        </is>
      </c>
      <c r="B3811" t="inlineStr">
        <is>
          <t>附表6!E34</t>
        </is>
      </c>
      <c r="C3811" t="inlineStr">
        <is>
          <t>excel_formula</t>
        </is>
      </c>
    </row>
    <row r="3812">
      <c r="A3812" t="inlineStr">
        <is>
          <t>附表6!W9</t>
        </is>
      </c>
      <c r="B3812" t="inlineStr">
        <is>
          <t>附表6!E35</t>
        </is>
      </c>
      <c r="C3812" t="inlineStr">
        <is>
          <t>excel_formula</t>
        </is>
      </c>
    </row>
    <row r="3813">
      <c r="A3813" t="inlineStr">
        <is>
          <t>附表6!X9</t>
        </is>
      </c>
      <c r="B3813" t="inlineStr">
        <is>
          <t>附表6!E36</t>
        </is>
      </c>
      <c r="C3813" t="inlineStr">
        <is>
          <t>excel_formula</t>
        </is>
      </c>
    </row>
    <row r="3814">
      <c r="A3814" t="inlineStr">
        <is>
          <t>附表6!Y9</t>
        </is>
      </c>
      <c r="B3814" t="inlineStr">
        <is>
          <t>附表6!E37</t>
        </is>
      </c>
      <c r="C3814" t="inlineStr">
        <is>
          <t>excel_formula</t>
        </is>
      </c>
    </row>
    <row r="3815">
      <c r="A3815" t="inlineStr">
        <is>
          <t>附表6!Z9</t>
        </is>
      </c>
      <c r="B3815" t="inlineStr">
        <is>
          <t>附表6!E38</t>
        </is>
      </c>
      <c r="C3815" t="inlineStr">
        <is>
          <t>excel_formula</t>
        </is>
      </c>
    </row>
    <row r="3816">
      <c r="A3816" t="inlineStr">
        <is>
          <t>附表6!AA9</t>
        </is>
      </c>
      <c r="B3816" t="inlineStr">
        <is>
          <t>附表6!E39</t>
        </is>
      </c>
      <c r="C3816" t="inlineStr">
        <is>
          <t>excel_formula</t>
        </is>
      </c>
    </row>
    <row r="3817">
      <c r="A3817" t="inlineStr">
        <is>
          <t>附表6!D10</t>
        </is>
      </c>
      <c r="B3817" t="inlineStr">
        <is>
          <t>附表6!F16</t>
        </is>
      </c>
      <c r="C3817" t="inlineStr">
        <is>
          <t>excel_formula</t>
        </is>
      </c>
    </row>
    <row r="3818">
      <c r="A3818" t="inlineStr">
        <is>
          <t>附表6!E10</t>
        </is>
      </c>
      <c r="B3818" t="inlineStr">
        <is>
          <t>附表6!F17</t>
        </is>
      </c>
      <c r="C3818" t="inlineStr">
        <is>
          <t>excel_formula</t>
        </is>
      </c>
    </row>
    <row r="3819">
      <c r="A3819" t="inlineStr">
        <is>
          <t>附表6!F10</t>
        </is>
      </c>
      <c r="B3819" t="inlineStr">
        <is>
          <t>附表6!F18</t>
        </is>
      </c>
      <c r="C3819" t="inlineStr">
        <is>
          <t>excel_formula</t>
        </is>
      </c>
    </row>
    <row r="3820">
      <c r="A3820" t="inlineStr">
        <is>
          <t>附表6!G10</t>
        </is>
      </c>
      <c r="B3820" t="inlineStr">
        <is>
          <t>附表6!F19</t>
        </is>
      </c>
      <c r="C3820" t="inlineStr">
        <is>
          <t>excel_formula</t>
        </is>
      </c>
    </row>
    <row r="3821">
      <c r="A3821" t="inlineStr">
        <is>
          <t>附表6!H10</t>
        </is>
      </c>
      <c r="B3821" t="inlineStr">
        <is>
          <t>附表6!F20</t>
        </is>
      </c>
      <c r="C3821" t="inlineStr">
        <is>
          <t>excel_formula</t>
        </is>
      </c>
    </row>
    <row r="3822">
      <c r="A3822" t="inlineStr">
        <is>
          <t>附表6!I10</t>
        </is>
      </c>
      <c r="B3822" t="inlineStr">
        <is>
          <t>附表6!F21</t>
        </is>
      </c>
      <c r="C3822" t="inlineStr">
        <is>
          <t>excel_formula</t>
        </is>
      </c>
    </row>
    <row r="3823">
      <c r="A3823" t="inlineStr">
        <is>
          <t>附表6!J10</t>
        </is>
      </c>
      <c r="B3823" t="inlineStr">
        <is>
          <t>附表6!F22</t>
        </is>
      </c>
      <c r="C3823" t="inlineStr">
        <is>
          <t>excel_formula</t>
        </is>
      </c>
    </row>
    <row r="3824">
      <c r="A3824" t="inlineStr">
        <is>
          <t>附表6!K10</t>
        </is>
      </c>
      <c r="B3824" t="inlineStr">
        <is>
          <t>附表6!F23</t>
        </is>
      </c>
      <c r="C3824" t="inlineStr">
        <is>
          <t>excel_formula</t>
        </is>
      </c>
    </row>
    <row r="3825">
      <c r="A3825" t="inlineStr">
        <is>
          <t>附表6!L10</t>
        </is>
      </c>
      <c r="B3825" t="inlineStr">
        <is>
          <t>附表6!F24</t>
        </is>
      </c>
      <c r="C3825" t="inlineStr">
        <is>
          <t>excel_formula</t>
        </is>
      </c>
    </row>
    <row r="3826">
      <c r="A3826" t="inlineStr">
        <is>
          <t>附表6!M10</t>
        </is>
      </c>
      <c r="B3826" t="inlineStr">
        <is>
          <t>附表6!F25</t>
        </is>
      </c>
      <c r="C3826" t="inlineStr">
        <is>
          <t>excel_formula</t>
        </is>
      </c>
    </row>
    <row r="3827">
      <c r="A3827" t="inlineStr">
        <is>
          <t>附表6!N10</t>
        </is>
      </c>
      <c r="B3827" t="inlineStr">
        <is>
          <t>附表6!F26</t>
        </is>
      </c>
      <c r="C3827" t="inlineStr">
        <is>
          <t>excel_formula</t>
        </is>
      </c>
    </row>
    <row r="3828">
      <c r="A3828" t="inlineStr">
        <is>
          <t>附表6!O10</t>
        </is>
      </c>
      <c r="B3828" t="inlineStr">
        <is>
          <t>附表6!F27</t>
        </is>
      </c>
      <c r="C3828" t="inlineStr">
        <is>
          <t>excel_formula</t>
        </is>
      </c>
    </row>
    <row r="3829">
      <c r="A3829" t="inlineStr">
        <is>
          <t>附表6!P10</t>
        </is>
      </c>
      <c r="B3829" t="inlineStr">
        <is>
          <t>附表6!F28</t>
        </is>
      </c>
      <c r="C3829" t="inlineStr">
        <is>
          <t>excel_formula</t>
        </is>
      </c>
    </row>
    <row r="3830">
      <c r="A3830" t="inlineStr">
        <is>
          <t>附表6!Q10</t>
        </is>
      </c>
      <c r="B3830" t="inlineStr">
        <is>
          <t>附表6!F29</t>
        </is>
      </c>
      <c r="C3830" t="inlineStr">
        <is>
          <t>excel_formula</t>
        </is>
      </c>
    </row>
    <row r="3831">
      <c r="A3831" t="inlineStr">
        <is>
          <t>附表6!R10</t>
        </is>
      </c>
      <c r="B3831" t="inlineStr">
        <is>
          <t>附表6!F30</t>
        </is>
      </c>
      <c r="C3831" t="inlineStr">
        <is>
          <t>excel_formula</t>
        </is>
      </c>
    </row>
    <row r="3832">
      <c r="A3832" t="inlineStr">
        <is>
          <t>附表6!S10</t>
        </is>
      </c>
      <c r="B3832" t="inlineStr">
        <is>
          <t>附表6!F31</t>
        </is>
      </c>
      <c r="C3832" t="inlineStr">
        <is>
          <t>excel_formula</t>
        </is>
      </c>
    </row>
    <row r="3833">
      <c r="A3833" t="inlineStr">
        <is>
          <t>附表6!T10</t>
        </is>
      </c>
      <c r="B3833" t="inlineStr">
        <is>
          <t>附表6!F32</t>
        </is>
      </c>
      <c r="C3833" t="inlineStr">
        <is>
          <t>excel_formula</t>
        </is>
      </c>
    </row>
    <row r="3834">
      <c r="A3834" t="inlineStr">
        <is>
          <t>附表6!U10</t>
        </is>
      </c>
      <c r="B3834" t="inlineStr">
        <is>
          <t>附表6!F33</t>
        </is>
      </c>
      <c r="C3834" t="inlineStr">
        <is>
          <t>excel_formula</t>
        </is>
      </c>
    </row>
    <row r="3835">
      <c r="A3835" t="inlineStr">
        <is>
          <t>附表6!V10</t>
        </is>
      </c>
      <c r="B3835" t="inlineStr">
        <is>
          <t>附表6!F34</t>
        </is>
      </c>
      <c r="C3835" t="inlineStr">
        <is>
          <t>excel_formula</t>
        </is>
      </c>
    </row>
    <row r="3836">
      <c r="A3836" t="inlineStr">
        <is>
          <t>附表6!W10</t>
        </is>
      </c>
      <c r="B3836" t="inlineStr">
        <is>
          <t>附表6!F35</t>
        </is>
      </c>
      <c r="C3836" t="inlineStr">
        <is>
          <t>excel_formula</t>
        </is>
      </c>
    </row>
    <row r="3837">
      <c r="A3837" t="inlineStr">
        <is>
          <t>附表6!X10</t>
        </is>
      </c>
      <c r="B3837" t="inlineStr">
        <is>
          <t>附表6!F36</t>
        </is>
      </c>
      <c r="C3837" t="inlineStr">
        <is>
          <t>excel_formula</t>
        </is>
      </c>
    </row>
    <row r="3838">
      <c r="A3838" t="inlineStr">
        <is>
          <t>附表6!Y10</t>
        </is>
      </c>
      <c r="B3838" t="inlineStr">
        <is>
          <t>附表6!F37</t>
        </is>
      </c>
      <c r="C3838" t="inlineStr">
        <is>
          <t>excel_formula</t>
        </is>
      </c>
    </row>
    <row r="3839">
      <c r="A3839" t="inlineStr">
        <is>
          <t>附表6!Z10</t>
        </is>
      </c>
      <c r="B3839" t="inlineStr">
        <is>
          <t>附表6!F38</t>
        </is>
      </c>
      <c r="C3839" t="inlineStr">
        <is>
          <t>excel_formula</t>
        </is>
      </c>
    </row>
    <row r="3840">
      <c r="A3840" t="inlineStr">
        <is>
          <t>附表6!AA10</t>
        </is>
      </c>
      <c r="B3840" t="inlineStr">
        <is>
          <t>附表6!F39</t>
        </is>
      </c>
      <c r="C3840" t="inlineStr">
        <is>
          <t>excel_formula</t>
        </is>
      </c>
    </row>
    <row r="3841">
      <c r="A3841" t="inlineStr">
        <is>
          <t>附表6-1!G5</t>
        </is>
      </c>
      <c r="B3841" t="inlineStr">
        <is>
          <t>附表6-1!B11</t>
        </is>
      </c>
      <c r="C3841" t="inlineStr">
        <is>
          <t>excel_formula</t>
        </is>
      </c>
    </row>
    <row r="3842">
      <c r="A3842" t="inlineStr">
        <is>
          <t>附表6-1!H5</t>
        </is>
      </c>
      <c r="B3842" t="inlineStr">
        <is>
          <t>附表6-1!B12</t>
        </is>
      </c>
      <c r="C3842" t="inlineStr">
        <is>
          <t>excel_formula</t>
        </is>
      </c>
    </row>
    <row r="3843">
      <c r="A3843" t="inlineStr">
        <is>
          <t>附表6-1!I5</t>
        </is>
      </c>
      <c r="B3843" t="inlineStr">
        <is>
          <t>附表6-1!B13</t>
        </is>
      </c>
      <c r="C3843" t="inlineStr">
        <is>
          <t>excel_formula</t>
        </is>
      </c>
    </row>
    <row r="3844">
      <c r="A3844" t="inlineStr">
        <is>
          <t>附表6-1!J5</t>
        </is>
      </c>
      <c r="B3844" t="inlineStr">
        <is>
          <t>附表6-1!B14</t>
        </is>
      </c>
      <c r="C3844" t="inlineStr">
        <is>
          <t>excel_formula</t>
        </is>
      </c>
    </row>
    <row r="3845">
      <c r="A3845" t="inlineStr">
        <is>
          <t>附表6-1!K5</t>
        </is>
      </c>
      <c r="B3845" t="inlineStr">
        <is>
          <t>附表6-1!B15</t>
        </is>
      </c>
      <c r="C3845" t="inlineStr">
        <is>
          <t>excel_formula</t>
        </is>
      </c>
    </row>
    <row r="3846">
      <c r="A3846" t="inlineStr">
        <is>
          <t>附表6-1!L5</t>
        </is>
      </c>
      <c r="B3846" t="inlineStr">
        <is>
          <t>附表6-1!B16</t>
        </is>
      </c>
      <c r="C3846" t="inlineStr">
        <is>
          <t>excel_formula</t>
        </is>
      </c>
    </row>
    <row r="3847">
      <c r="A3847" t="inlineStr">
        <is>
          <t>附表6-1!M5</t>
        </is>
      </c>
      <c r="B3847" t="inlineStr">
        <is>
          <t>附表6-1!B17</t>
        </is>
      </c>
      <c r="C3847" t="inlineStr">
        <is>
          <t>excel_formula</t>
        </is>
      </c>
    </row>
    <row r="3848">
      <c r="A3848" t="inlineStr">
        <is>
          <t>附表6-1!N5</t>
        </is>
      </c>
      <c r="B3848" t="inlineStr">
        <is>
          <t>附表6-1!B18</t>
        </is>
      </c>
      <c r="C3848" t="inlineStr">
        <is>
          <t>excel_formula</t>
        </is>
      </c>
    </row>
    <row r="3849">
      <c r="A3849" t="inlineStr">
        <is>
          <t>附表6-1!O5</t>
        </is>
      </c>
      <c r="B3849" t="inlineStr">
        <is>
          <t>附表6-1!B19</t>
        </is>
      </c>
      <c r="C3849" t="inlineStr">
        <is>
          <t>excel_formula</t>
        </is>
      </c>
    </row>
    <row r="3850">
      <c r="A3850" t="inlineStr">
        <is>
          <t>附表6-1!P5</t>
        </is>
      </c>
      <c r="B3850" t="inlineStr">
        <is>
          <t>附表6-1!B20</t>
        </is>
      </c>
      <c r="C3850" t="inlineStr">
        <is>
          <t>excel_formula</t>
        </is>
      </c>
    </row>
    <row r="3851">
      <c r="A3851" t="inlineStr">
        <is>
          <t>附表6-1!Q5</t>
        </is>
      </c>
      <c r="B3851" t="inlineStr">
        <is>
          <t>附表6-1!B21</t>
        </is>
      </c>
      <c r="C3851" t="inlineStr">
        <is>
          <t>excel_formula</t>
        </is>
      </c>
    </row>
    <row r="3852">
      <c r="A3852" t="inlineStr">
        <is>
          <t>附表6-1!R5</t>
        </is>
      </c>
      <c r="B3852" t="inlineStr">
        <is>
          <t>附表6-1!B22</t>
        </is>
      </c>
      <c r="C3852" t="inlineStr">
        <is>
          <t>excel_formula</t>
        </is>
      </c>
    </row>
    <row r="3853">
      <c r="A3853" t="inlineStr">
        <is>
          <t>附表6-1!S5</t>
        </is>
      </c>
      <c r="B3853" t="inlineStr">
        <is>
          <t>附表6-1!B23</t>
        </is>
      </c>
      <c r="C3853" t="inlineStr">
        <is>
          <t>excel_formula</t>
        </is>
      </c>
    </row>
    <row r="3854">
      <c r="A3854" t="inlineStr">
        <is>
          <t>附表6-1!T5</t>
        </is>
      </c>
      <c r="B3854" t="inlineStr">
        <is>
          <t>附表6-1!B24</t>
        </is>
      </c>
      <c r="C3854" t="inlineStr">
        <is>
          <t>excel_formula</t>
        </is>
      </c>
    </row>
    <row r="3855">
      <c r="A3855" t="inlineStr">
        <is>
          <t>附表6-1!U5</t>
        </is>
      </c>
      <c r="B3855" t="inlineStr">
        <is>
          <t>附表6-1!B25</t>
        </is>
      </c>
      <c r="C3855" t="inlineStr">
        <is>
          <t>excel_formula</t>
        </is>
      </c>
    </row>
    <row r="3856">
      <c r="A3856" t="inlineStr">
        <is>
          <t>附表6-1!V5</t>
        </is>
      </c>
      <c r="B3856" t="inlineStr">
        <is>
          <t>附表6-1!B26</t>
        </is>
      </c>
      <c r="C3856" t="inlineStr">
        <is>
          <t>excel_formula</t>
        </is>
      </c>
    </row>
    <row r="3857">
      <c r="A3857" t="inlineStr">
        <is>
          <t>附表6-1!W5</t>
        </is>
      </c>
      <c r="B3857" t="inlineStr">
        <is>
          <t>附表6-1!B27</t>
        </is>
      </c>
      <c r="C3857" t="inlineStr">
        <is>
          <t>excel_formula</t>
        </is>
      </c>
    </row>
    <row r="3858">
      <c r="A3858" t="inlineStr">
        <is>
          <t>附表6-1!X5</t>
        </is>
      </c>
      <c r="B3858" t="inlineStr">
        <is>
          <t>附表6-1!B28</t>
        </is>
      </c>
      <c r="C3858" t="inlineStr">
        <is>
          <t>excel_formula</t>
        </is>
      </c>
    </row>
    <row r="3859">
      <c r="A3859" t="inlineStr">
        <is>
          <t>附表6-1!Y5</t>
        </is>
      </c>
      <c r="B3859" t="inlineStr">
        <is>
          <t>附表6-1!B29</t>
        </is>
      </c>
      <c r="C3859" t="inlineStr">
        <is>
          <t>excel_formula</t>
        </is>
      </c>
    </row>
    <row r="3860">
      <c r="A3860" t="inlineStr">
        <is>
          <t>附表6-1!Z5</t>
        </is>
      </c>
      <c r="B3860" t="inlineStr">
        <is>
          <t>附表6-1!B30</t>
        </is>
      </c>
      <c r="C3860" t="inlineStr">
        <is>
          <t>excel_formula</t>
        </is>
      </c>
    </row>
    <row r="3861">
      <c r="A3861" t="inlineStr">
        <is>
          <t>附表6-1!AA5</t>
        </is>
      </c>
      <c r="B3861" t="inlineStr">
        <is>
          <t>附表6-1!B31</t>
        </is>
      </c>
      <c r="C3861" t="inlineStr">
        <is>
          <t>excel_formula</t>
        </is>
      </c>
    </row>
    <row r="3862">
      <c r="A3862" t="inlineStr">
        <is>
          <t>附表6-1!AB5</t>
        </is>
      </c>
      <c r="B3862" t="inlineStr">
        <is>
          <t>附表6-1!B32</t>
        </is>
      </c>
      <c r="C3862" t="inlineStr">
        <is>
          <t>excel_formula</t>
        </is>
      </c>
    </row>
    <row r="3863">
      <c r="A3863" t="inlineStr">
        <is>
          <t>附表6-1!AC5</t>
        </is>
      </c>
      <c r="B3863" t="inlineStr">
        <is>
          <t>附表6-1!B33</t>
        </is>
      </c>
      <c r="C3863" t="inlineStr">
        <is>
          <t>excel_formula</t>
        </is>
      </c>
    </row>
    <row r="3864">
      <c r="A3864" t="inlineStr">
        <is>
          <t>附表6-1!AD5</t>
        </is>
      </c>
      <c r="B3864" t="inlineStr">
        <is>
          <t>附表6-1!B34</t>
        </is>
      </c>
      <c r="C3864" t="inlineStr">
        <is>
          <t>excel_formula</t>
        </is>
      </c>
    </row>
    <row r="3865">
      <c r="A3865" t="inlineStr">
        <is>
          <t>附表6-1!G6</t>
        </is>
      </c>
      <c r="B3865" t="inlineStr">
        <is>
          <t>附表6-1!C11</t>
        </is>
      </c>
      <c r="C3865" t="inlineStr">
        <is>
          <t>excel_formula</t>
        </is>
      </c>
    </row>
    <row r="3866">
      <c r="A3866" t="inlineStr">
        <is>
          <t>附表6-1!H6</t>
        </is>
      </c>
      <c r="B3866" t="inlineStr">
        <is>
          <t>附表6-1!C12</t>
        </is>
      </c>
      <c r="C3866" t="inlineStr">
        <is>
          <t>excel_formula</t>
        </is>
      </c>
    </row>
    <row r="3867">
      <c r="A3867" t="inlineStr">
        <is>
          <t>附表6-1!I6</t>
        </is>
      </c>
      <c r="B3867" t="inlineStr">
        <is>
          <t>附表6-1!C13</t>
        </is>
      </c>
      <c r="C3867" t="inlineStr">
        <is>
          <t>excel_formula</t>
        </is>
      </c>
    </row>
    <row r="3868">
      <c r="A3868" t="inlineStr">
        <is>
          <t>附表6-1!J6</t>
        </is>
      </c>
      <c r="B3868" t="inlineStr">
        <is>
          <t>附表6-1!C14</t>
        </is>
      </c>
      <c r="C3868" t="inlineStr">
        <is>
          <t>excel_formula</t>
        </is>
      </c>
    </row>
    <row r="3869">
      <c r="A3869" t="inlineStr">
        <is>
          <t>附表6-1!K6</t>
        </is>
      </c>
      <c r="B3869" t="inlineStr">
        <is>
          <t>附表6-1!C15</t>
        </is>
      </c>
      <c r="C3869" t="inlineStr">
        <is>
          <t>excel_formula</t>
        </is>
      </c>
    </row>
    <row r="3870">
      <c r="A3870" t="inlineStr">
        <is>
          <t>附表6-1!L6</t>
        </is>
      </c>
      <c r="B3870" t="inlineStr">
        <is>
          <t>附表6-1!C16</t>
        </is>
      </c>
      <c r="C3870" t="inlineStr">
        <is>
          <t>excel_formula</t>
        </is>
      </c>
    </row>
    <row r="3871">
      <c r="A3871" t="inlineStr">
        <is>
          <t>附表6-1!M6</t>
        </is>
      </c>
      <c r="B3871" t="inlineStr">
        <is>
          <t>附表6-1!C17</t>
        </is>
      </c>
      <c r="C3871" t="inlineStr">
        <is>
          <t>excel_formula</t>
        </is>
      </c>
    </row>
    <row r="3872">
      <c r="A3872" t="inlineStr">
        <is>
          <t>附表6-1!N6</t>
        </is>
      </c>
      <c r="B3872" t="inlineStr">
        <is>
          <t>附表6-1!C18</t>
        </is>
      </c>
      <c r="C3872" t="inlineStr">
        <is>
          <t>excel_formula</t>
        </is>
      </c>
    </row>
    <row r="3873">
      <c r="A3873" t="inlineStr">
        <is>
          <t>附表6-1!O6</t>
        </is>
      </c>
      <c r="B3873" t="inlineStr">
        <is>
          <t>附表6-1!C19</t>
        </is>
      </c>
      <c r="C3873" t="inlineStr">
        <is>
          <t>excel_formula</t>
        </is>
      </c>
    </row>
    <row r="3874">
      <c r="A3874" t="inlineStr">
        <is>
          <t>附表6-1!P6</t>
        </is>
      </c>
      <c r="B3874" t="inlineStr">
        <is>
          <t>附表6-1!C20</t>
        </is>
      </c>
      <c r="C3874" t="inlineStr">
        <is>
          <t>excel_formula</t>
        </is>
      </c>
    </row>
    <row r="3875">
      <c r="A3875" t="inlineStr">
        <is>
          <t>附表6-1!Q6</t>
        </is>
      </c>
      <c r="B3875" t="inlineStr">
        <is>
          <t>附表6-1!C21</t>
        </is>
      </c>
      <c r="C3875" t="inlineStr">
        <is>
          <t>excel_formula</t>
        </is>
      </c>
    </row>
    <row r="3876">
      <c r="A3876" t="inlineStr">
        <is>
          <t>附表6-1!R6</t>
        </is>
      </c>
      <c r="B3876" t="inlineStr">
        <is>
          <t>附表6-1!C22</t>
        </is>
      </c>
      <c r="C3876" t="inlineStr">
        <is>
          <t>excel_formula</t>
        </is>
      </c>
    </row>
    <row r="3877">
      <c r="A3877" t="inlineStr">
        <is>
          <t>附表6-1!S6</t>
        </is>
      </c>
      <c r="B3877" t="inlineStr">
        <is>
          <t>附表6-1!C23</t>
        </is>
      </c>
      <c r="C3877" t="inlineStr">
        <is>
          <t>excel_formula</t>
        </is>
      </c>
    </row>
    <row r="3878">
      <c r="A3878" t="inlineStr">
        <is>
          <t>附表6-1!T6</t>
        </is>
      </c>
      <c r="B3878" t="inlineStr">
        <is>
          <t>附表6-1!C24</t>
        </is>
      </c>
      <c r="C3878" t="inlineStr">
        <is>
          <t>excel_formula</t>
        </is>
      </c>
    </row>
    <row r="3879">
      <c r="A3879" t="inlineStr">
        <is>
          <t>附表6-1!U6</t>
        </is>
      </c>
      <c r="B3879" t="inlineStr">
        <is>
          <t>附表6-1!C25</t>
        </is>
      </c>
      <c r="C3879" t="inlineStr">
        <is>
          <t>excel_formula</t>
        </is>
      </c>
    </row>
    <row r="3880">
      <c r="A3880" t="inlineStr">
        <is>
          <t>附表6-1!V6</t>
        </is>
      </c>
      <c r="B3880" t="inlineStr">
        <is>
          <t>附表6-1!C26</t>
        </is>
      </c>
      <c r="C3880" t="inlineStr">
        <is>
          <t>excel_formula</t>
        </is>
      </c>
    </row>
    <row r="3881">
      <c r="A3881" t="inlineStr">
        <is>
          <t>附表6-1!W6</t>
        </is>
      </c>
      <c r="B3881" t="inlineStr">
        <is>
          <t>附表6-1!C27</t>
        </is>
      </c>
      <c r="C3881" t="inlineStr">
        <is>
          <t>excel_formula</t>
        </is>
      </c>
    </row>
    <row r="3882">
      <c r="A3882" t="inlineStr">
        <is>
          <t>附表6-1!X6</t>
        </is>
      </c>
      <c r="B3882" t="inlineStr">
        <is>
          <t>附表6-1!C28</t>
        </is>
      </c>
      <c r="C3882" t="inlineStr">
        <is>
          <t>excel_formula</t>
        </is>
      </c>
    </row>
    <row r="3883">
      <c r="A3883" t="inlineStr">
        <is>
          <t>附表6-1!Y6</t>
        </is>
      </c>
      <c r="B3883" t="inlineStr">
        <is>
          <t>附表6-1!C29</t>
        </is>
      </c>
      <c r="C3883" t="inlineStr">
        <is>
          <t>excel_formula</t>
        </is>
      </c>
    </row>
    <row r="3884">
      <c r="A3884" t="inlineStr">
        <is>
          <t>附表6-1!Z6</t>
        </is>
      </c>
      <c r="B3884" t="inlineStr">
        <is>
          <t>附表6-1!C30</t>
        </is>
      </c>
      <c r="C3884" t="inlineStr">
        <is>
          <t>excel_formula</t>
        </is>
      </c>
    </row>
    <row r="3885">
      <c r="A3885" t="inlineStr">
        <is>
          <t>附表6-1!AA6</t>
        </is>
      </c>
      <c r="B3885" t="inlineStr">
        <is>
          <t>附表6-1!C31</t>
        </is>
      </c>
      <c r="C3885" t="inlineStr">
        <is>
          <t>excel_formula</t>
        </is>
      </c>
    </row>
    <row r="3886">
      <c r="A3886" t="inlineStr">
        <is>
          <t>附表6-1!AB6</t>
        </is>
      </c>
      <c r="B3886" t="inlineStr">
        <is>
          <t>附表6-1!C32</t>
        </is>
      </c>
      <c r="C3886" t="inlineStr">
        <is>
          <t>excel_formula</t>
        </is>
      </c>
    </row>
    <row r="3887">
      <c r="A3887" t="inlineStr">
        <is>
          <t>附表6-1!AC6</t>
        </is>
      </c>
      <c r="B3887" t="inlineStr">
        <is>
          <t>附表6-1!C33</t>
        </is>
      </c>
      <c r="C3887" t="inlineStr">
        <is>
          <t>excel_formula</t>
        </is>
      </c>
    </row>
    <row r="3888">
      <c r="A3888" t="inlineStr">
        <is>
          <t>附表6-1!AD6</t>
        </is>
      </c>
      <c r="B3888" t="inlineStr">
        <is>
          <t>附表6-1!C34</t>
        </is>
      </c>
      <c r="C3888" t="inlineStr">
        <is>
          <t>excel_formula</t>
        </is>
      </c>
    </row>
    <row r="3889">
      <c r="A3889" t="inlineStr">
        <is>
          <t>附表6-1!G7</t>
        </is>
      </c>
      <c r="B3889" t="inlineStr">
        <is>
          <t>附表6-1!D11</t>
        </is>
      </c>
      <c r="C3889" t="inlineStr">
        <is>
          <t>excel_formula</t>
        </is>
      </c>
    </row>
    <row r="3890">
      <c r="A3890" t="inlineStr">
        <is>
          <t>附表6-1!H7</t>
        </is>
      </c>
      <c r="B3890" t="inlineStr">
        <is>
          <t>附表6-1!D12</t>
        </is>
      </c>
      <c r="C3890" t="inlineStr">
        <is>
          <t>excel_formula</t>
        </is>
      </c>
    </row>
    <row r="3891">
      <c r="A3891" t="inlineStr">
        <is>
          <t>附表6-1!I7</t>
        </is>
      </c>
      <c r="B3891" t="inlineStr">
        <is>
          <t>附表6-1!D13</t>
        </is>
      </c>
      <c r="C3891" t="inlineStr">
        <is>
          <t>excel_formula</t>
        </is>
      </c>
    </row>
    <row r="3892">
      <c r="A3892" t="inlineStr">
        <is>
          <t>附表6-1!J7</t>
        </is>
      </c>
      <c r="B3892" t="inlineStr">
        <is>
          <t>附表6-1!D14</t>
        </is>
      </c>
      <c r="C3892" t="inlineStr">
        <is>
          <t>excel_formula</t>
        </is>
      </c>
    </row>
    <row r="3893">
      <c r="A3893" t="inlineStr">
        <is>
          <t>附表6-1!K7</t>
        </is>
      </c>
      <c r="B3893" t="inlineStr">
        <is>
          <t>附表6-1!D15</t>
        </is>
      </c>
      <c r="C3893" t="inlineStr">
        <is>
          <t>excel_formula</t>
        </is>
      </c>
    </row>
    <row r="3894">
      <c r="A3894" t="inlineStr">
        <is>
          <t>附表6-1!L7</t>
        </is>
      </c>
      <c r="B3894" t="inlineStr">
        <is>
          <t>附表6-1!D16</t>
        </is>
      </c>
      <c r="C3894" t="inlineStr">
        <is>
          <t>excel_formula</t>
        </is>
      </c>
    </row>
    <row r="3895">
      <c r="A3895" t="inlineStr">
        <is>
          <t>附表6-1!M7</t>
        </is>
      </c>
      <c r="B3895" t="inlineStr">
        <is>
          <t>附表6-1!D17</t>
        </is>
      </c>
      <c r="C3895" t="inlineStr">
        <is>
          <t>excel_formula</t>
        </is>
      </c>
    </row>
    <row r="3896">
      <c r="A3896" t="inlineStr">
        <is>
          <t>附表6-1!N7</t>
        </is>
      </c>
      <c r="B3896" t="inlineStr">
        <is>
          <t>附表6-1!D18</t>
        </is>
      </c>
      <c r="C3896" t="inlineStr">
        <is>
          <t>excel_formula</t>
        </is>
      </c>
    </row>
    <row r="3897">
      <c r="A3897" t="inlineStr">
        <is>
          <t>附表6-1!O7</t>
        </is>
      </c>
      <c r="B3897" t="inlineStr">
        <is>
          <t>附表6-1!D19</t>
        </is>
      </c>
      <c r="C3897" t="inlineStr">
        <is>
          <t>excel_formula</t>
        </is>
      </c>
    </row>
    <row r="3898">
      <c r="A3898" t="inlineStr">
        <is>
          <t>附表6-1!P7</t>
        </is>
      </c>
      <c r="B3898" t="inlineStr">
        <is>
          <t>附表6-1!D20</t>
        </is>
      </c>
      <c r="C3898" t="inlineStr">
        <is>
          <t>excel_formula</t>
        </is>
      </c>
    </row>
    <row r="3899">
      <c r="A3899" t="inlineStr">
        <is>
          <t>附表6-1!Q7</t>
        </is>
      </c>
      <c r="B3899" t="inlineStr">
        <is>
          <t>附表6-1!D21</t>
        </is>
      </c>
      <c r="C3899" t="inlineStr">
        <is>
          <t>excel_formula</t>
        </is>
      </c>
    </row>
    <row r="3900">
      <c r="A3900" t="inlineStr">
        <is>
          <t>附表6-1!R7</t>
        </is>
      </c>
      <c r="B3900" t="inlineStr">
        <is>
          <t>附表6-1!D22</t>
        </is>
      </c>
      <c r="C3900" t="inlineStr">
        <is>
          <t>excel_formula</t>
        </is>
      </c>
    </row>
    <row r="3901">
      <c r="A3901" t="inlineStr">
        <is>
          <t>附表6-1!S7</t>
        </is>
      </c>
      <c r="B3901" t="inlineStr">
        <is>
          <t>附表6-1!D23</t>
        </is>
      </c>
      <c r="C3901" t="inlineStr">
        <is>
          <t>excel_formula</t>
        </is>
      </c>
    </row>
    <row r="3902">
      <c r="A3902" t="inlineStr">
        <is>
          <t>附表6-1!T7</t>
        </is>
      </c>
      <c r="B3902" t="inlineStr">
        <is>
          <t>附表6-1!D24</t>
        </is>
      </c>
      <c r="C3902" t="inlineStr">
        <is>
          <t>excel_formula</t>
        </is>
      </c>
    </row>
    <row r="3903">
      <c r="A3903" t="inlineStr">
        <is>
          <t>附表6-1!U7</t>
        </is>
      </c>
      <c r="B3903" t="inlineStr">
        <is>
          <t>附表6-1!D25</t>
        </is>
      </c>
      <c r="C3903" t="inlineStr">
        <is>
          <t>excel_formula</t>
        </is>
      </c>
    </row>
    <row r="3904">
      <c r="A3904" t="inlineStr">
        <is>
          <t>附表6-1!V7</t>
        </is>
      </c>
      <c r="B3904" t="inlineStr">
        <is>
          <t>附表6-1!D26</t>
        </is>
      </c>
      <c r="C3904" t="inlineStr">
        <is>
          <t>excel_formula</t>
        </is>
      </c>
    </row>
    <row r="3905">
      <c r="A3905" t="inlineStr">
        <is>
          <t>附表6-1!W7</t>
        </is>
      </c>
      <c r="B3905" t="inlineStr">
        <is>
          <t>附表6-1!D27</t>
        </is>
      </c>
      <c r="C3905" t="inlineStr">
        <is>
          <t>excel_formula</t>
        </is>
      </c>
    </row>
    <row r="3906">
      <c r="A3906" t="inlineStr">
        <is>
          <t>附表6-1!X7</t>
        </is>
      </c>
      <c r="B3906" t="inlineStr">
        <is>
          <t>附表6-1!D28</t>
        </is>
      </c>
      <c r="C3906" t="inlineStr">
        <is>
          <t>excel_formula</t>
        </is>
      </c>
    </row>
    <row r="3907">
      <c r="A3907" t="inlineStr">
        <is>
          <t>附表6-1!Y7</t>
        </is>
      </c>
      <c r="B3907" t="inlineStr">
        <is>
          <t>附表6-1!D29</t>
        </is>
      </c>
      <c r="C3907" t="inlineStr">
        <is>
          <t>excel_formula</t>
        </is>
      </c>
    </row>
    <row r="3908">
      <c r="A3908" t="inlineStr">
        <is>
          <t>附表6-1!Z7</t>
        </is>
      </c>
      <c r="B3908" t="inlineStr">
        <is>
          <t>附表6-1!D30</t>
        </is>
      </c>
      <c r="C3908" t="inlineStr">
        <is>
          <t>excel_formula</t>
        </is>
      </c>
    </row>
    <row r="3909">
      <c r="A3909" t="inlineStr">
        <is>
          <t>附表6-1!AA7</t>
        </is>
      </c>
      <c r="B3909" t="inlineStr">
        <is>
          <t>附表6-1!D31</t>
        </is>
      </c>
      <c r="C3909" t="inlineStr">
        <is>
          <t>excel_formula</t>
        </is>
      </c>
    </row>
    <row r="3910">
      <c r="A3910" t="inlineStr">
        <is>
          <t>附表6-1!AB7</t>
        </is>
      </c>
      <c r="B3910" t="inlineStr">
        <is>
          <t>附表6-1!D32</t>
        </is>
      </c>
      <c r="C3910" t="inlineStr">
        <is>
          <t>excel_formula</t>
        </is>
      </c>
    </row>
    <row r="3911">
      <c r="A3911" t="inlineStr">
        <is>
          <t>附表6-1!AC7</t>
        </is>
      </c>
      <c r="B3911" t="inlineStr">
        <is>
          <t>附表6-1!D33</t>
        </is>
      </c>
      <c r="C3911" t="inlineStr">
        <is>
          <t>excel_formula</t>
        </is>
      </c>
    </row>
    <row r="3912">
      <c r="A3912" t="inlineStr">
        <is>
          <t>附表6-1!AD7</t>
        </is>
      </c>
      <c r="B3912" t="inlineStr">
        <is>
          <t>附表6-1!D34</t>
        </is>
      </c>
      <c r="C3912" t="inlineStr">
        <is>
          <t>excel_formula</t>
        </is>
      </c>
    </row>
    <row r="3913">
      <c r="A3913" t="inlineStr">
        <is>
          <t>附表6-2!E4</t>
        </is>
      </c>
      <c r="B3913" t="inlineStr">
        <is>
          <t>附表6-2!E8</t>
        </is>
      </c>
      <c r="C3913" t="inlineStr">
        <is>
          <t>excel_formula</t>
        </is>
      </c>
    </row>
    <row r="3914">
      <c r="A3914" t="inlineStr">
        <is>
          <t>附表6-2!F4</t>
        </is>
      </c>
      <c r="B3914" t="inlineStr">
        <is>
          <t>附表6-2!E9</t>
        </is>
      </c>
      <c r="C3914" t="inlineStr">
        <is>
          <t>excel_formula</t>
        </is>
      </c>
    </row>
    <row r="3915">
      <c r="A3915" t="inlineStr">
        <is>
          <t>附表6-2!G4</t>
        </is>
      </c>
      <c r="B3915" t="inlineStr">
        <is>
          <t>附表6-2!E10</t>
        </is>
      </c>
      <c r="C3915" t="inlineStr">
        <is>
          <t>excel_formula</t>
        </is>
      </c>
    </row>
    <row r="3916">
      <c r="A3916" t="inlineStr">
        <is>
          <t>附表6-2!H4</t>
        </is>
      </c>
      <c r="B3916" t="inlineStr">
        <is>
          <t>附表6-2!E11</t>
        </is>
      </c>
      <c r="C3916" t="inlineStr">
        <is>
          <t>excel_formula</t>
        </is>
      </c>
    </row>
    <row r="3917">
      <c r="A3917" t="inlineStr">
        <is>
          <t>附表6-2!I4</t>
        </is>
      </c>
      <c r="B3917" t="inlineStr">
        <is>
          <t>附表6-2!E12</t>
        </is>
      </c>
      <c r="C3917" t="inlineStr">
        <is>
          <t>excel_formula</t>
        </is>
      </c>
    </row>
    <row r="3918">
      <c r="A3918" t="inlineStr">
        <is>
          <t>附表6-2!J4</t>
        </is>
      </c>
      <c r="B3918" t="inlineStr">
        <is>
          <t>附表6-2!E13</t>
        </is>
      </c>
      <c r="C3918" t="inlineStr">
        <is>
          <t>excel_formula</t>
        </is>
      </c>
    </row>
    <row r="3919">
      <c r="A3919" t="inlineStr">
        <is>
          <t>附表6-2!K4</t>
        </is>
      </c>
      <c r="B3919" t="inlineStr">
        <is>
          <t>附表6-2!E14</t>
        </is>
      </c>
      <c r="C3919" t="inlineStr">
        <is>
          <t>excel_formula</t>
        </is>
      </c>
    </row>
    <row r="3920">
      <c r="A3920" t="inlineStr">
        <is>
          <t>附表6-2!L4</t>
        </is>
      </c>
      <c r="B3920" t="inlineStr">
        <is>
          <t>附表6-2!E15</t>
        </is>
      </c>
      <c r="C3920" t="inlineStr">
        <is>
          <t>excel_formula</t>
        </is>
      </c>
    </row>
    <row r="3921">
      <c r="A3921" t="inlineStr">
        <is>
          <t>附表6-2!M4</t>
        </is>
      </c>
      <c r="B3921" t="inlineStr">
        <is>
          <t>附表6-2!E16</t>
        </is>
      </c>
      <c r="C3921" t="inlineStr">
        <is>
          <t>excel_formula</t>
        </is>
      </c>
    </row>
    <row r="3922">
      <c r="A3922" t="inlineStr">
        <is>
          <t>附表6-2!N4</t>
        </is>
      </c>
      <c r="B3922" t="inlineStr">
        <is>
          <t>附表6-2!E17</t>
        </is>
      </c>
      <c r="C3922" t="inlineStr">
        <is>
          <t>excel_formula</t>
        </is>
      </c>
    </row>
    <row r="3923">
      <c r="A3923" t="inlineStr">
        <is>
          <t>附表6-2!O4</t>
        </is>
      </c>
      <c r="B3923" t="inlineStr">
        <is>
          <t>附表6-2!E18</t>
        </is>
      </c>
      <c r="C3923" t="inlineStr">
        <is>
          <t>excel_formula</t>
        </is>
      </c>
    </row>
    <row r="3924">
      <c r="A3924" t="inlineStr">
        <is>
          <t>附表6-2!P4</t>
        </is>
      </c>
      <c r="B3924" t="inlineStr">
        <is>
          <t>附表6-2!E19</t>
        </is>
      </c>
      <c r="C3924" t="inlineStr">
        <is>
          <t>excel_formula</t>
        </is>
      </c>
    </row>
    <row r="3925">
      <c r="A3925" t="inlineStr">
        <is>
          <t>附表6-2!Q4</t>
        </is>
      </c>
      <c r="B3925" t="inlineStr">
        <is>
          <t>附表6-2!E20</t>
        </is>
      </c>
      <c r="C3925" t="inlineStr">
        <is>
          <t>excel_formula</t>
        </is>
      </c>
    </row>
    <row r="3926">
      <c r="A3926" t="inlineStr">
        <is>
          <t>附表6-2!R4</t>
        </is>
      </c>
      <c r="B3926" t="inlineStr">
        <is>
          <t>附表6-2!E21</t>
        </is>
      </c>
      <c r="C3926" t="inlineStr">
        <is>
          <t>excel_formula</t>
        </is>
      </c>
    </row>
    <row r="3927">
      <c r="A3927" t="inlineStr">
        <is>
          <t>附表6-2!S4</t>
        </is>
      </c>
      <c r="B3927" t="inlineStr">
        <is>
          <t>附表6-2!E22</t>
        </is>
      </c>
      <c r="C3927" t="inlineStr">
        <is>
          <t>excel_formula</t>
        </is>
      </c>
    </row>
    <row r="3928">
      <c r="A3928" t="inlineStr">
        <is>
          <t>附表6-2!T4</t>
        </is>
      </c>
      <c r="B3928" t="inlineStr">
        <is>
          <t>附表6-2!E23</t>
        </is>
      </c>
      <c r="C3928" t="inlineStr">
        <is>
          <t>excel_formula</t>
        </is>
      </c>
    </row>
    <row r="3929">
      <c r="A3929" t="inlineStr">
        <is>
          <t>附表6-2!U4</t>
        </is>
      </c>
      <c r="B3929" t="inlineStr">
        <is>
          <t>附表6-2!E24</t>
        </is>
      </c>
      <c r="C3929" t="inlineStr">
        <is>
          <t>excel_formula</t>
        </is>
      </c>
    </row>
    <row r="3930">
      <c r="A3930" t="inlineStr">
        <is>
          <t>附表6-2!V4</t>
        </is>
      </c>
      <c r="B3930" t="inlineStr">
        <is>
          <t>附表6-2!E25</t>
        </is>
      </c>
      <c r="C3930" t="inlineStr">
        <is>
          <t>excel_formula</t>
        </is>
      </c>
    </row>
    <row r="3931">
      <c r="A3931" t="inlineStr">
        <is>
          <t>附表6-2!W4</t>
        </is>
      </c>
      <c r="B3931" t="inlineStr">
        <is>
          <t>附表6-2!E26</t>
        </is>
      </c>
      <c r="C3931" t="inlineStr">
        <is>
          <t>excel_formula</t>
        </is>
      </c>
    </row>
    <row r="3932">
      <c r="A3932" t="inlineStr">
        <is>
          <t>附表6-2!X4</t>
        </is>
      </c>
      <c r="B3932" t="inlineStr">
        <is>
          <t>附表6-2!E27</t>
        </is>
      </c>
      <c r="C3932" t="inlineStr">
        <is>
          <t>excel_formula</t>
        </is>
      </c>
    </row>
    <row r="3933">
      <c r="A3933" t="inlineStr">
        <is>
          <t>附表6-2!Y4</t>
        </is>
      </c>
      <c r="B3933" t="inlineStr">
        <is>
          <t>附表6-2!E28</t>
        </is>
      </c>
      <c r="C3933" t="inlineStr">
        <is>
          <t>excel_formula</t>
        </is>
      </c>
    </row>
    <row r="3934">
      <c r="A3934" t="inlineStr">
        <is>
          <t>附表6-2!Z4</t>
        </is>
      </c>
      <c r="B3934" t="inlineStr">
        <is>
          <t>附表6-2!E29</t>
        </is>
      </c>
      <c r="C3934" t="inlineStr">
        <is>
          <t>excel_formula</t>
        </is>
      </c>
    </row>
    <row r="3935">
      <c r="A3935" t="inlineStr">
        <is>
          <t>附表6-2!AA4</t>
        </is>
      </c>
      <c r="B3935" t="inlineStr">
        <is>
          <t>附表6-2!E30</t>
        </is>
      </c>
      <c r="C3935" t="inlineStr">
        <is>
          <t>excel_formula</t>
        </is>
      </c>
    </row>
    <row r="3936">
      <c r="A3936" t="inlineStr">
        <is>
          <t>附表6-2!AB4</t>
        </is>
      </c>
      <c r="B3936" t="inlineStr">
        <is>
          <t>附表6-2!E31</t>
        </is>
      </c>
      <c r="C3936" t="inlineStr">
        <is>
          <t>excel_formula</t>
        </is>
      </c>
    </row>
    <row r="3937">
      <c r="A3937" t="inlineStr">
        <is>
          <t>附表6-3!E4</t>
        </is>
      </c>
      <c r="B3937" t="inlineStr">
        <is>
          <t>附表6-3!D8</t>
        </is>
      </c>
      <c r="C3937" t="inlineStr">
        <is>
          <t>excel_formula</t>
        </is>
      </c>
    </row>
    <row r="3938">
      <c r="A3938" t="inlineStr">
        <is>
          <t>附表6-3!F4</t>
        </is>
      </c>
      <c r="B3938" t="inlineStr">
        <is>
          <t>附表6-3!D9</t>
        </is>
      </c>
      <c r="C3938" t="inlineStr">
        <is>
          <t>excel_formula</t>
        </is>
      </c>
    </row>
    <row r="3939">
      <c r="A3939" t="inlineStr">
        <is>
          <t>附表6-3!G4</t>
        </is>
      </c>
      <c r="B3939" t="inlineStr">
        <is>
          <t>附表6-3!D10</t>
        </is>
      </c>
      <c r="C3939" t="inlineStr">
        <is>
          <t>excel_formula</t>
        </is>
      </c>
    </row>
    <row r="3940">
      <c r="A3940" t="inlineStr">
        <is>
          <t>附表6-3!H4</t>
        </is>
      </c>
      <c r="B3940" t="inlineStr">
        <is>
          <t>附表6-3!D11</t>
        </is>
      </c>
      <c r="C3940" t="inlineStr">
        <is>
          <t>excel_formula</t>
        </is>
      </c>
    </row>
    <row r="3941">
      <c r="A3941" t="inlineStr">
        <is>
          <t>附表6-3!I4</t>
        </is>
      </c>
      <c r="B3941" t="inlineStr">
        <is>
          <t>附表6-3!D12</t>
        </is>
      </c>
      <c r="C3941" t="inlineStr">
        <is>
          <t>excel_formula</t>
        </is>
      </c>
    </row>
    <row r="3942">
      <c r="A3942" t="inlineStr">
        <is>
          <t>附表6-3!J4</t>
        </is>
      </c>
      <c r="B3942" t="inlineStr">
        <is>
          <t>附表6-3!D13</t>
        </is>
      </c>
      <c r="C3942" t="inlineStr">
        <is>
          <t>excel_formula</t>
        </is>
      </c>
    </row>
    <row r="3943">
      <c r="A3943" t="inlineStr">
        <is>
          <t>附表6-3!K4</t>
        </is>
      </c>
      <c r="B3943" t="inlineStr">
        <is>
          <t>附表6-3!D14</t>
        </is>
      </c>
      <c r="C3943" t="inlineStr">
        <is>
          <t>excel_formula</t>
        </is>
      </c>
    </row>
    <row r="3944">
      <c r="A3944" t="inlineStr">
        <is>
          <t>附表6-3!L4</t>
        </is>
      </c>
      <c r="B3944" t="inlineStr">
        <is>
          <t>附表6-3!D15</t>
        </is>
      </c>
      <c r="C3944" t="inlineStr">
        <is>
          <t>excel_formula</t>
        </is>
      </c>
    </row>
    <row r="3945">
      <c r="A3945" t="inlineStr">
        <is>
          <t>附表6-3!M4</t>
        </is>
      </c>
      <c r="B3945" t="inlineStr">
        <is>
          <t>附表6-3!D16</t>
        </is>
      </c>
      <c r="C3945" t="inlineStr">
        <is>
          <t>excel_formula</t>
        </is>
      </c>
    </row>
    <row r="3946">
      <c r="A3946" t="inlineStr">
        <is>
          <t>附表6-3!N4</t>
        </is>
      </c>
      <c r="B3946" t="inlineStr">
        <is>
          <t>附表6-3!D17</t>
        </is>
      </c>
      <c r="C3946" t="inlineStr">
        <is>
          <t>excel_formula</t>
        </is>
      </c>
    </row>
    <row r="3947">
      <c r="A3947" t="inlineStr">
        <is>
          <t>附表6-3!O4</t>
        </is>
      </c>
      <c r="B3947" t="inlineStr">
        <is>
          <t>附表6-3!D18</t>
        </is>
      </c>
      <c r="C3947" t="inlineStr">
        <is>
          <t>excel_formula</t>
        </is>
      </c>
    </row>
    <row r="3948">
      <c r="A3948" t="inlineStr">
        <is>
          <t>附表6-3!P4</t>
        </is>
      </c>
      <c r="B3948" t="inlineStr">
        <is>
          <t>附表6-3!D19</t>
        </is>
      </c>
      <c r="C3948" t="inlineStr">
        <is>
          <t>excel_formula</t>
        </is>
      </c>
    </row>
    <row r="3949">
      <c r="A3949" t="inlineStr">
        <is>
          <t>附表6-3!Q4</t>
        </is>
      </c>
      <c r="B3949" t="inlineStr">
        <is>
          <t>附表6-3!D20</t>
        </is>
      </c>
      <c r="C3949" t="inlineStr">
        <is>
          <t>excel_formula</t>
        </is>
      </c>
    </row>
    <row r="3950">
      <c r="A3950" t="inlineStr">
        <is>
          <t>附表6-3!R4</t>
        </is>
      </c>
      <c r="B3950" t="inlineStr">
        <is>
          <t>附表6-3!D21</t>
        </is>
      </c>
      <c r="C3950" t="inlineStr">
        <is>
          <t>excel_formula</t>
        </is>
      </c>
    </row>
    <row r="3951">
      <c r="A3951" t="inlineStr">
        <is>
          <t>附表6-3!S4</t>
        </is>
      </c>
      <c r="B3951" t="inlineStr">
        <is>
          <t>附表6-3!D22</t>
        </is>
      </c>
      <c r="C3951" t="inlineStr">
        <is>
          <t>excel_formula</t>
        </is>
      </c>
    </row>
    <row r="3952">
      <c r="A3952" t="inlineStr">
        <is>
          <t>附表6-3!T4</t>
        </is>
      </c>
      <c r="B3952" t="inlineStr">
        <is>
          <t>附表6-3!D23</t>
        </is>
      </c>
      <c r="C3952" t="inlineStr">
        <is>
          <t>excel_formula</t>
        </is>
      </c>
    </row>
    <row r="3953">
      <c r="A3953" t="inlineStr">
        <is>
          <t>附表6-3!U4</t>
        </is>
      </c>
      <c r="B3953" t="inlineStr">
        <is>
          <t>附表6-3!D24</t>
        </is>
      </c>
      <c r="C3953" t="inlineStr">
        <is>
          <t>excel_formula</t>
        </is>
      </c>
    </row>
    <row r="3954">
      <c r="A3954" t="inlineStr">
        <is>
          <t>附表6-3!V4</t>
        </is>
      </c>
      <c r="B3954" t="inlineStr">
        <is>
          <t>附表6-3!D25</t>
        </is>
      </c>
      <c r="C3954" t="inlineStr">
        <is>
          <t>excel_formula</t>
        </is>
      </c>
    </row>
    <row r="3955">
      <c r="A3955" t="inlineStr">
        <is>
          <t>附表6-3!W4</t>
        </is>
      </c>
      <c r="B3955" t="inlineStr">
        <is>
          <t>附表6-3!D26</t>
        </is>
      </c>
      <c r="C3955" t="inlineStr">
        <is>
          <t>excel_formula</t>
        </is>
      </c>
    </row>
    <row r="3956">
      <c r="A3956" t="inlineStr">
        <is>
          <t>附表6-3!X4</t>
        </is>
      </c>
      <c r="B3956" t="inlineStr">
        <is>
          <t>附表6-3!D27</t>
        </is>
      </c>
      <c r="C3956" t="inlineStr">
        <is>
          <t>excel_formula</t>
        </is>
      </c>
    </row>
    <row r="3957">
      <c r="A3957" t="inlineStr">
        <is>
          <t>附表6-3!Y4</t>
        </is>
      </c>
      <c r="B3957" t="inlineStr">
        <is>
          <t>附表6-3!D28</t>
        </is>
      </c>
      <c r="C3957" t="inlineStr">
        <is>
          <t>excel_formula</t>
        </is>
      </c>
    </row>
    <row r="3958">
      <c r="A3958" t="inlineStr">
        <is>
          <t>附表6-3!Z4</t>
        </is>
      </c>
      <c r="B3958" t="inlineStr">
        <is>
          <t>附表6-3!D29</t>
        </is>
      </c>
      <c r="C3958" t="inlineStr">
        <is>
          <t>excel_formula</t>
        </is>
      </c>
    </row>
    <row r="3959">
      <c r="A3959" t="inlineStr">
        <is>
          <t>附表6-3!AA4</t>
        </is>
      </c>
      <c r="B3959" t="inlineStr">
        <is>
          <t>附表6-3!D30</t>
        </is>
      </c>
      <c r="C3959" t="inlineStr">
        <is>
          <t>excel_formula</t>
        </is>
      </c>
    </row>
    <row r="3960">
      <c r="A3960" t="inlineStr">
        <is>
          <t>附表6-3!AB4</t>
        </is>
      </c>
      <c r="B3960" t="inlineStr">
        <is>
          <t>附表6-3!D31</t>
        </is>
      </c>
      <c r="C3960" t="inlineStr">
        <is>
          <t>excel_formula</t>
        </is>
      </c>
    </row>
    <row r="3961">
      <c r="A3961" t="inlineStr">
        <is>
          <t>附表7!D4</t>
        </is>
      </c>
      <c r="B3961" t="inlineStr">
        <is>
          <t>附表7!B24</t>
        </is>
      </c>
      <c r="C3961" t="inlineStr">
        <is>
          <t>excel_formula</t>
        </is>
      </c>
    </row>
    <row r="3962">
      <c r="A3962" t="inlineStr">
        <is>
          <t>附表7!E4</t>
        </is>
      </c>
      <c r="B3962" t="inlineStr">
        <is>
          <t>附表7!B25</t>
        </is>
      </c>
      <c r="C3962" t="inlineStr">
        <is>
          <t>excel_formula</t>
        </is>
      </c>
    </row>
    <row r="3963">
      <c r="A3963" t="inlineStr">
        <is>
          <t>附表7!F4</t>
        </is>
      </c>
      <c r="B3963" t="inlineStr">
        <is>
          <t>附表7!B26</t>
        </is>
      </c>
      <c r="C3963" t="inlineStr">
        <is>
          <t>excel_formula</t>
        </is>
      </c>
    </row>
    <row r="3964">
      <c r="A3964" t="inlineStr">
        <is>
          <t>附表7!G4</t>
        </is>
      </c>
      <c r="B3964" t="inlineStr">
        <is>
          <t>附表7!B27</t>
        </is>
      </c>
      <c r="C3964" t="inlineStr">
        <is>
          <t>excel_formula</t>
        </is>
      </c>
    </row>
    <row r="3965">
      <c r="A3965" t="inlineStr">
        <is>
          <t>附表7!H4</t>
        </is>
      </c>
      <c r="B3965" t="inlineStr">
        <is>
          <t>附表7!B28</t>
        </is>
      </c>
      <c r="C3965" t="inlineStr">
        <is>
          <t>excel_formula</t>
        </is>
      </c>
    </row>
    <row r="3966">
      <c r="A3966" t="inlineStr">
        <is>
          <t>附表7!I4</t>
        </is>
      </c>
      <c r="B3966" t="inlineStr">
        <is>
          <t>附表7!B29</t>
        </is>
      </c>
      <c r="C3966" t="inlineStr">
        <is>
          <t>excel_formula</t>
        </is>
      </c>
    </row>
    <row r="3967">
      <c r="A3967" t="inlineStr">
        <is>
          <t>附表7!J4</t>
        </is>
      </c>
      <c r="B3967" t="inlineStr">
        <is>
          <t>附表7!B30</t>
        </is>
      </c>
      <c r="C3967" t="inlineStr">
        <is>
          <t>excel_formula</t>
        </is>
      </c>
    </row>
    <row r="3968">
      <c r="A3968" t="inlineStr">
        <is>
          <t>附表7!K4</t>
        </is>
      </c>
      <c r="B3968" t="inlineStr">
        <is>
          <t>附表7!B31</t>
        </is>
      </c>
      <c r="C3968" t="inlineStr">
        <is>
          <t>excel_formula</t>
        </is>
      </c>
    </row>
    <row r="3969">
      <c r="A3969" t="inlineStr">
        <is>
          <t>附表7!L4</t>
        </is>
      </c>
      <c r="B3969" t="inlineStr">
        <is>
          <t>附表7!B32</t>
        </is>
      </c>
      <c r="C3969" t="inlineStr">
        <is>
          <t>excel_formula</t>
        </is>
      </c>
    </row>
    <row r="3970">
      <c r="A3970" t="inlineStr">
        <is>
          <t>附表7!M4</t>
        </is>
      </c>
      <c r="B3970" t="inlineStr">
        <is>
          <t>附表7!B33</t>
        </is>
      </c>
      <c r="C3970" t="inlineStr">
        <is>
          <t>excel_formula</t>
        </is>
      </c>
    </row>
    <row r="3971">
      <c r="A3971" t="inlineStr">
        <is>
          <t>附表7!N4</t>
        </is>
      </c>
      <c r="B3971" t="inlineStr">
        <is>
          <t>附表7!B34</t>
        </is>
      </c>
      <c r="C3971" t="inlineStr">
        <is>
          <t>excel_formula</t>
        </is>
      </c>
    </row>
    <row r="3972">
      <c r="A3972" t="inlineStr">
        <is>
          <t>附表7!O4</t>
        </is>
      </c>
      <c r="B3972" t="inlineStr">
        <is>
          <t>附表7!B35</t>
        </is>
      </c>
      <c r="C3972" t="inlineStr">
        <is>
          <t>excel_formula</t>
        </is>
      </c>
    </row>
    <row r="3973">
      <c r="A3973" t="inlineStr">
        <is>
          <t>附表7!P4</t>
        </is>
      </c>
      <c r="B3973" t="inlineStr">
        <is>
          <t>附表7!B36</t>
        </is>
      </c>
      <c r="C3973" t="inlineStr">
        <is>
          <t>excel_formula</t>
        </is>
      </c>
    </row>
    <row r="3974">
      <c r="A3974" t="inlineStr">
        <is>
          <t>附表7!Q4</t>
        </is>
      </c>
      <c r="B3974" t="inlineStr">
        <is>
          <t>附表7!B37</t>
        </is>
      </c>
      <c r="C3974" t="inlineStr">
        <is>
          <t>excel_formula</t>
        </is>
      </c>
    </row>
    <row r="3975">
      <c r="A3975" t="inlineStr">
        <is>
          <t>附表7!R4</t>
        </is>
      </c>
      <c r="B3975" t="inlineStr">
        <is>
          <t>附表7!B38</t>
        </is>
      </c>
      <c r="C3975" t="inlineStr">
        <is>
          <t>excel_formula</t>
        </is>
      </c>
    </row>
    <row r="3976">
      <c r="A3976" t="inlineStr">
        <is>
          <t>附表7!S4</t>
        </is>
      </c>
      <c r="B3976" t="inlineStr">
        <is>
          <t>附表7!B39</t>
        </is>
      </c>
      <c r="C3976" t="inlineStr">
        <is>
          <t>excel_formula</t>
        </is>
      </c>
    </row>
    <row r="3977">
      <c r="A3977" t="inlineStr">
        <is>
          <t>附表7!T4</t>
        </is>
      </c>
      <c r="B3977" t="inlineStr">
        <is>
          <t>附表7!B40</t>
        </is>
      </c>
      <c r="C3977" t="inlineStr">
        <is>
          <t>excel_formula</t>
        </is>
      </c>
    </row>
    <row r="3978">
      <c r="A3978" t="inlineStr">
        <is>
          <t>附表7!U4</t>
        </is>
      </c>
      <c r="B3978" t="inlineStr">
        <is>
          <t>附表7!B41</t>
        </is>
      </c>
      <c r="C3978" t="inlineStr">
        <is>
          <t>excel_formula</t>
        </is>
      </c>
    </row>
    <row r="3979">
      <c r="A3979" t="inlineStr">
        <is>
          <t>附表7!V4</t>
        </is>
      </c>
      <c r="B3979" t="inlineStr">
        <is>
          <t>附表7!B42</t>
        </is>
      </c>
      <c r="C3979" t="inlineStr">
        <is>
          <t>excel_formula</t>
        </is>
      </c>
    </row>
    <row r="3980">
      <c r="A3980" t="inlineStr">
        <is>
          <t>附表7!W4</t>
        </is>
      </c>
      <c r="B3980" t="inlineStr">
        <is>
          <t>附表7!B43</t>
        </is>
      </c>
      <c r="C3980" t="inlineStr">
        <is>
          <t>excel_formula</t>
        </is>
      </c>
    </row>
    <row r="3981">
      <c r="A3981" t="inlineStr">
        <is>
          <t>附表7!X4</t>
        </is>
      </c>
      <c r="B3981" t="inlineStr">
        <is>
          <t>附表7!B44</t>
        </is>
      </c>
      <c r="C3981" t="inlineStr">
        <is>
          <t>excel_formula</t>
        </is>
      </c>
    </row>
    <row r="3982">
      <c r="A3982" t="inlineStr">
        <is>
          <t>附表7!Y4</t>
        </is>
      </c>
      <c r="B3982" t="inlineStr">
        <is>
          <t>附表7!B45</t>
        </is>
      </c>
      <c r="C3982" t="inlineStr">
        <is>
          <t>excel_formula</t>
        </is>
      </c>
    </row>
    <row r="3983">
      <c r="A3983" t="inlineStr">
        <is>
          <t>附表7!Z4</t>
        </is>
      </c>
      <c r="B3983" t="inlineStr">
        <is>
          <t>附表7!B46</t>
        </is>
      </c>
      <c r="C3983" t="inlineStr">
        <is>
          <t>excel_formula</t>
        </is>
      </c>
    </row>
    <row r="3984">
      <c r="A3984" t="inlineStr">
        <is>
          <t>附表7!AA4</t>
        </is>
      </c>
      <c r="B3984" t="inlineStr">
        <is>
          <t>附表7!B47</t>
        </is>
      </c>
      <c r="C3984" t="inlineStr">
        <is>
          <t>excel_formula</t>
        </is>
      </c>
    </row>
    <row r="3985">
      <c r="A3985" t="inlineStr">
        <is>
          <t>附表7!D5</t>
        </is>
      </c>
      <c r="B3985" t="inlineStr">
        <is>
          <t>附表7!D24</t>
        </is>
      </c>
      <c r="C3985" t="inlineStr">
        <is>
          <t>excel_formula</t>
        </is>
      </c>
    </row>
    <row r="3986">
      <c r="A3986" t="inlineStr">
        <is>
          <t>附表7!E5</t>
        </is>
      </c>
      <c r="B3986" t="inlineStr">
        <is>
          <t>附表7!D25</t>
        </is>
      </c>
      <c r="C3986" t="inlineStr">
        <is>
          <t>excel_formula</t>
        </is>
      </c>
    </row>
    <row r="3987">
      <c r="A3987" t="inlineStr">
        <is>
          <t>附表7!F5</t>
        </is>
      </c>
      <c r="B3987" t="inlineStr">
        <is>
          <t>附表7!D26</t>
        </is>
      </c>
      <c r="C3987" t="inlineStr">
        <is>
          <t>excel_formula</t>
        </is>
      </c>
    </row>
    <row r="3988">
      <c r="A3988" t="inlineStr">
        <is>
          <t>附表7!G5</t>
        </is>
      </c>
      <c r="B3988" t="inlineStr">
        <is>
          <t>附表7!D27</t>
        </is>
      </c>
      <c r="C3988" t="inlineStr">
        <is>
          <t>excel_formula</t>
        </is>
      </c>
    </row>
    <row r="3989">
      <c r="A3989" t="inlineStr">
        <is>
          <t>附表7!H5</t>
        </is>
      </c>
      <c r="B3989" t="inlineStr">
        <is>
          <t>附表7!D28</t>
        </is>
      </c>
      <c r="C3989" t="inlineStr">
        <is>
          <t>excel_formula</t>
        </is>
      </c>
    </row>
    <row r="3990">
      <c r="A3990" t="inlineStr">
        <is>
          <t>附表7!I5</t>
        </is>
      </c>
      <c r="B3990" t="inlineStr">
        <is>
          <t>附表7!D29</t>
        </is>
      </c>
      <c r="C3990" t="inlineStr">
        <is>
          <t>excel_formula</t>
        </is>
      </c>
    </row>
    <row r="3991">
      <c r="A3991" t="inlineStr">
        <is>
          <t>附表7!J5</t>
        </is>
      </c>
      <c r="B3991" t="inlineStr">
        <is>
          <t>附表7!D30</t>
        </is>
      </c>
      <c r="C3991" t="inlineStr">
        <is>
          <t>excel_formula</t>
        </is>
      </c>
    </row>
    <row r="3992">
      <c r="A3992" t="inlineStr">
        <is>
          <t>附表7!K5</t>
        </is>
      </c>
      <c r="B3992" t="inlineStr">
        <is>
          <t>附表7!D31</t>
        </is>
      </c>
      <c r="C3992" t="inlineStr">
        <is>
          <t>excel_formula</t>
        </is>
      </c>
    </row>
    <row r="3993">
      <c r="A3993" t="inlineStr">
        <is>
          <t>附表7!L5</t>
        </is>
      </c>
      <c r="B3993" t="inlineStr">
        <is>
          <t>附表7!D32</t>
        </is>
      </c>
      <c r="C3993" t="inlineStr">
        <is>
          <t>excel_formula</t>
        </is>
      </c>
    </row>
    <row r="3994">
      <c r="A3994" t="inlineStr">
        <is>
          <t>附表7!M5</t>
        </is>
      </c>
      <c r="B3994" t="inlineStr">
        <is>
          <t>附表7!D33</t>
        </is>
      </c>
      <c r="C3994" t="inlineStr">
        <is>
          <t>excel_formula</t>
        </is>
      </c>
    </row>
    <row r="3995">
      <c r="A3995" t="inlineStr">
        <is>
          <t>附表7!N5</t>
        </is>
      </c>
      <c r="B3995" t="inlineStr">
        <is>
          <t>附表7!D34</t>
        </is>
      </c>
      <c r="C3995" t="inlineStr">
        <is>
          <t>excel_formula</t>
        </is>
      </c>
    </row>
    <row r="3996">
      <c r="A3996" t="inlineStr">
        <is>
          <t>附表7!O5</t>
        </is>
      </c>
      <c r="B3996" t="inlineStr">
        <is>
          <t>附表7!D35</t>
        </is>
      </c>
      <c r="C3996" t="inlineStr">
        <is>
          <t>excel_formula</t>
        </is>
      </c>
    </row>
    <row r="3997">
      <c r="A3997" t="inlineStr">
        <is>
          <t>附表7!P5</t>
        </is>
      </c>
      <c r="B3997" t="inlineStr">
        <is>
          <t>附表7!D36</t>
        </is>
      </c>
      <c r="C3997" t="inlineStr">
        <is>
          <t>excel_formula</t>
        </is>
      </c>
    </row>
    <row r="3998">
      <c r="A3998" t="inlineStr">
        <is>
          <t>附表7!Q5</t>
        </is>
      </c>
      <c r="B3998" t="inlineStr">
        <is>
          <t>附表7!D37</t>
        </is>
      </c>
      <c r="C3998" t="inlineStr">
        <is>
          <t>excel_formula</t>
        </is>
      </c>
    </row>
    <row r="3999">
      <c r="A3999" t="inlineStr">
        <is>
          <t>附表7!R5</t>
        </is>
      </c>
      <c r="B3999" t="inlineStr">
        <is>
          <t>附表7!D38</t>
        </is>
      </c>
      <c r="C3999" t="inlineStr">
        <is>
          <t>excel_formula</t>
        </is>
      </c>
    </row>
    <row r="4000">
      <c r="A4000" t="inlineStr">
        <is>
          <t>附表7!S5</t>
        </is>
      </c>
      <c r="B4000" t="inlineStr">
        <is>
          <t>附表7!D39</t>
        </is>
      </c>
      <c r="C4000" t="inlineStr">
        <is>
          <t>excel_formula</t>
        </is>
      </c>
    </row>
    <row r="4001">
      <c r="A4001" t="inlineStr">
        <is>
          <t>附表7!T5</t>
        </is>
      </c>
      <c r="B4001" t="inlineStr">
        <is>
          <t>附表7!D40</t>
        </is>
      </c>
      <c r="C4001" t="inlineStr">
        <is>
          <t>excel_formula</t>
        </is>
      </c>
    </row>
    <row r="4002">
      <c r="A4002" t="inlineStr">
        <is>
          <t>附表7!U5</t>
        </is>
      </c>
      <c r="B4002" t="inlineStr">
        <is>
          <t>附表7!D41</t>
        </is>
      </c>
      <c r="C4002" t="inlineStr">
        <is>
          <t>excel_formula</t>
        </is>
      </c>
    </row>
    <row r="4003">
      <c r="A4003" t="inlineStr">
        <is>
          <t>附表7!V5</t>
        </is>
      </c>
      <c r="B4003" t="inlineStr">
        <is>
          <t>附表7!D42</t>
        </is>
      </c>
      <c r="C4003" t="inlineStr">
        <is>
          <t>excel_formula</t>
        </is>
      </c>
    </row>
    <row r="4004">
      <c r="A4004" t="inlineStr">
        <is>
          <t>附表7!W5</t>
        </is>
      </c>
      <c r="B4004" t="inlineStr">
        <is>
          <t>附表7!D43</t>
        </is>
      </c>
      <c r="C4004" t="inlineStr">
        <is>
          <t>excel_formula</t>
        </is>
      </c>
    </row>
    <row r="4005">
      <c r="A4005" t="inlineStr">
        <is>
          <t>附表7!X5</t>
        </is>
      </c>
      <c r="B4005" t="inlineStr">
        <is>
          <t>附表7!D44</t>
        </is>
      </c>
      <c r="C4005" t="inlineStr">
        <is>
          <t>excel_formula</t>
        </is>
      </c>
    </row>
    <row r="4006">
      <c r="A4006" t="inlineStr">
        <is>
          <t>附表7!Y5</t>
        </is>
      </c>
      <c r="B4006" t="inlineStr">
        <is>
          <t>附表7!D45</t>
        </is>
      </c>
      <c r="C4006" t="inlineStr">
        <is>
          <t>excel_formula</t>
        </is>
      </c>
    </row>
    <row r="4007">
      <c r="A4007" t="inlineStr">
        <is>
          <t>附表7!Z5</t>
        </is>
      </c>
      <c r="B4007" t="inlineStr">
        <is>
          <t>附表7!D46</t>
        </is>
      </c>
      <c r="C4007" t="inlineStr">
        <is>
          <t>excel_formula</t>
        </is>
      </c>
    </row>
    <row r="4008">
      <c r="A4008" t="inlineStr">
        <is>
          <t>附表7!AA5</t>
        </is>
      </c>
      <c r="B4008" t="inlineStr">
        <is>
          <t>附表7!D47</t>
        </is>
      </c>
      <c r="C4008" t="inlineStr">
        <is>
          <t>excel_formula</t>
        </is>
      </c>
    </row>
    <row r="4009">
      <c r="A4009" t="inlineStr">
        <is>
          <t>附表7!D6</t>
        </is>
      </c>
      <c r="B4009" t="inlineStr">
        <is>
          <t>附表7!C24</t>
        </is>
      </c>
      <c r="C4009" t="inlineStr">
        <is>
          <t>excel_formula</t>
        </is>
      </c>
    </row>
    <row r="4010">
      <c r="A4010" t="inlineStr">
        <is>
          <t>附表7!E6</t>
        </is>
      </c>
      <c r="B4010" t="inlineStr">
        <is>
          <t>附表7!C25</t>
        </is>
      </c>
      <c r="C4010" t="inlineStr">
        <is>
          <t>excel_formula</t>
        </is>
      </c>
    </row>
    <row r="4011">
      <c r="A4011" t="inlineStr">
        <is>
          <t>附表7!F6</t>
        </is>
      </c>
      <c r="B4011" t="inlineStr">
        <is>
          <t>附表7!C26</t>
        </is>
      </c>
      <c r="C4011" t="inlineStr">
        <is>
          <t>excel_formula</t>
        </is>
      </c>
    </row>
    <row r="4012">
      <c r="A4012" t="inlineStr">
        <is>
          <t>附表7!G6</t>
        </is>
      </c>
      <c r="B4012" t="inlineStr">
        <is>
          <t>附表7!C27</t>
        </is>
      </c>
      <c r="C4012" t="inlineStr">
        <is>
          <t>excel_formula</t>
        </is>
      </c>
    </row>
    <row r="4013">
      <c r="A4013" t="inlineStr">
        <is>
          <t>附表7!H6</t>
        </is>
      </c>
      <c r="B4013" t="inlineStr">
        <is>
          <t>附表7!C28</t>
        </is>
      </c>
      <c r="C4013" t="inlineStr">
        <is>
          <t>excel_formula</t>
        </is>
      </c>
    </row>
    <row r="4014">
      <c r="A4014" t="inlineStr">
        <is>
          <t>附表7!I6</t>
        </is>
      </c>
      <c r="B4014" t="inlineStr">
        <is>
          <t>附表7!C29</t>
        </is>
      </c>
      <c r="C4014" t="inlineStr">
        <is>
          <t>excel_formula</t>
        </is>
      </c>
    </row>
    <row r="4015">
      <c r="A4015" t="inlineStr">
        <is>
          <t>附表7!J6</t>
        </is>
      </c>
      <c r="B4015" t="inlineStr">
        <is>
          <t>附表7!C30</t>
        </is>
      </c>
      <c r="C4015" t="inlineStr">
        <is>
          <t>excel_formula</t>
        </is>
      </c>
    </row>
    <row r="4016">
      <c r="A4016" t="inlineStr">
        <is>
          <t>附表7!K6</t>
        </is>
      </c>
      <c r="B4016" t="inlineStr">
        <is>
          <t>附表7!C31</t>
        </is>
      </c>
      <c r="C4016" t="inlineStr">
        <is>
          <t>excel_formula</t>
        </is>
      </c>
    </row>
    <row r="4017">
      <c r="A4017" t="inlineStr">
        <is>
          <t>附表7!L6</t>
        </is>
      </c>
      <c r="B4017" t="inlineStr">
        <is>
          <t>附表7!C32</t>
        </is>
      </c>
      <c r="C4017" t="inlineStr">
        <is>
          <t>excel_formula</t>
        </is>
      </c>
    </row>
    <row r="4018">
      <c r="A4018" t="inlineStr">
        <is>
          <t>附表7!M6</t>
        </is>
      </c>
      <c r="B4018" t="inlineStr">
        <is>
          <t>附表7!C33</t>
        </is>
      </c>
      <c r="C4018" t="inlineStr">
        <is>
          <t>excel_formula</t>
        </is>
      </c>
    </row>
    <row r="4019">
      <c r="A4019" t="inlineStr">
        <is>
          <t>附表7!N6</t>
        </is>
      </c>
      <c r="B4019" t="inlineStr">
        <is>
          <t>附表7!C34</t>
        </is>
      </c>
      <c r="C4019" t="inlineStr">
        <is>
          <t>excel_formula</t>
        </is>
      </c>
    </row>
    <row r="4020">
      <c r="A4020" t="inlineStr">
        <is>
          <t>附表7!O6</t>
        </is>
      </c>
      <c r="B4020" t="inlineStr">
        <is>
          <t>附表7!C35</t>
        </is>
      </c>
      <c r="C4020" t="inlineStr">
        <is>
          <t>excel_formula</t>
        </is>
      </c>
    </row>
    <row r="4021">
      <c r="A4021" t="inlineStr">
        <is>
          <t>附表7!P6</t>
        </is>
      </c>
      <c r="B4021" t="inlineStr">
        <is>
          <t>附表7!C36</t>
        </is>
      </c>
      <c r="C4021" t="inlineStr">
        <is>
          <t>excel_formula</t>
        </is>
      </c>
    </row>
    <row r="4022">
      <c r="A4022" t="inlineStr">
        <is>
          <t>附表7!Q6</t>
        </is>
      </c>
      <c r="B4022" t="inlineStr">
        <is>
          <t>附表7!C37</t>
        </is>
      </c>
      <c r="C4022" t="inlineStr">
        <is>
          <t>excel_formula</t>
        </is>
      </c>
    </row>
    <row r="4023">
      <c r="A4023" t="inlineStr">
        <is>
          <t>附表7!R6</t>
        </is>
      </c>
      <c r="B4023" t="inlineStr">
        <is>
          <t>附表7!C38</t>
        </is>
      </c>
      <c r="C4023" t="inlineStr">
        <is>
          <t>excel_formula</t>
        </is>
      </c>
    </row>
    <row r="4024">
      <c r="A4024" t="inlineStr">
        <is>
          <t>附表7!S6</t>
        </is>
      </c>
      <c r="B4024" t="inlineStr">
        <is>
          <t>附表7!C39</t>
        </is>
      </c>
      <c r="C4024" t="inlineStr">
        <is>
          <t>excel_formula</t>
        </is>
      </c>
    </row>
    <row r="4025">
      <c r="A4025" t="inlineStr">
        <is>
          <t>附表7!T6</t>
        </is>
      </c>
      <c r="B4025" t="inlineStr">
        <is>
          <t>附表7!C40</t>
        </is>
      </c>
      <c r="C4025" t="inlineStr">
        <is>
          <t>excel_formula</t>
        </is>
      </c>
    </row>
    <row r="4026">
      <c r="A4026" t="inlineStr">
        <is>
          <t>附表7!U6</t>
        </is>
      </c>
      <c r="B4026" t="inlineStr">
        <is>
          <t>附表7!C41</t>
        </is>
      </c>
      <c r="C4026" t="inlineStr">
        <is>
          <t>excel_formula</t>
        </is>
      </c>
    </row>
    <row r="4027">
      <c r="A4027" t="inlineStr">
        <is>
          <t>附表7!V6</t>
        </is>
      </c>
      <c r="B4027" t="inlineStr">
        <is>
          <t>附表7!C42</t>
        </is>
      </c>
      <c r="C4027" t="inlineStr">
        <is>
          <t>excel_formula</t>
        </is>
      </c>
    </row>
    <row r="4028">
      <c r="A4028" t="inlineStr">
        <is>
          <t>附表7!W6</t>
        </is>
      </c>
      <c r="B4028" t="inlineStr">
        <is>
          <t>附表7!C43</t>
        </is>
      </c>
      <c r="C4028" t="inlineStr">
        <is>
          <t>excel_formula</t>
        </is>
      </c>
    </row>
    <row r="4029">
      <c r="A4029" t="inlineStr">
        <is>
          <t>附表7!X6</t>
        </is>
      </c>
      <c r="B4029" t="inlineStr">
        <is>
          <t>附表7!C44</t>
        </is>
      </c>
      <c r="C4029" t="inlineStr">
        <is>
          <t>excel_formula</t>
        </is>
      </c>
    </row>
    <row r="4030">
      <c r="A4030" t="inlineStr">
        <is>
          <t>附表7!Y6</t>
        </is>
      </c>
      <c r="B4030" t="inlineStr">
        <is>
          <t>附表7!C45</t>
        </is>
      </c>
      <c r="C4030" t="inlineStr">
        <is>
          <t>excel_formula</t>
        </is>
      </c>
    </row>
    <row r="4031">
      <c r="A4031" t="inlineStr">
        <is>
          <t>附表7!Z6</t>
        </is>
      </c>
      <c r="B4031" t="inlineStr">
        <is>
          <t>附表7!C46</t>
        </is>
      </c>
      <c r="C4031" t="inlineStr">
        <is>
          <t>excel_formula</t>
        </is>
      </c>
    </row>
    <row r="4032">
      <c r="A4032" t="inlineStr">
        <is>
          <t>附表7!AA6</t>
        </is>
      </c>
      <c r="B4032" t="inlineStr">
        <is>
          <t>附表7!C47</t>
        </is>
      </c>
      <c r="C4032" t="inlineStr">
        <is>
          <t>excel_formula</t>
        </is>
      </c>
    </row>
    <row r="4033">
      <c r="A4033" t="inlineStr">
        <is>
          <t>附表7!D7</t>
        </is>
      </c>
      <c r="B4033" t="inlineStr">
        <is>
          <t>附表7!E24</t>
        </is>
      </c>
      <c r="C4033" t="inlineStr">
        <is>
          <t>excel_formula</t>
        </is>
      </c>
    </row>
    <row r="4034">
      <c r="A4034" t="inlineStr">
        <is>
          <t>附表7!E7</t>
        </is>
      </c>
      <c r="B4034" t="inlineStr">
        <is>
          <t>附表7!E25</t>
        </is>
      </c>
      <c r="C4034" t="inlineStr">
        <is>
          <t>excel_formula</t>
        </is>
      </c>
    </row>
    <row r="4035">
      <c r="A4035" t="inlineStr">
        <is>
          <t>附表7!F7</t>
        </is>
      </c>
      <c r="B4035" t="inlineStr">
        <is>
          <t>附表7!E26</t>
        </is>
      </c>
      <c r="C4035" t="inlineStr">
        <is>
          <t>excel_formula</t>
        </is>
      </c>
    </row>
    <row r="4036">
      <c r="A4036" t="inlineStr">
        <is>
          <t>附表7!G7</t>
        </is>
      </c>
      <c r="B4036" t="inlineStr">
        <is>
          <t>附表7!E27</t>
        </is>
      </c>
      <c r="C4036" t="inlineStr">
        <is>
          <t>excel_formula</t>
        </is>
      </c>
    </row>
    <row r="4037">
      <c r="A4037" t="inlineStr">
        <is>
          <t>附表7!H7</t>
        </is>
      </c>
      <c r="B4037" t="inlineStr">
        <is>
          <t>附表7!E28</t>
        </is>
      </c>
      <c r="C4037" t="inlineStr">
        <is>
          <t>excel_formula</t>
        </is>
      </c>
    </row>
    <row r="4038">
      <c r="A4038" t="inlineStr">
        <is>
          <t>附表7!I7</t>
        </is>
      </c>
      <c r="B4038" t="inlineStr">
        <is>
          <t>附表7!E29</t>
        </is>
      </c>
      <c r="C4038" t="inlineStr">
        <is>
          <t>excel_formula</t>
        </is>
      </c>
    </row>
    <row r="4039">
      <c r="A4039" t="inlineStr">
        <is>
          <t>附表7!J7</t>
        </is>
      </c>
      <c r="B4039" t="inlineStr">
        <is>
          <t>附表7!E30</t>
        </is>
      </c>
      <c r="C4039" t="inlineStr">
        <is>
          <t>excel_formula</t>
        </is>
      </c>
    </row>
    <row r="4040">
      <c r="A4040" t="inlineStr">
        <is>
          <t>附表7!K7</t>
        </is>
      </c>
      <c r="B4040" t="inlineStr">
        <is>
          <t>附表7!E31</t>
        </is>
      </c>
      <c r="C4040" t="inlineStr">
        <is>
          <t>excel_formula</t>
        </is>
      </c>
    </row>
    <row r="4041">
      <c r="A4041" t="inlineStr">
        <is>
          <t>附表7!L7</t>
        </is>
      </c>
      <c r="B4041" t="inlineStr">
        <is>
          <t>附表7!E32</t>
        </is>
      </c>
      <c r="C4041" t="inlineStr">
        <is>
          <t>excel_formula</t>
        </is>
      </c>
    </row>
    <row r="4042">
      <c r="A4042" t="inlineStr">
        <is>
          <t>附表7!M7</t>
        </is>
      </c>
      <c r="B4042" t="inlineStr">
        <is>
          <t>附表7!E33</t>
        </is>
      </c>
      <c r="C4042" t="inlineStr">
        <is>
          <t>excel_formula</t>
        </is>
      </c>
    </row>
    <row r="4043">
      <c r="A4043" t="inlineStr">
        <is>
          <t>附表7!N7</t>
        </is>
      </c>
      <c r="B4043" t="inlineStr">
        <is>
          <t>附表7!E34</t>
        </is>
      </c>
      <c r="C4043" t="inlineStr">
        <is>
          <t>excel_formula</t>
        </is>
      </c>
    </row>
    <row r="4044">
      <c r="A4044" t="inlineStr">
        <is>
          <t>附表7!O7</t>
        </is>
      </c>
      <c r="B4044" t="inlineStr">
        <is>
          <t>附表7!E35</t>
        </is>
      </c>
      <c r="C4044" t="inlineStr">
        <is>
          <t>excel_formula</t>
        </is>
      </c>
    </row>
    <row r="4045">
      <c r="A4045" t="inlineStr">
        <is>
          <t>附表7!P7</t>
        </is>
      </c>
      <c r="B4045" t="inlineStr">
        <is>
          <t>附表7!E36</t>
        </is>
      </c>
      <c r="C4045" t="inlineStr">
        <is>
          <t>excel_formula</t>
        </is>
      </c>
    </row>
    <row r="4046">
      <c r="A4046" t="inlineStr">
        <is>
          <t>附表7!Q7</t>
        </is>
      </c>
      <c r="B4046" t="inlineStr">
        <is>
          <t>附表7!E37</t>
        </is>
      </c>
      <c r="C4046" t="inlineStr">
        <is>
          <t>excel_formula</t>
        </is>
      </c>
    </row>
    <row r="4047">
      <c r="A4047" t="inlineStr">
        <is>
          <t>附表7!R7</t>
        </is>
      </c>
      <c r="B4047" t="inlineStr">
        <is>
          <t>附表7!E38</t>
        </is>
      </c>
      <c r="C4047" t="inlineStr">
        <is>
          <t>excel_formula</t>
        </is>
      </c>
    </row>
    <row r="4048">
      <c r="A4048" t="inlineStr">
        <is>
          <t>附表7!S7</t>
        </is>
      </c>
      <c r="B4048" t="inlineStr">
        <is>
          <t>附表7!E39</t>
        </is>
      </c>
      <c r="C4048" t="inlineStr">
        <is>
          <t>excel_formula</t>
        </is>
      </c>
    </row>
    <row r="4049">
      <c r="A4049" t="inlineStr">
        <is>
          <t>附表7!T7</t>
        </is>
      </c>
      <c r="B4049" t="inlineStr">
        <is>
          <t>附表7!E40</t>
        </is>
      </c>
      <c r="C4049" t="inlineStr">
        <is>
          <t>excel_formula</t>
        </is>
      </c>
    </row>
    <row r="4050">
      <c r="A4050" t="inlineStr">
        <is>
          <t>附表7!U7</t>
        </is>
      </c>
      <c r="B4050" t="inlineStr">
        <is>
          <t>附表7!E41</t>
        </is>
      </c>
      <c r="C4050" t="inlineStr">
        <is>
          <t>excel_formula</t>
        </is>
      </c>
    </row>
    <row r="4051">
      <c r="A4051" t="inlineStr">
        <is>
          <t>附表7!V7</t>
        </is>
      </c>
      <c r="B4051" t="inlineStr">
        <is>
          <t>附表7!E42</t>
        </is>
      </c>
      <c r="C4051" t="inlineStr">
        <is>
          <t>excel_formula</t>
        </is>
      </c>
    </row>
    <row r="4052">
      <c r="A4052" t="inlineStr">
        <is>
          <t>附表7!W7</t>
        </is>
      </c>
      <c r="B4052" t="inlineStr">
        <is>
          <t>附表7!E43</t>
        </is>
      </c>
      <c r="C4052" t="inlineStr">
        <is>
          <t>excel_formula</t>
        </is>
      </c>
    </row>
    <row r="4053">
      <c r="A4053" t="inlineStr">
        <is>
          <t>附表7!X7</t>
        </is>
      </c>
      <c r="B4053" t="inlineStr">
        <is>
          <t>附表7!E44</t>
        </is>
      </c>
      <c r="C4053" t="inlineStr">
        <is>
          <t>excel_formula</t>
        </is>
      </c>
    </row>
    <row r="4054">
      <c r="A4054" t="inlineStr">
        <is>
          <t>附表7!Y7</t>
        </is>
      </c>
      <c r="B4054" t="inlineStr">
        <is>
          <t>附表7!E45</t>
        </is>
      </c>
      <c r="C4054" t="inlineStr">
        <is>
          <t>excel_formula</t>
        </is>
      </c>
    </row>
    <row r="4055">
      <c r="A4055" t="inlineStr">
        <is>
          <t>附表7!Z7</t>
        </is>
      </c>
      <c r="B4055" t="inlineStr">
        <is>
          <t>附表7!E46</t>
        </is>
      </c>
      <c r="C4055" t="inlineStr">
        <is>
          <t>excel_formula</t>
        </is>
      </c>
    </row>
    <row r="4056">
      <c r="A4056" t="inlineStr">
        <is>
          <t>附表7!AA7</t>
        </is>
      </c>
      <c r="B4056" t="inlineStr">
        <is>
          <t>附表7!E47</t>
        </is>
      </c>
      <c r="C4056" t="inlineStr">
        <is>
          <t>excel_formula</t>
        </is>
      </c>
    </row>
    <row r="4057">
      <c r="A4057" t="inlineStr">
        <is>
          <t>附表7!D8</t>
        </is>
      </c>
      <c r="B4057" t="inlineStr">
        <is>
          <t>附表7!H24</t>
        </is>
      </c>
      <c r="C4057" t="inlineStr">
        <is>
          <t>excel_formula</t>
        </is>
      </c>
    </row>
    <row r="4058">
      <c r="A4058" t="inlineStr">
        <is>
          <t>附表7!E8</t>
        </is>
      </c>
      <c r="B4058" t="inlineStr">
        <is>
          <t>附表7!H25</t>
        </is>
      </c>
      <c r="C4058" t="inlineStr">
        <is>
          <t>excel_formula</t>
        </is>
      </c>
    </row>
    <row r="4059">
      <c r="A4059" t="inlineStr">
        <is>
          <t>附表7!F8</t>
        </is>
      </c>
      <c r="B4059" t="inlineStr">
        <is>
          <t>附表7!H26</t>
        </is>
      </c>
      <c r="C4059" t="inlineStr">
        <is>
          <t>excel_formula</t>
        </is>
      </c>
    </row>
    <row r="4060">
      <c r="A4060" t="inlineStr">
        <is>
          <t>附表7!G8</t>
        </is>
      </c>
      <c r="B4060" t="inlineStr">
        <is>
          <t>附表7!H27</t>
        </is>
      </c>
      <c r="C4060" t="inlineStr">
        <is>
          <t>excel_formula</t>
        </is>
      </c>
    </row>
    <row r="4061">
      <c r="A4061" t="inlineStr">
        <is>
          <t>附表7!H8</t>
        </is>
      </c>
      <c r="B4061" t="inlineStr">
        <is>
          <t>附表7!H28</t>
        </is>
      </c>
      <c r="C4061" t="inlineStr">
        <is>
          <t>excel_formula</t>
        </is>
      </c>
    </row>
    <row r="4062">
      <c r="A4062" t="inlineStr">
        <is>
          <t>附表7!I8</t>
        </is>
      </c>
      <c r="B4062" t="inlineStr">
        <is>
          <t>附表7!H29</t>
        </is>
      </c>
      <c r="C4062" t="inlineStr">
        <is>
          <t>excel_formula</t>
        </is>
      </c>
    </row>
    <row r="4063">
      <c r="A4063" t="inlineStr">
        <is>
          <t>附表7!J8</t>
        </is>
      </c>
      <c r="B4063" t="inlineStr">
        <is>
          <t>附表7!H30</t>
        </is>
      </c>
      <c r="C4063" t="inlineStr">
        <is>
          <t>excel_formula</t>
        </is>
      </c>
    </row>
    <row r="4064">
      <c r="A4064" t="inlineStr">
        <is>
          <t>附表7!K8</t>
        </is>
      </c>
      <c r="B4064" t="inlineStr">
        <is>
          <t>附表7!H31</t>
        </is>
      </c>
      <c r="C4064" t="inlineStr">
        <is>
          <t>excel_formula</t>
        </is>
      </c>
    </row>
    <row r="4065">
      <c r="A4065" t="inlineStr">
        <is>
          <t>附表7!L8</t>
        </is>
      </c>
      <c r="B4065" t="inlineStr">
        <is>
          <t>附表7!H32</t>
        </is>
      </c>
      <c r="C4065" t="inlineStr">
        <is>
          <t>excel_formula</t>
        </is>
      </c>
    </row>
    <row r="4066">
      <c r="A4066" t="inlineStr">
        <is>
          <t>附表7!M8</t>
        </is>
      </c>
      <c r="B4066" t="inlineStr">
        <is>
          <t>附表7!H33</t>
        </is>
      </c>
      <c r="C4066" t="inlineStr">
        <is>
          <t>excel_formula</t>
        </is>
      </c>
    </row>
    <row r="4067">
      <c r="A4067" t="inlineStr">
        <is>
          <t>附表7!N8</t>
        </is>
      </c>
      <c r="B4067" t="inlineStr">
        <is>
          <t>附表7!H34</t>
        </is>
      </c>
      <c r="C4067" t="inlineStr">
        <is>
          <t>excel_formula</t>
        </is>
      </c>
    </row>
    <row r="4068">
      <c r="A4068" t="inlineStr">
        <is>
          <t>附表7!O8</t>
        </is>
      </c>
      <c r="B4068" t="inlineStr">
        <is>
          <t>附表7!H35</t>
        </is>
      </c>
      <c r="C4068" t="inlineStr">
        <is>
          <t>excel_formula</t>
        </is>
      </c>
    </row>
    <row r="4069">
      <c r="A4069" t="inlineStr">
        <is>
          <t>附表7!P8</t>
        </is>
      </c>
      <c r="B4069" t="inlineStr">
        <is>
          <t>附表7!H36</t>
        </is>
      </c>
      <c r="C4069" t="inlineStr">
        <is>
          <t>excel_formula</t>
        </is>
      </c>
    </row>
    <row r="4070">
      <c r="A4070" t="inlineStr">
        <is>
          <t>附表7!Q8</t>
        </is>
      </c>
      <c r="B4070" t="inlineStr">
        <is>
          <t>附表7!H37</t>
        </is>
      </c>
      <c r="C4070" t="inlineStr">
        <is>
          <t>excel_formula</t>
        </is>
      </c>
    </row>
    <row r="4071">
      <c r="A4071" t="inlineStr">
        <is>
          <t>附表7!R8</t>
        </is>
      </c>
      <c r="B4071" t="inlineStr">
        <is>
          <t>附表7!H38</t>
        </is>
      </c>
      <c r="C4071" t="inlineStr">
        <is>
          <t>excel_formula</t>
        </is>
      </c>
    </row>
    <row r="4072">
      <c r="A4072" t="inlineStr">
        <is>
          <t>附表7!S8</t>
        </is>
      </c>
      <c r="B4072" t="inlineStr">
        <is>
          <t>附表7!H39</t>
        </is>
      </c>
      <c r="C4072" t="inlineStr">
        <is>
          <t>excel_formula</t>
        </is>
      </c>
    </row>
    <row r="4073">
      <c r="A4073" t="inlineStr">
        <is>
          <t>附表7!T8</t>
        </is>
      </c>
      <c r="B4073" t="inlineStr">
        <is>
          <t>附表7!H40</t>
        </is>
      </c>
      <c r="C4073" t="inlineStr">
        <is>
          <t>excel_formula</t>
        </is>
      </c>
    </row>
    <row r="4074">
      <c r="A4074" t="inlineStr">
        <is>
          <t>附表7!U8</t>
        </is>
      </c>
      <c r="B4074" t="inlineStr">
        <is>
          <t>附表7!H41</t>
        </is>
      </c>
      <c r="C4074" t="inlineStr">
        <is>
          <t>excel_formula</t>
        </is>
      </c>
    </row>
    <row r="4075">
      <c r="A4075" t="inlineStr">
        <is>
          <t>附表7!V8</t>
        </is>
      </c>
      <c r="B4075" t="inlineStr">
        <is>
          <t>附表7!H42</t>
        </is>
      </c>
      <c r="C4075" t="inlineStr">
        <is>
          <t>excel_formula</t>
        </is>
      </c>
    </row>
    <row r="4076">
      <c r="A4076" t="inlineStr">
        <is>
          <t>附表7!W8</t>
        </is>
      </c>
      <c r="B4076" t="inlineStr">
        <is>
          <t>附表7!H43</t>
        </is>
      </c>
      <c r="C4076" t="inlineStr">
        <is>
          <t>excel_formula</t>
        </is>
      </c>
    </row>
    <row r="4077">
      <c r="A4077" t="inlineStr">
        <is>
          <t>附表7!X8</t>
        </is>
      </c>
      <c r="B4077" t="inlineStr">
        <is>
          <t>附表7!H44</t>
        </is>
      </c>
      <c r="C4077" t="inlineStr">
        <is>
          <t>excel_formula</t>
        </is>
      </c>
    </row>
    <row r="4078">
      <c r="A4078" t="inlineStr">
        <is>
          <t>附表7!Y8</t>
        </is>
      </c>
      <c r="B4078" t="inlineStr">
        <is>
          <t>附表7!H45</t>
        </is>
      </c>
      <c r="C4078" t="inlineStr">
        <is>
          <t>excel_formula</t>
        </is>
      </c>
    </row>
    <row r="4079">
      <c r="A4079" t="inlineStr">
        <is>
          <t>附表7!Z8</t>
        </is>
      </c>
      <c r="B4079" t="inlineStr">
        <is>
          <t>附表7!H46</t>
        </is>
      </c>
      <c r="C4079" t="inlineStr">
        <is>
          <t>excel_formula</t>
        </is>
      </c>
    </row>
    <row r="4080">
      <c r="A4080" t="inlineStr">
        <is>
          <t>附表7!AA8</t>
        </is>
      </c>
      <c r="B4080" t="inlineStr">
        <is>
          <t>附表7!H47</t>
        </is>
      </c>
      <c r="C4080" t="inlineStr">
        <is>
          <t>excel_formula</t>
        </is>
      </c>
    </row>
    <row r="4081">
      <c r="A4081" t="inlineStr">
        <is>
          <t>附表7!D9</t>
        </is>
      </c>
      <c r="B4081" t="inlineStr">
        <is>
          <t>附表7!I24</t>
        </is>
      </c>
      <c r="C4081" t="inlineStr">
        <is>
          <t>excel_formula</t>
        </is>
      </c>
    </row>
    <row r="4082">
      <c r="A4082" t="inlineStr">
        <is>
          <t>附表7!E9</t>
        </is>
      </c>
      <c r="B4082" t="inlineStr">
        <is>
          <t>附表7!I25</t>
        </is>
      </c>
      <c r="C4082" t="inlineStr">
        <is>
          <t>excel_formula</t>
        </is>
      </c>
    </row>
    <row r="4083">
      <c r="A4083" t="inlineStr">
        <is>
          <t>附表7!F9</t>
        </is>
      </c>
      <c r="B4083" t="inlineStr">
        <is>
          <t>附表7!I26</t>
        </is>
      </c>
      <c r="C4083" t="inlineStr">
        <is>
          <t>excel_formula</t>
        </is>
      </c>
    </row>
    <row r="4084">
      <c r="A4084" t="inlineStr">
        <is>
          <t>附表7!G9</t>
        </is>
      </c>
      <c r="B4084" t="inlineStr">
        <is>
          <t>附表7!I27</t>
        </is>
      </c>
      <c r="C4084" t="inlineStr">
        <is>
          <t>excel_formula</t>
        </is>
      </c>
    </row>
    <row r="4085">
      <c r="A4085" t="inlineStr">
        <is>
          <t>附表7!H9</t>
        </is>
      </c>
      <c r="B4085" t="inlineStr">
        <is>
          <t>附表7!I28</t>
        </is>
      </c>
      <c r="C4085" t="inlineStr">
        <is>
          <t>excel_formula</t>
        </is>
      </c>
    </row>
    <row r="4086">
      <c r="A4086" t="inlineStr">
        <is>
          <t>附表7!I9</t>
        </is>
      </c>
      <c r="B4086" t="inlineStr">
        <is>
          <t>附表7!I29</t>
        </is>
      </c>
      <c r="C4086" t="inlineStr">
        <is>
          <t>excel_formula</t>
        </is>
      </c>
    </row>
    <row r="4087">
      <c r="A4087" t="inlineStr">
        <is>
          <t>附表7!J9</t>
        </is>
      </c>
      <c r="B4087" t="inlineStr">
        <is>
          <t>附表7!I30</t>
        </is>
      </c>
      <c r="C4087" t="inlineStr">
        <is>
          <t>excel_formula</t>
        </is>
      </c>
    </row>
    <row r="4088">
      <c r="A4088" t="inlineStr">
        <is>
          <t>附表7!K9</t>
        </is>
      </c>
      <c r="B4088" t="inlineStr">
        <is>
          <t>附表7!I31</t>
        </is>
      </c>
      <c r="C4088" t="inlineStr">
        <is>
          <t>excel_formula</t>
        </is>
      </c>
    </row>
    <row r="4089">
      <c r="A4089" t="inlineStr">
        <is>
          <t>附表7!L9</t>
        </is>
      </c>
      <c r="B4089" t="inlineStr">
        <is>
          <t>附表7!I32</t>
        </is>
      </c>
      <c r="C4089" t="inlineStr">
        <is>
          <t>excel_formula</t>
        </is>
      </c>
    </row>
    <row r="4090">
      <c r="A4090" t="inlineStr">
        <is>
          <t>附表7!M9</t>
        </is>
      </c>
      <c r="B4090" t="inlineStr">
        <is>
          <t>附表7!I33</t>
        </is>
      </c>
      <c r="C4090" t="inlineStr">
        <is>
          <t>excel_formula</t>
        </is>
      </c>
    </row>
    <row r="4091">
      <c r="A4091" t="inlineStr">
        <is>
          <t>附表7!N9</t>
        </is>
      </c>
      <c r="B4091" t="inlineStr">
        <is>
          <t>附表7!I34</t>
        </is>
      </c>
      <c r="C4091" t="inlineStr">
        <is>
          <t>excel_formula</t>
        </is>
      </c>
    </row>
    <row r="4092">
      <c r="A4092" t="inlineStr">
        <is>
          <t>附表7!O9</t>
        </is>
      </c>
      <c r="B4092" t="inlineStr">
        <is>
          <t>附表7!I35</t>
        </is>
      </c>
      <c r="C4092" t="inlineStr">
        <is>
          <t>excel_formula</t>
        </is>
      </c>
    </row>
    <row r="4093">
      <c r="A4093" t="inlineStr">
        <is>
          <t>附表7!P9</t>
        </is>
      </c>
      <c r="B4093" t="inlineStr">
        <is>
          <t>附表7!I36</t>
        </is>
      </c>
      <c r="C4093" t="inlineStr">
        <is>
          <t>excel_formula</t>
        </is>
      </c>
    </row>
    <row r="4094">
      <c r="A4094" t="inlineStr">
        <is>
          <t>附表7!Q9</t>
        </is>
      </c>
      <c r="B4094" t="inlineStr">
        <is>
          <t>附表7!I37</t>
        </is>
      </c>
      <c r="C4094" t="inlineStr">
        <is>
          <t>excel_formula</t>
        </is>
      </c>
    </row>
    <row r="4095">
      <c r="A4095" t="inlineStr">
        <is>
          <t>附表7!R9</t>
        </is>
      </c>
      <c r="B4095" t="inlineStr">
        <is>
          <t>附表7!I38</t>
        </is>
      </c>
      <c r="C4095" t="inlineStr">
        <is>
          <t>excel_formula</t>
        </is>
      </c>
    </row>
    <row r="4096">
      <c r="A4096" t="inlineStr">
        <is>
          <t>附表7!S9</t>
        </is>
      </c>
      <c r="B4096" t="inlineStr">
        <is>
          <t>附表7!I39</t>
        </is>
      </c>
      <c r="C4096" t="inlineStr">
        <is>
          <t>excel_formula</t>
        </is>
      </c>
    </row>
    <row r="4097">
      <c r="A4097" t="inlineStr">
        <is>
          <t>附表7!T9</t>
        </is>
      </c>
      <c r="B4097" t="inlineStr">
        <is>
          <t>附表7!I40</t>
        </is>
      </c>
      <c r="C4097" t="inlineStr">
        <is>
          <t>excel_formula</t>
        </is>
      </c>
    </row>
    <row r="4098">
      <c r="A4098" t="inlineStr">
        <is>
          <t>附表7!U9</t>
        </is>
      </c>
      <c r="B4098" t="inlineStr">
        <is>
          <t>附表7!I41</t>
        </is>
      </c>
      <c r="C4098" t="inlineStr">
        <is>
          <t>excel_formula</t>
        </is>
      </c>
    </row>
    <row r="4099">
      <c r="A4099" t="inlineStr">
        <is>
          <t>附表7!V9</t>
        </is>
      </c>
      <c r="B4099" t="inlineStr">
        <is>
          <t>附表7!I42</t>
        </is>
      </c>
      <c r="C4099" t="inlineStr">
        <is>
          <t>excel_formula</t>
        </is>
      </c>
    </row>
    <row r="4100">
      <c r="A4100" t="inlineStr">
        <is>
          <t>附表7!W9</t>
        </is>
      </c>
      <c r="B4100" t="inlineStr">
        <is>
          <t>附表7!I43</t>
        </is>
      </c>
      <c r="C4100" t="inlineStr">
        <is>
          <t>excel_formula</t>
        </is>
      </c>
    </row>
    <row r="4101">
      <c r="A4101" t="inlineStr">
        <is>
          <t>附表7!X9</t>
        </is>
      </c>
      <c r="B4101" t="inlineStr">
        <is>
          <t>附表7!I44</t>
        </is>
      </c>
      <c r="C4101" t="inlineStr">
        <is>
          <t>excel_formula</t>
        </is>
      </c>
    </row>
    <row r="4102">
      <c r="A4102" t="inlineStr">
        <is>
          <t>附表7!Y9</t>
        </is>
      </c>
      <c r="B4102" t="inlineStr">
        <is>
          <t>附表7!I45</t>
        </is>
      </c>
      <c r="C4102" t="inlineStr">
        <is>
          <t>excel_formula</t>
        </is>
      </c>
    </row>
    <row r="4103">
      <c r="A4103" t="inlineStr">
        <is>
          <t>附表7!Z9</t>
        </is>
      </c>
      <c r="B4103" t="inlineStr">
        <is>
          <t>附表7!I46</t>
        </is>
      </c>
      <c r="C4103" t="inlineStr">
        <is>
          <t>excel_formula</t>
        </is>
      </c>
    </row>
    <row r="4104">
      <c r="A4104" t="inlineStr">
        <is>
          <t>附表7!AA9</t>
        </is>
      </c>
      <c r="B4104" t="inlineStr">
        <is>
          <t>附表7!I47</t>
        </is>
      </c>
      <c r="C4104" t="inlineStr">
        <is>
          <t>excel_formula</t>
        </is>
      </c>
    </row>
    <row r="4105">
      <c r="A4105" t="inlineStr">
        <is>
          <t>附表7!D10</t>
        </is>
      </c>
      <c r="B4105" t="inlineStr">
        <is>
          <t>附表7!J24</t>
        </is>
      </c>
      <c r="C4105" t="inlineStr">
        <is>
          <t>excel_formula</t>
        </is>
      </c>
    </row>
    <row r="4106">
      <c r="A4106" t="inlineStr">
        <is>
          <t>附表7!E10</t>
        </is>
      </c>
      <c r="B4106" t="inlineStr">
        <is>
          <t>附表7!J25</t>
        </is>
      </c>
      <c r="C4106" t="inlineStr">
        <is>
          <t>excel_formula</t>
        </is>
      </c>
    </row>
    <row r="4107">
      <c r="A4107" t="inlineStr">
        <is>
          <t>附表7!F10</t>
        </is>
      </c>
      <c r="B4107" t="inlineStr">
        <is>
          <t>附表7!J26</t>
        </is>
      </c>
      <c r="C4107" t="inlineStr">
        <is>
          <t>excel_formula</t>
        </is>
      </c>
    </row>
    <row r="4108">
      <c r="A4108" t="inlineStr">
        <is>
          <t>附表7!G10</t>
        </is>
      </c>
      <c r="B4108" t="inlineStr">
        <is>
          <t>附表7!J27</t>
        </is>
      </c>
      <c r="C4108" t="inlineStr">
        <is>
          <t>excel_formula</t>
        </is>
      </c>
    </row>
    <row r="4109">
      <c r="A4109" t="inlineStr">
        <is>
          <t>附表7!H10</t>
        </is>
      </c>
      <c r="B4109" t="inlineStr">
        <is>
          <t>附表7!J28</t>
        </is>
      </c>
      <c r="C4109" t="inlineStr">
        <is>
          <t>excel_formula</t>
        </is>
      </c>
    </row>
    <row r="4110">
      <c r="A4110" t="inlineStr">
        <is>
          <t>附表7!I10</t>
        </is>
      </c>
      <c r="B4110" t="inlineStr">
        <is>
          <t>附表7!J29</t>
        </is>
      </c>
      <c r="C4110" t="inlineStr">
        <is>
          <t>excel_formula</t>
        </is>
      </c>
    </row>
    <row r="4111">
      <c r="A4111" t="inlineStr">
        <is>
          <t>附表7!J10</t>
        </is>
      </c>
      <c r="B4111" t="inlineStr">
        <is>
          <t>附表7!J30</t>
        </is>
      </c>
      <c r="C4111" t="inlineStr">
        <is>
          <t>excel_formula</t>
        </is>
      </c>
    </row>
    <row r="4112">
      <c r="A4112" t="inlineStr">
        <is>
          <t>附表7!K10</t>
        </is>
      </c>
      <c r="B4112" t="inlineStr">
        <is>
          <t>附表7!J31</t>
        </is>
      </c>
      <c r="C4112" t="inlineStr">
        <is>
          <t>excel_formula</t>
        </is>
      </c>
    </row>
    <row r="4113">
      <c r="A4113" t="inlineStr">
        <is>
          <t>附表7!L10</t>
        </is>
      </c>
      <c r="B4113" t="inlineStr">
        <is>
          <t>附表7!J32</t>
        </is>
      </c>
      <c r="C4113" t="inlineStr">
        <is>
          <t>excel_formula</t>
        </is>
      </c>
    </row>
    <row r="4114">
      <c r="A4114" t="inlineStr">
        <is>
          <t>附表7!M10</t>
        </is>
      </c>
      <c r="B4114" t="inlineStr">
        <is>
          <t>附表7!J33</t>
        </is>
      </c>
      <c r="C4114" t="inlineStr">
        <is>
          <t>excel_formula</t>
        </is>
      </c>
    </row>
    <row r="4115">
      <c r="A4115" t="inlineStr">
        <is>
          <t>附表7!N10</t>
        </is>
      </c>
      <c r="B4115" t="inlineStr">
        <is>
          <t>附表7!J34</t>
        </is>
      </c>
      <c r="C4115" t="inlineStr">
        <is>
          <t>excel_formula</t>
        </is>
      </c>
    </row>
    <row r="4116">
      <c r="A4116" t="inlineStr">
        <is>
          <t>附表7!O10</t>
        </is>
      </c>
      <c r="B4116" t="inlineStr">
        <is>
          <t>附表7!J35</t>
        </is>
      </c>
      <c r="C4116" t="inlineStr">
        <is>
          <t>excel_formula</t>
        </is>
      </c>
    </row>
    <row r="4117">
      <c r="A4117" t="inlineStr">
        <is>
          <t>附表7!P10</t>
        </is>
      </c>
      <c r="B4117" t="inlineStr">
        <is>
          <t>附表7!J36</t>
        </is>
      </c>
      <c r="C4117" t="inlineStr">
        <is>
          <t>excel_formula</t>
        </is>
      </c>
    </row>
    <row r="4118">
      <c r="A4118" t="inlineStr">
        <is>
          <t>附表7!Q10</t>
        </is>
      </c>
      <c r="B4118" t="inlineStr">
        <is>
          <t>附表7!J37</t>
        </is>
      </c>
      <c r="C4118" t="inlineStr">
        <is>
          <t>excel_formula</t>
        </is>
      </c>
    </row>
    <row r="4119">
      <c r="A4119" t="inlineStr">
        <is>
          <t>附表7!R10</t>
        </is>
      </c>
      <c r="B4119" t="inlineStr">
        <is>
          <t>附表7!J38</t>
        </is>
      </c>
      <c r="C4119" t="inlineStr">
        <is>
          <t>excel_formula</t>
        </is>
      </c>
    </row>
    <row r="4120">
      <c r="A4120" t="inlineStr">
        <is>
          <t>附表7!S10</t>
        </is>
      </c>
      <c r="B4120" t="inlineStr">
        <is>
          <t>附表7!J39</t>
        </is>
      </c>
      <c r="C4120" t="inlineStr">
        <is>
          <t>excel_formula</t>
        </is>
      </c>
    </row>
    <row r="4121">
      <c r="A4121" t="inlineStr">
        <is>
          <t>附表7!T10</t>
        </is>
      </c>
      <c r="B4121" t="inlineStr">
        <is>
          <t>附表7!J40</t>
        </is>
      </c>
      <c r="C4121" t="inlineStr">
        <is>
          <t>excel_formula</t>
        </is>
      </c>
    </row>
    <row r="4122">
      <c r="A4122" t="inlineStr">
        <is>
          <t>附表7!U10</t>
        </is>
      </c>
      <c r="B4122" t="inlineStr">
        <is>
          <t>附表7!J41</t>
        </is>
      </c>
      <c r="C4122" t="inlineStr">
        <is>
          <t>excel_formula</t>
        </is>
      </c>
    </row>
    <row r="4123">
      <c r="A4123" t="inlineStr">
        <is>
          <t>附表7!V10</t>
        </is>
      </c>
      <c r="B4123" t="inlineStr">
        <is>
          <t>附表7!J42</t>
        </is>
      </c>
      <c r="C4123" t="inlineStr">
        <is>
          <t>excel_formula</t>
        </is>
      </c>
    </row>
    <row r="4124">
      <c r="A4124" t="inlineStr">
        <is>
          <t>附表7!W10</t>
        </is>
      </c>
      <c r="B4124" t="inlineStr">
        <is>
          <t>附表7!J43</t>
        </is>
      </c>
      <c r="C4124" t="inlineStr">
        <is>
          <t>excel_formula</t>
        </is>
      </c>
    </row>
    <row r="4125">
      <c r="A4125" t="inlineStr">
        <is>
          <t>附表7!X10</t>
        </is>
      </c>
      <c r="B4125" t="inlineStr">
        <is>
          <t>附表7!J44</t>
        </is>
      </c>
      <c r="C4125" t="inlineStr">
        <is>
          <t>excel_formula</t>
        </is>
      </c>
    </row>
    <row r="4126">
      <c r="A4126" t="inlineStr">
        <is>
          <t>附表7!Y10</t>
        </is>
      </c>
      <c r="B4126" t="inlineStr">
        <is>
          <t>附表7!J45</t>
        </is>
      </c>
      <c r="C4126" t="inlineStr">
        <is>
          <t>excel_formula</t>
        </is>
      </c>
    </row>
    <row r="4127">
      <c r="A4127" t="inlineStr">
        <is>
          <t>附表7!Z10</t>
        </is>
      </c>
      <c r="B4127" t="inlineStr">
        <is>
          <t>附表7!J46</t>
        </is>
      </c>
      <c r="C4127" t="inlineStr">
        <is>
          <t>excel_formula</t>
        </is>
      </c>
    </row>
    <row r="4128">
      <c r="A4128" t="inlineStr">
        <is>
          <t>附表7!AA10</t>
        </is>
      </c>
      <c r="B4128" t="inlineStr">
        <is>
          <t>附表7!J47</t>
        </is>
      </c>
      <c r="C4128" t="inlineStr">
        <is>
          <t>excel_formula</t>
        </is>
      </c>
    </row>
    <row r="4129">
      <c r="A4129" t="inlineStr">
        <is>
          <t>附表7!D11</t>
        </is>
      </c>
      <c r="B4129" t="inlineStr">
        <is>
          <t>附表7!K24</t>
        </is>
      </c>
      <c r="C4129" t="inlineStr">
        <is>
          <t>excel_formula</t>
        </is>
      </c>
    </row>
    <row r="4130">
      <c r="A4130" t="inlineStr">
        <is>
          <t>附表7!E11</t>
        </is>
      </c>
      <c r="B4130" t="inlineStr">
        <is>
          <t>附表7!K25</t>
        </is>
      </c>
      <c r="C4130" t="inlineStr">
        <is>
          <t>excel_formula</t>
        </is>
      </c>
    </row>
    <row r="4131">
      <c r="A4131" t="inlineStr">
        <is>
          <t>附表7!F11</t>
        </is>
      </c>
      <c r="B4131" t="inlineStr">
        <is>
          <t>附表7!K26</t>
        </is>
      </c>
      <c r="C4131" t="inlineStr">
        <is>
          <t>excel_formula</t>
        </is>
      </c>
    </row>
    <row r="4132">
      <c r="A4132" t="inlineStr">
        <is>
          <t>附表7!G11</t>
        </is>
      </c>
      <c r="B4132" t="inlineStr">
        <is>
          <t>附表7!K27</t>
        </is>
      </c>
      <c r="C4132" t="inlineStr">
        <is>
          <t>excel_formula</t>
        </is>
      </c>
    </row>
    <row r="4133">
      <c r="A4133" t="inlineStr">
        <is>
          <t>附表7!H11</t>
        </is>
      </c>
      <c r="B4133" t="inlineStr">
        <is>
          <t>附表7!K28</t>
        </is>
      </c>
      <c r="C4133" t="inlineStr">
        <is>
          <t>excel_formula</t>
        </is>
      </c>
    </row>
    <row r="4134">
      <c r="A4134" t="inlineStr">
        <is>
          <t>附表7!I11</t>
        </is>
      </c>
      <c r="B4134" t="inlineStr">
        <is>
          <t>附表7!K29</t>
        </is>
      </c>
      <c r="C4134" t="inlineStr">
        <is>
          <t>excel_formula</t>
        </is>
      </c>
    </row>
    <row r="4135">
      <c r="A4135" t="inlineStr">
        <is>
          <t>附表7!J11</t>
        </is>
      </c>
      <c r="B4135" t="inlineStr">
        <is>
          <t>附表7!K30</t>
        </is>
      </c>
      <c r="C4135" t="inlineStr">
        <is>
          <t>excel_formula</t>
        </is>
      </c>
    </row>
    <row r="4136">
      <c r="A4136" t="inlineStr">
        <is>
          <t>附表7!K11</t>
        </is>
      </c>
      <c r="B4136" t="inlineStr">
        <is>
          <t>附表7!K31</t>
        </is>
      </c>
      <c r="C4136" t="inlineStr">
        <is>
          <t>excel_formula</t>
        </is>
      </c>
    </row>
    <row r="4137">
      <c r="A4137" t="inlineStr">
        <is>
          <t>附表7!L11</t>
        </is>
      </c>
      <c r="B4137" t="inlineStr">
        <is>
          <t>附表7!K32</t>
        </is>
      </c>
      <c r="C4137" t="inlineStr">
        <is>
          <t>excel_formula</t>
        </is>
      </c>
    </row>
    <row r="4138">
      <c r="A4138" t="inlineStr">
        <is>
          <t>附表7!M11</t>
        </is>
      </c>
      <c r="B4138" t="inlineStr">
        <is>
          <t>附表7!K33</t>
        </is>
      </c>
      <c r="C4138" t="inlineStr">
        <is>
          <t>excel_formula</t>
        </is>
      </c>
    </row>
    <row r="4139">
      <c r="A4139" t="inlineStr">
        <is>
          <t>附表7!N11</t>
        </is>
      </c>
      <c r="B4139" t="inlineStr">
        <is>
          <t>附表7!K34</t>
        </is>
      </c>
      <c r="C4139" t="inlineStr">
        <is>
          <t>excel_formula</t>
        </is>
      </c>
    </row>
    <row r="4140">
      <c r="A4140" t="inlineStr">
        <is>
          <t>附表7!O11</t>
        </is>
      </c>
      <c r="B4140" t="inlineStr">
        <is>
          <t>附表7!K35</t>
        </is>
      </c>
      <c r="C4140" t="inlineStr">
        <is>
          <t>excel_formula</t>
        </is>
      </c>
    </row>
    <row r="4141">
      <c r="A4141" t="inlineStr">
        <is>
          <t>附表7!P11</t>
        </is>
      </c>
      <c r="B4141" t="inlineStr">
        <is>
          <t>附表7!K36</t>
        </is>
      </c>
      <c r="C4141" t="inlineStr">
        <is>
          <t>excel_formula</t>
        </is>
      </c>
    </row>
    <row r="4142">
      <c r="A4142" t="inlineStr">
        <is>
          <t>附表7!Q11</t>
        </is>
      </c>
      <c r="B4142" t="inlineStr">
        <is>
          <t>附表7!K37</t>
        </is>
      </c>
      <c r="C4142" t="inlineStr">
        <is>
          <t>excel_formula</t>
        </is>
      </c>
    </row>
    <row r="4143">
      <c r="A4143" t="inlineStr">
        <is>
          <t>附表7!R11</t>
        </is>
      </c>
      <c r="B4143" t="inlineStr">
        <is>
          <t>附表7!K38</t>
        </is>
      </c>
      <c r="C4143" t="inlineStr">
        <is>
          <t>excel_formula</t>
        </is>
      </c>
    </row>
    <row r="4144">
      <c r="A4144" t="inlineStr">
        <is>
          <t>附表7!S11</t>
        </is>
      </c>
      <c r="B4144" t="inlineStr">
        <is>
          <t>附表7!K39</t>
        </is>
      </c>
      <c r="C4144" t="inlineStr">
        <is>
          <t>excel_formula</t>
        </is>
      </c>
    </row>
    <row r="4145">
      <c r="A4145" t="inlineStr">
        <is>
          <t>附表7!T11</t>
        </is>
      </c>
      <c r="B4145" t="inlineStr">
        <is>
          <t>附表7!K40</t>
        </is>
      </c>
      <c r="C4145" t="inlineStr">
        <is>
          <t>excel_formula</t>
        </is>
      </c>
    </row>
    <row r="4146">
      <c r="A4146" t="inlineStr">
        <is>
          <t>附表7!U11</t>
        </is>
      </c>
      <c r="B4146" t="inlineStr">
        <is>
          <t>附表7!K41</t>
        </is>
      </c>
      <c r="C4146" t="inlineStr">
        <is>
          <t>excel_formula</t>
        </is>
      </c>
    </row>
    <row r="4147">
      <c r="A4147" t="inlineStr">
        <is>
          <t>附表7!V11</t>
        </is>
      </c>
      <c r="B4147" t="inlineStr">
        <is>
          <t>附表7!K42</t>
        </is>
      </c>
      <c r="C4147" t="inlineStr">
        <is>
          <t>excel_formula</t>
        </is>
      </c>
    </row>
    <row r="4148">
      <c r="A4148" t="inlineStr">
        <is>
          <t>附表7!W11</t>
        </is>
      </c>
      <c r="B4148" t="inlineStr">
        <is>
          <t>附表7!K43</t>
        </is>
      </c>
      <c r="C4148" t="inlineStr">
        <is>
          <t>excel_formula</t>
        </is>
      </c>
    </row>
    <row r="4149">
      <c r="A4149" t="inlineStr">
        <is>
          <t>附表7!X11</t>
        </is>
      </c>
      <c r="B4149" t="inlineStr">
        <is>
          <t>附表7!K44</t>
        </is>
      </c>
      <c r="C4149" t="inlineStr">
        <is>
          <t>excel_formula</t>
        </is>
      </c>
    </row>
    <row r="4150">
      <c r="A4150" t="inlineStr">
        <is>
          <t>附表7!Y11</t>
        </is>
      </c>
      <c r="B4150" t="inlineStr">
        <is>
          <t>附表7!K45</t>
        </is>
      </c>
      <c r="C4150" t="inlineStr">
        <is>
          <t>excel_formula</t>
        </is>
      </c>
    </row>
    <row r="4151">
      <c r="A4151" t="inlineStr">
        <is>
          <t>附表7!Z11</t>
        </is>
      </c>
      <c r="B4151" t="inlineStr">
        <is>
          <t>附表7!K46</t>
        </is>
      </c>
      <c r="C4151" t="inlineStr">
        <is>
          <t>excel_formula</t>
        </is>
      </c>
    </row>
    <row r="4152">
      <c r="A4152" t="inlineStr">
        <is>
          <t>附表7!AA11</t>
        </is>
      </c>
      <c r="B4152" t="inlineStr">
        <is>
          <t>附表7!K47</t>
        </is>
      </c>
      <c r="C4152" t="inlineStr">
        <is>
          <t>excel_formula</t>
        </is>
      </c>
    </row>
    <row r="4153">
      <c r="A4153" t="inlineStr">
        <is>
          <t>附表7!D12</t>
        </is>
      </c>
      <c r="B4153" t="inlineStr">
        <is>
          <t>附表7!L24</t>
        </is>
      </c>
      <c r="C4153" t="inlineStr">
        <is>
          <t>excel_formula</t>
        </is>
      </c>
    </row>
    <row r="4154">
      <c r="A4154" t="inlineStr">
        <is>
          <t>附表7!E12</t>
        </is>
      </c>
      <c r="B4154" t="inlineStr">
        <is>
          <t>附表7!L25</t>
        </is>
      </c>
      <c r="C4154" t="inlineStr">
        <is>
          <t>excel_formula</t>
        </is>
      </c>
    </row>
    <row r="4155">
      <c r="A4155" t="inlineStr">
        <is>
          <t>附表7!F12</t>
        </is>
      </c>
      <c r="B4155" t="inlineStr">
        <is>
          <t>附表7!L26</t>
        </is>
      </c>
      <c r="C4155" t="inlineStr">
        <is>
          <t>excel_formula</t>
        </is>
      </c>
    </row>
    <row r="4156">
      <c r="A4156" t="inlineStr">
        <is>
          <t>附表7!G12</t>
        </is>
      </c>
      <c r="B4156" t="inlineStr">
        <is>
          <t>附表7!L27</t>
        </is>
      </c>
      <c r="C4156" t="inlineStr">
        <is>
          <t>excel_formula</t>
        </is>
      </c>
    </row>
    <row r="4157">
      <c r="A4157" t="inlineStr">
        <is>
          <t>附表7!H12</t>
        </is>
      </c>
      <c r="B4157" t="inlineStr">
        <is>
          <t>附表7!L28</t>
        </is>
      </c>
      <c r="C4157" t="inlineStr">
        <is>
          <t>excel_formula</t>
        </is>
      </c>
    </row>
    <row r="4158">
      <c r="A4158" t="inlineStr">
        <is>
          <t>附表7!I12</t>
        </is>
      </c>
      <c r="B4158" t="inlineStr">
        <is>
          <t>附表7!L29</t>
        </is>
      </c>
      <c r="C4158" t="inlineStr">
        <is>
          <t>excel_formula</t>
        </is>
      </c>
    </row>
    <row r="4159">
      <c r="A4159" t="inlineStr">
        <is>
          <t>附表7!J12</t>
        </is>
      </c>
      <c r="B4159" t="inlineStr">
        <is>
          <t>附表7!L30</t>
        </is>
      </c>
      <c r="C4159" t="inlineStr">
        <is>
          <t>excel_formula</t>
        </is>
      </c>
    </row>
    <row r="4160">
      <c r="A4160" t="inlineStr">
        <is>
          <t>附表7!K12</t>
        </is>
      </c>
      <c r="B4160" t="inlineStr">
        <is>
          <t>附表7!L31</t>
        </is>
      </c>
      <c r="C4160" t="inlineStr">
        <is>
          <t>excel_formula</t>
        </is>
      </c>
    </row>
    <row r="4161">
      <c r="A4161" t="inlineStr">
        <is>
          <t>附表7!L12</t>
        </is>
      </c>
      <c r="B4161" t="inlineStr">
        <is>
          <t>附表7!L32</t>
        </is>
      </c>
      <c r="C4161" t="inlineStr">
        <is>
          <t>excel_formula</t>
        </is>
      </c>
    </row>
    <row r="4162">
      <c r="A4162" t="inlineStr">
        <is>
          <t>附表7!M12</t>
        </is>
      </c>
      <c r="B4162" t="inlineStr">
        <is>
          <t>附表7!L33</t>
        </is>
      </c>
      <c r="C4162" t="inlineStr">
        <is>
          <t>excel_formula</t>
        </is>
      </c>
    </row>
    <row r="4163">
      <c r="A4163" t="inlineStr">
        <is>
          <t>附表7!N12</t>
        </is>
      </c>
      <c r="B4163" t="inlineStr">
        <is>
          <t>附表7!L34</t>
        </is>
      </c>
      <c r="C4163" t="inlineStr">
        <is>
          <t>excel_formula</t>
        </is>
      </c>
    </row>
    <row r="4164">
      <c r="A4164" t="inlineStr">
        <is>
          <t>附表7!O12</t>
        </is>
      </c>
      <c r="B4164" t="inlineStr">
        <is>
          <t>附表7!L35</t>
        </is>
      </c>
      <c r="C4164" t="inlineStr">
        <is>
          <t>excel_formula</t>
        </is>
      </c>
    </row>
    <row r="4165">
      <c r="A4165" t="inlineStr">
        <is>
          <t>附表7!P12</t>
        </is>
      </c>
      <c r="B4165" t="inlineStr">
        <is>
          <t>附表7!L36</t>
        </is>
      </c>
      <c r="C4165" t="inlineStr">
        <is>
          <t>excel_formula</t>
        </is>
      </c>
    </row>
    <row r="4166">
      <c r="A4166" t="inlineStr">
        <is>
          <t>附表7!Q12</t>
        </is>
      </c>
      <c r="B4166" t="inlineStr">
        <is>
          <t>附表7!L37</t>
        </is>
      </c>
      <c r="C4166" t="inlineStr">
        <is>
          <t>excel_formula</t>
        </is>
      </c>
    </row>
    <row r="4167">
      <c r="A4167" t="inlineStr">
        <is>
          <t>附表7!R12</t>
        </is>
      </c>
      <c r="B4167" t="inlineStr">
        <is>
          <t>附表7!L38</t>
        </is>
      </c>
      <c r="C4167" t="inlineStr">
        <is>
          <t>excel_formula</t>
        </is>
      </c>
    </row>
    <row r="4168">
      <c r="A4168" t="inlineStr">
        <is>
          <t>附表7!S12</t>
        </is>
      </c>
      <c r="B4168" t="inlineStr">
        <is>
          <t>附表7!L39</t>
        </is>
      </c>
      <c r="C4168" t="inlineStr">
        <is>
          <t>excel_formula</t>
        </is>
      </c>
    </row>
    <row r="4169">
      <c r="A4169" t="inlineStr">
        <is>
          <t>附表7!T12</t>
        </is>
      </c>
      <c r="B4169" t="inlineStr">
        <is>
          <t>附表7!L40</t>
        </is>
      </c>
      <c r="C4169" t="inlineStr">
        <is>
          <t>excel_formula</t>
        </is>
      </c>
    </row>
    <row r="4170">
      <c r="A4170" t="inlineStr">
        <is>
          <t>附表7!U12</t>
        </is>
      </c>
      <c r="B4170" t="inlineStr">
        <is>
          <t>附表7!L41</t>
        </is>
      </c>
      <c r="C4170" t="inlineStr">
        <is>
          <t>excel_formula</t>
        </is>
      </c>
    </row>
    <row r="4171">
      <c r="A4171" t="inlineStr">
        <is>
          <t>附表7!V12</t>
        </is>
      </c>
      <c r="B4171" t="inlineStr">
        <is>
          <t>附表7!L42</t>
        </is>
      </c>
      <c r="C4171" t="inlineStr">
        <is>
          <t>excel_formula</t>
        </is>
      </c>
    </row>
    <row r="4172">
      <c r="A4172" t="inlineStr">
        <is>
          <t>附表7!W12</t>
        </is>
      </c>
      <c r="B4172" t="inlineStr">
        <is>
          <t>附表7!L43</t>
        </is>
      </c>
      <c r="C4172" t="inlineStr">
        <is>
          <t>excel_formula</t>
        </is>
      </c>
    </row>
    <row r="4173">
      <c r="A4173" t="inlineStr">
        <is>
          <t>附表7!X12</t>
        </is>
      </c>
      <c r="B4173" t="inlineStr">
        <is>
          <t>附表7!L44</t>
        </is>
      </c>
      <c r="C4173" t="inlineStr">
        <is>
          <t>excel_formula</t>
        </is>
      </c>
    </row>
    <row r="4174">
      <c r="A4174" t="inlineStr">
        <is>
          <t>附表7!Y12</t>
        </is>
      </c>
      <c r="B4174" t="inlineStr">
        <is>
          <t>附表7!L45</t>
        </is>
      </c>
      <c r="C4174" t="inlineStr">
        <is>
          <t>excel_formula</t>
        </is>
      </c>
    </row>
    <row r="4175">
      <c r="A4175" t="inlineStr">
        <is>
          <t>附表7!Z12</t>
        </is>
      </c>
      <c r="B4175" t="inlineStr">
        <is>
          <t>附表7!L46</t>
        </is>
      </c>
      <c r="C4175" t="inlineStr">
        <is>
          <t>excel_formula</t>
        </is>
      </c>
    </row>
    <row r="4176">
      <c r="A4176" t="inlineStr">
        <is>
          <t>附表7!AA12</t>
        </is>
      </c>
      <c r="B4176" t="inlineStr">
        <is>
          <t>附表7!L47</t>
        </is>
      </c>
      <c r="C4176" t="inlineStr">
        <is>
          <t>excel_formula</t>
        </is>
      </c>
    </row>
    <row r="4177">
      <c r="A4177" t="inlineStr">
        <is>
          <t>附表7!D13</t>
        </is>
      </c>
      <c r="B4177" t="inlineStr">
        <is>
          <t>附表7!M24</t>
        </is>
      </c>
      <c r="C4177" t="inlineStr">
        <is>
          <t>excel_formula</t>
        </is>
      </c>
    </row>
    <row r="4178">
      <c r="A4178" t="inlineStr">
        <is>
          <t>附表7!E13</t>
        </is>
      </c>
      <c r="B4178" t="inlineStr">
        <is>
          <t>附表7!M25</t>
        </is>
      </c>
      <c r="C4178" t="inlineStr">
        <is>
          <t>excel_formula</t>
        </is>
      </c>
    </row>
    <row r="4179">
      <c r="A4179" t="inlineStr">
        <is>
          <t>附表7!F13</t>
        </is>
      </c>
      <c r="B4179" t="inlineStr">
        <is>
          <t>附表7!M26</t>
        </is>
      </c>
      <c r="C4179" t="inlineStr">
        <is>
          <t>excel_formula</t>
        </is>
      </c>
    </row>
    <row r="4180">
      <c r="A4180" t="inlineStr">
        <is>
          <t>附表7!G13</t>
        </is>
      </c>
      <c r="B4180" t="inlineStr">
        <is>
          <t>附表7!M27</t>
        </is>
      </c>
      <c r="C4180" t="inlineStr">
        <is>
          <t>excel_formula</t>
        </is>
      </c>
    </row>
    <row r="4181">
      <c r="A4181" t="inlineStr">
        <is>
          <t>附表7!H13</t>
        </is>
      </c>
      <c r="B4181" t="inlineStr">
        <is>
          <t>附表7!M28</t>
        </is>
      </c>
      <c r="C4181" t="inlineStr">
        <is>
          <t>excel_formula</t>
        </is>
      </c>
    </row>
    <row r="4182">
      <c r="A4182" t="inlineStr">
        <is>
          <t>附表7!I13</t>
        </is>
      </c>
      <c r="B4182" t="inlineStr">
        <is>
          <t>附表7!M29</t>
        </is>
      </c>
      <c r="C4182" t="inlineStr">
        <is>
          <t>excel_formula</t>
        </is>
      </c>
    </row>
    <row r="4183">
      <c r="A4183" t="inlineStr">
        <is>
          <t>附表7!J13</t>
        </is>
      </c>
      <c r="B4183" t="inlineStr">
        <is>
          <t>附表7!M30</t>
        </is>
      </c>
      <c r="C4183" t="inlineStr">
        <is>
          <t>excel_formula</t>
        </is>
      </c>
    </row>
    <row r="4184">
      <c r="A4184" t="inlineStr">
        <is>
          <t>附表7!K13</t>
        </is>
      </c>
      <c r="B4184" t="inlineStr">
        <is>
          <t>附表7!M31</t>
        </is>
      </c>
      <c r="C4184" t="inlineStr">
        <is>
          <t>excel_formula</t>
        </is>
      </c>
    </row>
    <row r="4185">
      <c r="A4185" t="inlineStr">
        <is>
          <t>附表7!L13</t>
        </is>
      </c>
      <c r="B4185" t="inlineStr">
        <is>
          <t>附表7!M32</t>
        </is>
      </c>
      <c r="C4185" t="inlineStr">
        <is>
          <t>excel_formula</t>
        </is>
      </c>
    </row>
    <row r="4186">
      <c r="A4186" t="inlineStr">
        <is>
          <t>附表7!M13</t>
        </is>
      </c>
      <c r="B4186" t="inlineStr">
        <is>
          <t>附表7!M33</t>
        </is>
      </c>
      <c r="C4186" t="inlineStr">
        <is>
          <t>excel_formula</t>
        </is>
      </c>
    </row>
    <row r="4187">
      <c r="A4187" t="inlineStr">
        <is>
          <t>附表7!N13</t>
        </is>
      </c>
      <c r="B4187" t="inlineStr">
        <is>
          <t>附表7!M34</t>
        </is>
      </c>
      <c r="C4187" t="inlineStr">
        <is>
          <t>excel_formula</t>
        </is>
      </c>
    </row>
    <row r="4188">
      <c r="A4188" t="inlineStr">
        <is>
          <t>附表7!O13</t>
        </is>
      </c>
      <c r="B4188" t="inlineStr">
        <is>
          <t>附表7!M35</t>
        </is>
      </c>
      <c r="C4188" t="inlineStr">
        <is>
          <t>excel_formula</t>
        </is>
      </c>
    </row>
    <row r="4189">
      <c r="A4189" t="inlineStr">
        <is>
          <t>附表7!P13</t>
        </is>
      </c>
      <c r="B4189" t="inlineStr">
        <is>
          <t>附表7!M36</t>
        </is>
      </c>
      <c r="C4189" t="inlineStr">
        <is>
          <t>excel_formula</t>
        </is>
      </c>
    </row>
    <row r="4190">
      <c r="A4190" t="inlineStr">
        <is>
          <t>附表7!Q13</t>
        </is>
      </c>
      <c r="B4190" t="inlineStr">
        <is>
          <t>附表7!M37</t>
        </is>
      </c>
      <c r="C4190" t="inlineStr">
        <is>
          <t>excel_formula</t>
        </is>
      </c>
    </row>
    <row r="4191">
      <c r="A4191" t="inlineStr">
        <is>
          <t>附表7!R13</t>
        </is>
      </c>
      <c r="B4191" t="inlineStr">
        <is>
          <t>附表7!M38</t>
        </is>
      </c>
      <c r="C4191" t="inlineStr">
        <is>
          <t>excel_formula</t>
        </is>
      </c>
    </row>
    <row r="4192">
      <c r="A4192" t="inlineStr">
        <is>
          <t>附表7!S13</t>
        </is>
      </c>
      <c r="B4192" t="inlineStr">
        <is>
          <t>附表7!M39</t>
        </is>
      </c>
      <c r="C4192" t="inlineStr">
        <is>
          <t>excel_formula</t>
        </is>
      </c>
    </row>
    <row r="4193">
      <c r="A4193" t="inlineStr">
        <is>
          <t>附表7!T13</t>
        </is>
      </c>
      <c r="B4193" t="inlineStr">
        <is>
          <t>附表7!M40</t>
        </is>
      </c>
      <c r="C4193" t="inlineStr">
        <is>
          <t>excel_formula</t>
        </is>
      </c>
    </row>
    <row r="4194">
      <c r="A4194" t="inlineStr">
        <is>
          <t>附表7!U13</t>
        </is>
      </c>
      <c r="B4194" t="inlineStr">
        <is>
          <t>附表7!M41</t>
        </is>
      </c>
      <c r="C4194" t="inlineStr">
        <is>
          <t>excel_formula</t>
        </is>
      </c>
    </row>
    <row r="4195">
      <c r="A4195" t="inlineStr">
        <is>
          <t>附表7!V13</t>
        </is>
      </c>
      <c r="B4195" t="inlineStr">
        <is>
          <t>附表7!M42</t>
        </is>
      </c>
      <c r="C4195" t="inlineStr">
        <is>
          <t>excel_formula</t>
        </is>
      </c>
    </row>
    <row r="4196">
      <c r="A4196" t="inlineStr">
        <is>
          <t>附表7!W13</t>
        </is>
      </c>
      <c r="B4196" t="inlineStr">
        <is>
          <t>附表7!M43</t>
        </is>
      </c>
      <c r="C4196" t="inlineStr">
        <is>
          <t>excel_formula</t>
        </is>
      </c>
    </row>
    <row r="4197">
      <c r="A4197" t="inlineStr">
        <is>
          <t>附表7!X13</t>
        </is>
      </c>
      <c r="B4197" t="inlineStr">
        <is>
          <t>附表7!M44</t>
        </is>
      </c>
      <c r="C4197" t="inlineStr">
        <is>
          <t>excel_formula</t>
        </is>
      </c>
    </row>
    <row r="4198">
      <c r="A4198" t="inlineStr">
        <is>
          <t>附表7!Y13</t>
        </is>
      </c>
      <c r="B4198" t="inlineStr">
        <is>
          <t>附表7!M45</t>
        </is>
      </c>
      <c r="C4198" t="inlineStr">
        <is>
          <t>excel_formula</t>
        </is>
      </c>
    </row>
    <row r="4199">
      <c r="A4199" t="inlineStr">
        <is>
          <t>附表7!Z13</t>
        </is>
      </c>
      <c r="B4199" t="inlineStr">
        <is>
          <t>附表7!M46</t>
        </is>
      </c>
      <c r="C4199" t="inlineStr">
        <is>
          <t>excel_formula</t>
        </is>
      </c>
    </row>
    <row r="4200">
      <c r="A4200" t="inlineStr">
        <is>
          <t>附表7!AA13</t>
        </is>
      </c>
      <c r="B4200" t="inlineStr">
        <is>
          <t>附表7!M47</t>
        </is>
      </c>
      <c r="C4200" t="inlineStr">
        <is>
          <t>excel_formula</t>
        </is>
      </c>
    </row>
    <row r="4201">
      <c r="A4201" t="inlineStr">
        <is>
          <t>附表7!D14</t>
        </is>
      </c>
      <c r="B4201" t="inlineStr">
        <is>
          <t>附表7!N24</t>
        </is>
      </c>
      <c r="C4201" t="inlineStr">
        <is>
          <t>excel_formula</t>
        </is>
      </c>
    </row>
    <row r="4202">
      <c r="A4202" t="inlineStr">
        <is>
          <t>附表7!E14</t>
        </is>
      </c>
      <c r="B4202" t="inlineStr">
        <is>
          <t>附表7!N25</t>
        </is>
      </c>
      <c r="C4202" t="inlineStr">
        <is>
          <t>excel_formula</t>
        </is>
      </c>
    </row>
    <row r="4203">
      <c r="A4203" t="inlineStr">
        <is>
          <t>附表7!F14</t>
        </is>
      </c>
      <c r="B4203" t="inlineStr">
        <is>
          <t>附表7!N26</t>
        </is>
      </c>
      <c r="C4203" t="inlineStr">
        <is>
          <t>excel_formula</t>
        </is>
      </c>
    </row>
    <row r="4204">
      <c r="A4204" t="inlineStr">
        <is>
          <t>附表7!G14</t>
        </is>
      </c>
      <c r="B4204" t="inlineStr">
        <is>
          <t>附表7!N27</t>
        </is>
      </c>
      <c r="C4204" t="inlineStr">
        <is>
          <t>excel_formula</t>
        </is>
      </c>
    </row>
    <row r="4205">
      <c r="A4205" t="inlineStr">
        <is>
          <t>附表7!H14</t>
        </is>
      </c>
      <c r="B4205" t="inlineStr">
        <is>
          <t>附表7!N28</t>
        </is>
      </c>
      <c r="C4205" t="inlineStr">
        <is>
          <t>excel_formula</t>
        </is>
      </c>
    </row>
    <row r="4206">
      <c r="A4206" t="inlineStr">
        <is>
          <t>附表7!I14</t>
        </is>
      </c>
      <c r="B4206" t="inlineStr">
        <is>
          <t>附表7!N29</t>
        </is>
      </c>
      <c r="C4206" t="inlineStr">
        <is>
          <t>excel_formula</t>
        </is>
      </c>
    </row>
    <row r="4207">
      <c r="A4207" t="inlineStr">
        <is>
          <t>附表7!J14</t>
        </is>
      </c>
      <c r="B4207" t="inlineStr">
        <is>
          <t>附表7!N30</t>
        </is>
      </c>
      <c r="C4207" t="inlineStr">
        <is>
          <t>excel_formula</t>
        </is>
      </c>
    </row>
    <row r="4208">
      <c r="A4208" t="inlineStr">
        <is>
          <t>附表7!K14</t>
        </is>
      </c>
      <c r="B4208" t="inlineStr">
        <is>
          <t>附表7!N31</t>
        </is>
      </c>
      <c r="C4208" t="inlineStr">
        <is>
          <t>excel_formula</t>
        </is>
      </c>
    </row>
    <row r="4209">
      <c r="A4209" t="inlineStr">
        <is>
          <t>附表7!L14</t>
        </is>
      </c>
      <c r="B4209" t="inlineStr">
        <is>
          <t>附表7!N32</t>
        </is>
      </c>
      <c r="C4209" t="inlineStr">
        <is>
          <t>excel_formula</t>
        </is>
      </c>
    </row>
    <row r="4210">
      <c r="A4210" t="inlineStr">
        <is>
          <t>附表7!M14</t>
        </is>
      </c>
      <c r="B4210" t="inlineStr">
        <is>
          <t>附表7!N33</t>
        </is>
      </c>
      <c r="C4210" t="inlineStr">
        <is>
          <t>excel_formula</t>
        </is>
      </c>
    </row>
    <row r="4211">
      <c r="A4211" t="inlineStr">
        <is>
          <t>附表7!N14</t>
        </is>
      </c>
      <c r="B4211" t="inlineStr">
        <is>
          <t>附表7!N34</t>
        </is>
      </c>
      <c r="C4211" t="inlineStr">
        <is>
          <t>excel_formula</t>
        </is>
      </c>
    </row>
    <row r="4212">
      <c r="A4212" t="inlineStr">
        <is>
          <t>附表7!O14</t>
        </is>
      </c>
      <c r="B4212" t="inlineStr">
        <is>
          <t>附表7!N35</t>
        </is>
      </c>
      <c r="C4212" t="inlineStr">
        <is>
          <t>excel_formula</t>
        </is>
      </c>
    </row>
    <row r="4213">
      <c r="A4213" t="inlineStr">
        <is>
          <t>附表7!P14</t>
        </is>
      </c>
      <c r="B4213" t="inlineStr">
        <is>
          <t>附表7!N36</t>
        </is>
      </c>
      <c r="C4213" t="inlineStr">
        <is>
          <t>excel_formula</t>
        </is>
      </c>
    </row>
    <row r="4214">
      <c r="A4214" t="inlineStr">
        <is>
          <t>附表7!Q14</t>
        </is>
      </c>
      <c r="B4214" t="inlineStr">
        <is>
          <t>附表7!N37</t>
        </is>
      </c>
      <c r="C4214" t="inlineStr">
        <is>
          <t>excel_formula</t>
        </is>
      </c>
    </row>
    <row r="4215">
      <c r="A4215" t="inlineStr">
        <is>
          <t>附表7!R14</t>
        </is>
      </c>
      <c r="B4215" t="inlineStr">
        <is>
          <t>附表7!N38</t>
        </is>
      </c>
      <c r="C4215" t="inlineStr">
        <is>
          <t>excel_formula</t>
        </is>
      </c>
    </row>
    <row r="4216">
      <c r="A4216" t="inlineStr">
        <is>
          <t>附表7!S14</t>
        </is>
      </c>
      <c r="B4216" t="inlineStr">
        <is>
          <t>附表7!N39</t>
        </is>
      </c>
      <c r="C4216" t="inlineStr">
        <is>
          <t>excel_formula</t>
        </is>
      </c>
    </row>
    <row r="4217">
      <c r="A4217" t="inlineStr">
        <is>
          <t>附表7!T14</t>
        </is>
      </c>
      <c r="B4217" t="inlineStr">
        <is>
          <t>附表7!N40</t>
        </is>
      </c>
      <c r="C4217" t="inlineStr">
        <is>
          <t>excel_formula</t>
        </is>
      </c>
    </row>
    <row r="4218">
      <c r="A4218" t="inlineStr">
        <is>
          <t>附表7!U14</t>
        </is>
      </c>
      <c r="B4218" t="inlineStr">
        <is>
          <t>附表7!N41</t>
        </is>
      </c>
      <c r="C4218" t="inlineStr">
        <is>
          <t>excel_formula</t>
        </is>
      </c>
    </row>
    <row r="4219">
      <c r="A4219" t="inlineStr">
        <is>
          <t>附表7!V14</t>
        </is>
      </c>
      <c r="B4219" t="inlineStr">
        <is>
          <t>附表7!N42</t>
        </is>
      </c>
      <c r="C4219" t="inlineStr">
        <is>
          <t>excel_formula</t>
        </is>
      </c>
    </row>
    <row r="4220">
      <c r="A4220" t="inlineStr">
        <is>
          <t>附表7!W14</t>
        </is>
      </c>
      <c r="B4220" t="inlineStr">
        <is>
          <t>附表7!N43</t>
        </is>
      </c>
      <c r="C4220" t="inlineStr">
        <is>
          <t>excel_formula</t>
        </is>
      </c>
    </row>
    <row r="4221">
      <c r="A4221" t="inlineStr">
        <is>
          <t>附表7!X14</t>
        </is>
      </c>
      <c r="B4221" t="inlineStr">
        <is>
          <t>附表7!N44</t>
        </is>
      </c>
      <c r="C4221" t="inlineStr">
        <is>
          <t>excel_formula</t>
        </is>
      </c>
    </row>
    <row r="4222">
      <c r="A4222" t="inlineStr">
        <is>
          <t>附表7!Y14</t>
        </is>
      </c>
      <c r="B4222" t="inlineStr">
        <is>
          <t>附表7!N45</t>
        </is>
      </c>
      <c r="C4222" t="inlineStr">
        <is>
          <t>excel_formula</t>
        </is>
      </c>
    </row>
    <row r="4223">
      <c r="A4223" t="inlineStr">
        <is>
          <t>附表7!Z14</t>
        </is>
      </c>
      <c r="B4223" t="inlineStr">
        <is>
          <t>附表7!N46</t>
        </is>
      </c>
      <c r="C4223" t="inlineStr">
        <is>
          <t>excel_formula</t>
        </is>
      </c>
    </row>
    <row r="4224">
      <c r="A4224" t="inlineStr">
        <is>
          <t>附表7!AA14</t>
        </is>
      </c>
      <c r="B4224" t="inlineStr">
        <is>
          <t>附表7!N47</t>
        </is>
      </c>
      <c r="C4224" t="inlineStr">
        <is>
          <t>excel_formula</t>
        </is>
      </c>
    </row>
    <row r="4225">
      <c r="A4225" t="inlineStr">
        <is>
          <t>附表7!D15</t>
        </is>
      </c>
      <c r="B4225" t="inlineStr">
        <is>
          <t>附表7!O24</t>
        </is>
      </c>
      <c r="C4225" t="inlineStr">
        <is>
          <t>excel_formula</t>
        </is>
      </c>
    </row>
    <row r="4226">
      <c r="A4226" t="inlineStr">
        <is>
          <t>附表7!E15</t>
        </is>
      </c>
      <c r="B4226" t="inlineStr">
        <is>
          <t>附表7!O25</t>
        </is>
      </c>
      <c r="C4226" t="inlineStr">
        <is>
          <t>excel_formula</t>
        </is>
      </c>
    </row>
    <row r="4227">
      <c r="A4227" t="inlineStr">
        <is>
          <t>附表7!F15</t>
        </is>
      </c>
      <c r="B4227" t="inlineStr">
        <is>
          <t>附表7!O26</t>
        </is>
      </c>
      <c r="C4227" t="inlineStr">
        <is>
          <t>excel_formula</t>
        </is>
      </c>
    </row>
    <row r="4228">
      <c r="A4228" t="inlineStr">
        <is>
          <t>附表7!G15</t>
        </is>
      </c>
      <c r="B4228" t="inlineStr">
        <is>
          <t>附表7!O27</t>
        </is>
      </c>
      <c r="C4228" t="inlineStr">
        <is>
          <t>excel_formula</t>
        </is>
      </c>
    </row>
    <row r="4229">
      <c r="A4229" t="inlineStr">
        <is>
          <t>附表7!H15</t>
        </is>
      </c>
      <c r="B4229" t="inlineStr">
        <is>
          <t>附表7!O28</t>
        </is>
      </c>
      <c r="C4229" t="inlineStr">
        <is>
          <t>excel_formula</t>
        </is>
      </c>
    </row>
    <row r="4230">
      <c r="A4230" t="inlineStr">
        <is>
          <t>附表7!I15</t>
        </is>
      </c>
      <c r="B4230" t="inlineStr">
        <is>
          <t>附表7!O29</t>
        </is>
      </c>
      <c r="C4230" t="inlineStr">
        <is>
          <t>excel_formula</t>
        </is>
      </c>
    </row>
    <row r="4231">
      <c r="A4231" t="inlineStr">
        <is>
          <t>附表7!J15</t>
        </is>
      </c>
      <c r="B4231" t="inlineStr">
        <is>
          <t>附表7!O30</t>
        </is>
      </c>
      <c r="C4231" t="inlineStr">
        <is>
          <t>excel_formula</t>
        </is>
      </c>
    </row>
    <row r="4232">
      <c r="A4232" t="inlineStr">
        <is>
          <t>附表7!K15</t>
        </is>
      </c>
      <c r="B4232" t="inlineStr">
        <is>
          <t>附表7!O31</t>
        </is>
      </c>
      <c r="C4232" t="inlineStr">
        <is>
          <t>excel_formula</t>
        </is>
      </c>
    </row>
    <row r="4233">
      <c r="A4233" t="inlineStr">
        <is>
          <t>附表7!L15</t>
        </is>
      </c>
      <c r="B4233" t="inlineStr">
        <is>
          <t>附表7!O32</t>
        </is>
      </c>
      <c r="C4233" t="inlineStr">
        <is>
          <t>excel_formula</t>
        </is>
      </c>
    </row>
    <row r="4234">
      <c r="A4234" t="inlineStr">
        <is>
          <t>附表7!M15</t>
        </is>
      </c>
      <c r="B4234" t="inlineStr">
        <is>
          <t>附表7!O33</t>
        </is>
      </c>
      <c r="C4234" t="inlineStr">
        <is>
          <t>excel_formula</t>
        </is>
      </c>
    </row>
    <row r="4235">
      <c r="A4235" t="inlineStr">
        <is>
          <t>附表7!N15</t>
        </is>
      </c>
      <c r="B4235" t="inlineStr">
        <is>
          <t>附表7!O34</t>
        </is>
      </c>
      <c r="C4235" t="inlineStr">
        <is>
          <t>excel_formula</t>
        </is>
      </c>
    </row>
    <row r="4236">
      <c r="A4236" t="inlineStr">
        <is>
          <t>附表7!O15</t>
        </is>
      </c>
      <c r="B4236" t="inlineStr">
        <is>
          <t>附表7!O35</t>
        </is>
      </c>
      <c r="C4236" t="inlineStr">
        <is>
          <t>excel_formula</t>
        </is>
      </c>
    </row>
    <row r="4237">
      <c r="A4237" t="inlineStr">
        <is>
          <t>附表7!P15</t>
        </is>
      </c>
      <c r="B4237" t="inlineStr">
        <is>
          <t>附表7!O36</t>
        </is>
      </c>
      <c r="C4237" t="inlineStr">
        <is>
          <t>excel_formula</t>
        </is>
      </c>
    </row>
    <row r="4238">
      <c r="A4238" t="inlineStr">
        <is>
          <t>附表7!Q15</t>
        </is>
      </c>
      <c r="B4238" t="inlineStr">
        <is>
          <t>附表7!O37</t>
        </is>
      </c>
      <c r="C4238" t="inlineStr">
        <is>
          <t>excel_formula</t>
        </is>
      </c>
    </row>
    <row r="4239">
      <c r="A4239" t="inlineStr">
        <is>
          <t>附表7!R15</t>
        </is>
      </c>
      <c r="B4239" t="inlineStr">
        <is>
          <t>附表7!O38</t>
        </is>
      </c>
      <c r="C4239" t="inlineStr">
        <is>
          <t>excel_formula</t>
        </is>
      </c>
    </row>
    <row r="4240">
      <c r="A4240" t="inlineStr">
        <is>
          <t>附表7!S15</t>
        </is>
      </c>
      <c r="B4240" t="inlineStr">
        <is>
          <t>附表7!O39</t>
        </is>
      </c>
      <c r="C4240" t="inlineStr">
        <is>
          <t>excel_formula</t>
        </is>
      </c>
    </row>
    <row r="4241">
      <c r="A4241" t="inlineStr">
        <is>
          <t>附表7!T15</t>
        </is>
      </c>
      <c r="B4241" t="inlineStr">
        <is>
          <t>附表7!O40</t>
        </is>
      </c>
      <c r="C4241" t="inlineStr">
        <is>
          <t>excel_formula</t>
        </is>
      </c>
    </row>
    <row r="4242">
      <c r="A4242" t="inlineStr">
        <is>
          <t>附表7!U15</t>
        </is>
      </c>
      <c r="B4242" t="inlineStr">
        <is>
          <t>附表7!O41</t>
        </is>
      </c>
      <c r="C4242" t="inlineStr">
        <is>
          <t>excel_formula</t>
        </is>
      </c>
    </row>
    <row r="4243">
      <c r="A4243" t="inlineStr">
        <is>
          <t>附表7!V15</t>
        </is>
      </c>
      <c r="B4243" t="inlineStr">
        <is>
          <t>附表7!O42</t>
        </is>
      </c>
      <c r="C4243" t="inlineStr">
        <is>
          <t>excel_formula</t>
        </is>
      </c>
    </row>
    <row r="4244">
      <c r="A4244" t="inlineStr">
        <is>
          <t>附表7!W15</t>
        </is>
      </c>
      <c r="B4244" t="inlineStr">
        <is>
          <t>附表7!O43</t>
        </is>
      </c>
      <c r="C4244" t="inlineStr">
        <is>
          <t>excel_formula</t>
        </is>
      </c>
    </row>
    <row r="4245">
      <c r="A4245" t="inlineStr">
        <is>
          <t>附表7!X15</t>
        </is>
      </c>
      <c r="B4245" t="inlineStr">
        <is>
          <t>附表7!O44</t>
        </is>
      </c>
      <c r="C4245" t="inlineStr">
        <is>
          <t>excel_formula</t>
        </is>
      </c>
    </row>
    <row r="4246">
      <c r="A4246" t="inlineStr">
        <is>
          <t>附表7!Y15</t>
        </is>
      </c>
      <c r="B4246" t="inlineStr">
        <is>
          <t>附表7!O45</t>
        </is>
      </c>
      <c r="C4246" t="inlineStr">
        <is>
          <t>excel_formula</t>
        </is>
      </c>
    </row>
    <row r="4247">
      <c r="A4247" t="inlineStr">
        <is>
          <t>附表7!Z15</t>
        </is>
      </c>
      <c r="B4247" t="inlineStr">
        <is>
          <t>附表7!O46</t>
        </is>
      </c>
      <c r="C4247" t="inlineStr">
        <is>
          <t>excel_formula</t>
        </is>
      </c>
    </row>
    <row r="4248">
      <c r="A4248" t="inlineStr">
        <is>
          <t>附表7!AA15</t>
        </is>
      </c>
      <c r="B4248" t="inlineStr">
        <is>
          <t>附表7!O47</t>
        </is>
      </c>
      <c r="C4248" t="inlineStr">
        <is>
          <t>excel_formula</t>
        </is>
      </c>
    </row>
    <row r="4249">
      <c r="A4249" t="inlineStr">
        <is>
          <t>附表7!D16</t>
        </is>
      </c>
      <c r="B4249" t="inlineStr">
        <is>
          <t>附表7!P24</t>
        </is>
      </c>
      <c r="C4249" t="inlineStr">
        <is>
          <t>excel_formula</t>
        </is>
      </c>
    </row>
    <row r="4250">
      <c r="A4250" t="inlineStr">
        <is>
          <t>附表7!E16</t>
        </is>
      </c>
      <c r="B4250" t="inlineStr">
        <is>
          <t>附表7!P25</t>
        </is>
      </c>
      <c r="C4250" t="inlineStr">
        <is>
          <t>excel_formula</t>
        </is>
      </c>
    </row>
    <row r="4251">
      <c r="A4251" t="inlineStr">
        <is>
          <t>附表7!F16</t>
        </is>
      </c>
      <c r="B4251" t="inlineStr">
        <is>
          <t>附表7!P26</t>
        </is>
      </c>
      <c r="C4251" t="inlineStr">
        <is>
          <t>excel_formula</t>
        </is>
      </c>
    </row>
    <row r="4252">
      <c r="A4252" t="inlineStr">
        <is>
          <t>附表7!G16</t>
        </is>
      </c>
      <c r="B4252" t="inlineStr">
        <is>
          <t>附表7!P27</t>
        </is>
      </c>
      <c r="C4252" t="inlineStr">
        <is>
          <t>excel_formula</t>
        </is>
      </c>
    </row>
    <row r="4253">
      <c r="A4253" t="inlineStr">
        <is>
          <t>附表7!H16</t>
        </is>
      </c>
      <c r="B4253" t="inlineStr">
        <is>
          <t>附表7!P28</t>
        </is>
      </c>
      <c r="C4253" t="inlineStr">
        <is>
          <t>excel_formula</t>
        </is>
      </c>
    </row>
    <row r="4254">
      <c r="A4254" t="inlineStr">
        <is>
          <t>附表7!I16</t>
        </is>
      </c>
      <c r="B4254" t="inlineStr">
        <is>
          <t>附表7!P29</t>
        </is>
      </c>
      <c r="C4254" t="inlineStr">
        <is>
          <t>excel_formula</t>
        </is>
      </c>
    </row>
    <row r="4255">
      <c r="A4255" t="inlineStr">
        <is>
          <t>附表7!J16</t>
        </is>
      </c>
      <c r="B4255" t="inlineStr">
        <is>
          <t>附表7!P30</t>
        </is>
      </c>
      <c r="C4255" t="inlineStr">
        <is>
          <t>excel_formula</t>
        </is>
      </c>
    </row>
    <row r="4256">
      <c r="A4256" t="inlineStr">
        <is>
          <t>附表7!K16</t>
        </is>
      </c>
      <c r="B4256" t="inlineStr">
        <is>
          <t>附表7!P31</t>
        </is>
      </c>
      <c r="C4256" t="inlineStr">
        <is>
          <t>excel_formula</t>
        </is>
      </c>
    </row>
    <row r="4257">
      <c r="A4257" t="inlineStr">
        <is>
          <t>附表7!L16</t>
        </is>
      </c>
      <c r="B4257" t="inlineStr">
        <is>
          <t>附表7!P32</t>
        </is>
      </c>
      <c r="C4257" t="inlineStr">
        <is>
          <t>excel_formula</t>
        </is>
      </c>
    </row>
    <row r="4258">
      <c r="A4258" t="inlineStr">
        <is>
          <t>附表7!M16</t>
        </is>
      </c>
      <c r="B4258" t="inlineStr">
        <is>
          <t>附表7!P33</t>
        </is>
      </c>
      <c r="C4258" t="inlineStr">
        <is>
          <t>excel_formula</t>
        </is>
      </c>
    </row>
    <row r="4259">
      <c r="A4259" t="inlineStr">
        <is>
          <t>附表7!N16</t>
        </is>
      </c>
      <c r="B4259" t="inlineStr">
        <is>
          <t>附表7!P34</t>
        </is>
      </c>
      <c r="C4259" t="inlineStr">
        <is>
          <t>excel_formula</t>
        </is>
      </c>
    </row>
    <row r="4260">
      <c r="A4260" t="inlineStr">
        <is>
          <t>附表7!O16</t>
        </is>
      </c>
      <c r="B4260" t="inlineStr">
        <is>
          <t>附表7!P35</t>
        </is>
      </c>
      <c r="C4260" t="inlineStr">
        <is>
          <t>excel_formula</t>
        </is>
      </c>
    </row>
    <row r="4261">
      <c r="A4261" t="inlineStr">
        <is>
          <t>附表7!P16</t>
        </is>
      </c>
      <c r="B4261" t="inlineStr">
        <is>
          <t>附表7!P36</t>
        </is>
      </c>
      <c r="C4261" t="inlineStr">
        <is>
          <t>excel_formula</t>
        </is>
      </c>
    </row>
    <row r="4262">
      <c r="A4262" t="inlineStr">
        <is>
          <t>附表7!Q16</t>
        </is>
      </c>
      <c r="B4262" t="inlineStr">
        <is>
          <t>附表7!P37</t>
        </is>
      </c>
      <c r="C4262" t="inlineStr">
        <is>
          <t>excel_formula</t>
        </is>
      </c>
    </row>
    <row r="4263">
      <c r="A4263" t="inlineStr">
        <is>
          <t>附表7!R16</t>
        </is>
      </c>
      <c r="B4263" t="inlineStr">
        <is>
          <t>附表7!P38</t>
        </is>
      </c>
      <c r="C4263" t="inlineStr">
        <is>
          <t>excel_formula</t>
        </is>
      </c>
    </row>
    <row r="4264">
      <c r="A4264" t="inlineStr">
        <is>
          <t>附表7!S16</t>
        </is>
      </c>
      <c r="B4264" t="inlineStr">
        <is>
          <t>附表7!P39</t>
        </is>
      </c>
      <c r="C4264" t="inlineStr">
        <is>
          <t>excel_formula</t>
        </is>
      </c>
    </row>
    <row r="4265">
      <c r="A4265" t="inlineStr">
        <is>
          <t>附表7!T16</t>
        </is>
      </c>
      <c r="B4265" t="inlineStr">
        <is>
          <t>附表7!P40</t>
        </is>
      </c>
      <c r="C4265" t="inlineStr">
        <is>
          <t>excel_formula</t>
        </is>
      </c>
    </row>
    <row r="4266">
      <c r="A4266" t="inlineStr">
        <is>
          <t>附表7!U16</t>
        </is>
      </c>
      <c r="B4266" t="inlineStr">
        <is>
          <t>附表7!P41</t>
        </is>
      </c>
      <c r="C4266" t="inlineStr">
        <is>
          <t>excel_formula</t>
        </is>
      </c>
    </row>
    <row r="4267">
      <c r="A4267" t="inlineStr">
        <is>
          <t>附表7!V16</t>
        </is>
      </c>
      <c r="B4267" t="inlineStr">
        <is>
          <t>附表7!P42</t>
        </is>
      </c>
      <c r="C4267" t="inlineStr">
        <is>
          <t>excel_formula</t>
        </is>
      </c>
    </row>
    <row r="4268">
      <c r="A4268" t="inlineStr">
        <is>
          <t>附表7!W16</t>
        </is>
      </c>
      <c r="B4268" t="inlineStr">
        <is>
          <t>附表7!P43</t>
        </is>
      </c>
      <c r="C4268" t="inlineStr">
        <is>
          <t>excel_formula</t>
        </is>
      </c>
    </row>
    <row r="4269">
      <c r="A4269" t="inlineStr">
        <is>
          <t>附表7!X16</t>
        </is>
      </c>
      <c r="B4269" t="inlineStr">
        <is>
          <t>附表7!P44</t>
        </is>
      </c>
      <c r="C4269" t="inlineStr">
        <is>
          <t>excel_formula</t>
        </is>
      </c>
    </row>
    <row r="4270">
      <c r="A4270" t="inlineStr">
        <is>
          <t>附表7!Y16</t>
        </is>
      </c>
      <c r="B4270" t="inlineStr">
        <is>
          <t>附表7!P45</t>
        </is>
      </c>
      <c r="C4270" t="inlineStr">
        <is>
          <t>excel_formula</t>
        </is>
      </c>
    </row>
    <row r="4271">
      <c r="A4271" t="inlineStr">
        <is>
          <t>附表7!Z16</t>
        </is>
      </c>
      <c r="B4271" t="inlineStr">
        <is>
          <t>附表7!P46</t>
        </is>
      </c>
      <c r="C4271" t="inlineStr">
        <is>
          <t>excel_formula</t>
        </is>
      </c>
    </row>
    <row r="4272">
      <c r="A4272" t="inlineStr">
        <is>
          <t>附表7!AA16</t>
        </is>
      </c>
      <c r="B4272" t="inlineStr">
        <is>
          <t>附表7!P47</t>
        </is>
      </c>
      <c r="C4272" t="inlineStr">
        <is>
          <t>excel_formula</t>
        </is>
      </c>
    </row>
    <row r="4273">
      <c r="A4273" t="inlineStr">
        <is>
          <t>附表7!D17</t>
        </is>
      </c>
      <c r="B4273" t="inlineStr">
        <is>
          <t>附表7!Q24</t>
        </is>
      </c>
      <c r="C4273" t="inlineStr">
        <is>
          <t>excel_formula</t>
        </is>
      </c>
    </row>
    <row r="4274">
      <c r="A4274" t="inlineStr">
        <is>
          <t>附表7!E17</t>
        </is>
      </c>
      <c r="B4274" t="inlineStr">
        <is>
          <t>附表7!Q25</t>
        </is>
      </c>
      <c r="C4274" t="inlineStr">
        <is>
          <t>excel_formula</t>
        </is>
      </c>
    </row>
    <row r="4275">
      <c r="A4275" t="inlineStr">
        <is>
          <t>附表7!F17</t>
        </is>
      </c>
      <c r="B4275" t="inlineStr">
        <is>
          <t>附表7!Q26</t>
        </is>
      </c>
      <c r="C4275" t="inlineStr">
        <is>
          <t>excel_formula</t>
        </is>
      </c>
    </row>
    <row r="4276">
      <c r="A4276" t="inlineStr">
        <is>
          <t>附表7!G17</t>
        </is>
      </c>
      <c r="B4276" t="inlineStr">
        <is>
          <t>附表7!Q27</t>
        </is>
      </c>
      <c r="C4276" t="inlineStr">
        <is>
          <t>excel_formula</t>
        </is>
      </c>
    </row>
    <row r="4277">
      <c r="A4277" t="inlineStr">
        <is>
          <t>附表7!H17</t>
        </is>
      </c>
      <c r="B4277" t="inlineStr">
        <is>
          <t>附表7!Q28</t>
        </is>
      </c>
      <c r="C4277" t="inlineStr">
        <is>
          <t>excel_formula</t>
        </is>
      </c>
    </row>
    <row r="4278">
      <c r="A4278" t="inlineStr">
        <is>
          <t>附表7!I17</t>
        </is>
      </c>
      <c r="B4278" t="inlineStr">
        <is>
          <t>附表7!Q29</t>
        </is>
      </c>
      <c r="C4278" t="inlineStr">
        <is>
          <t>excel_formula</t>
        </is>
      </c>
    </row>
    <row r="4279">
      <c r="A4279" t="inlineStr">
        <is>
          <t>附表7!J17</t>
        </is>
      </c>
      <c r="B4279" t="inlineStr">
        <is>
          <t>附表7!Q30</t>
        </is>
      </c>
      <c r="C4279" t="inlineStr">
        <is>
          <t>excel_formula</t>
        </is>
      </c>
    </row>
    <row r="4280">
      <c r="A4280" t="inlineStr">
        <is>
          <t>附表7!K17</t>
        </is>
      </c>
      <c r="B4280" t="inlineStr">
        <is>
          <t>附表7!Q31</t>
        </is>
      </c>
      <c r="C4280" t="inlineStr">
        <is>
          <t>excel_formula</t>
        </is>
      </c>
    </row>
    <row r="4281">
      <c r="A4281" t="inlineStr">
        <is>
          <t>附表7!L17</t>
        </is>
      </c>
      <c r="B4281" t="inlineStr">
        <is>
          <t>附表7!Q32</t>
        </is>
      </c>
      <c r="C4281" t="inlineStr">
        <is>
          <t>excel_formula</t>
        </is>
      </c>
    </row>
    <row r="4282">
      <c r="A4282" t="inlineStr">
        <is>
          <t>附表7!M17</t>
        </is>
      </c>
      <c r="B4282" t="inlineStr">
        <is>
          <t>附表7!Q33</t>
        </is>
      </c>
      <c r="C4282" t="inlineStr">
        <is>
          <t>excel_formula</t>
        </is>
      </c>
    </row>
    <row r="4283">
      <c r="A4283" t="inlineStr">
        <is>
          <t>附表7!N17</t>
        </is>
      </c>
      <c r="B4283" t="inlineStr">
        <is>
          <t>附表7!Q34</t>
        </is>
      </c>
      <c r="C4283" t="inlineStr">
        <is>
          <t>excel_formula</t>
        </is>
      </c>
    </row>
    <row r="4284">
      <c r="A4284" t="inlineStr">
        <is>
          <t>附表7!O17</t>
        </is>
      </c>
      <c r="B4284" t="inlineStr">
        <is>
          <t>附表7!Q35</t>
        </is>
      </c>
      <c r="C4284" t="inlineStr">
        <is>
          <t>excel_formula</t>
        </is>
      </c>
    </row>
    <row r="4285">
      <c r="A4285" t="inlineStr">
        <is>
          <t>附表7!P17</t>
        </is>
      </c>
      <c r="B4285" t="inlineStr">
        <is>
          <t>附表7!Q36</t>
        </is>
      </c>
      <c r="C4285" t="inlineStr">
        <is>
          <t>excel_formula</t>
        </is>
      </c>
    </row>
    <row r="4286">
      <c r="A4286" t="inlineStr">
        <is>
          <t>附表7!Q17</t>
        </is>
      </c>
      <c r="B4286" t="inlineStr">
        <is>
          <t>附表7!Q37</t>
        </is>
      </c>
      <c r="C4286" t="inlineStr">
        <is>
          <t>excel_formula</t>
        </is>
      </c>
    </row>
    <row r="4287">
      <c r="A4287" t="inlineStr">
        <is>
          <t>附表7!R17</t>
        </is>
      </c>
      <c r="B4287" t="inlineStr">
        <is>
          <t>附表7!Q38</t>
        </is>
      </c>
      <c r="C4287" t="inlineStr">
        <is>
          <t>excel_formula</t>
        </is>
      </c>
    </row>
    <row r="4288">
      <c r="A4288" t="inlineStr">
        <is>
          <t>附表7!S17</t>
        </is>
      </c>
      <c r="B4288" t="inlineStr">
        <is>
          <t>附表7!Q39</t>
        </is>
      </c>
      <c r="C4288" t="inlineStr">
        <is>
          <t>excel_formula</t>
        </is>
      </c>
    </row>
    <row r="4289">
      <c r="A4289" t="inlineStr">
        <is>
          <t>附表7!T17</t>
        </is>
      </c>
      <c r="B4289" t="inlineStr">
        <is>
          <t>附表7!Q40</t>
        </is>
      </c>
      <c r="C4289" t="inlineStr">
        <is>
          <t>excel_formula</t>
        </is>
      </c>
    </row>
    <row r="4290">
      <c r="A4290" t="inlineStr">
        <is>
          <t>附表7!U17</t>
        </is>
      </c>
      <c r="B4290" t="inlineStr">
        <is>
          <t>附表7!Q41</t>
        </is>
      </c>
      <c r="C4290" t="inlineStr">
        <is>
          <t>excel_formula</t>
        </is>
      </c>
    </row>
    <row r="4291">
      <c r="A4291" t="inlineStr">
        <is>
          <t>附表7!V17</t>
        </is>
      </c>
      <c r="B4291" t="inlineStr">
        <is>
          <t>附表7!Q42</t>
        </is>
      </c>
      <c r="C4291" t="inlineStr">
        <is>
          <t>excel_formula</t>
        </is>
      </c>
    </row>
    <row r="4292">
      <c r="A4292" t="inlineStr">
        <is>
          <t>附表7!W17</t>
        </is>
      </c>
      <c r="B4292" t="inlineStr">
        <is>
          <t>附表7!Q43</t>
        </is>
      </c>
      <c r="C4292" t="inlineStr">
        <is>
          <t>excel_formula</t>
        </is>
      </c>
    </row>
    <row r="4293">
      <c r="A4293" t="inlineStr">
        <is>
          <t>附表7!X17</t>
        </is>
      </c>
      <c r="B4293" t="inlineStr">
        <is>
          <t>附表7!Q44</t>
        </is>
      </c>
      <c r="C4293" t="inlineStr">
        <is>
          <t>excel_formula</t>
        </is>
      </c>
    </row>
    <row r="4294">
      <c r="A4294" t="inlineStr">
        <is>
          <t>附表7!Y17</t>
        </is>
      </c>
      <c r="B4294" t="inlineStr">
        <is>
          <t>附表7!Q45</t>
        </is>
      </c>
      <c r="C4294" t="inlineStr">
        <is>
          <t>excel_formula</t>
        </is>
      </c>
    </row>
    <row r="4295">
      <c r="A4295" t="inlineStr">
        <is>
          <t>附表7!Z17</t>
        </is>
      </c>
      <c r="B4295" t="inlineStr">
        <is>
          <t>附表7!Q46</t>
        </is>
      </c>
      <c r="C4295" t="inlineStr">
        <is>
          <t>excel_formula</t>
        </is>
      </c>
    </row>
    <row r="4296">
      <c r="A4296" t="inlineStr">
        <is>
          <t>附表7!AA17</t>
        </is>
      </c>
      <c r="B4296" t="inlineStr">
        <is>
          <t>附表7!Q47</t>
        </is>
      </c>
      <c r="C4296" t="inlineStr">
        <is>
          <t>excel_formula</t>
        </is>
      </c>
    </row>
    <row r="4297">
      <c r="A4297" t="inlineStr">
        <is>
          <t>附表7!D18</t>
        </is>
      </c>
      <c r="B4297" t="inlineStr">
        <is>
          <t>附表7!R24</t>
        </is>
      </c>
      <c r="C4297" t="inlineStr">
        <is>
          <t>excel_formula</t>
        </is>
      </c>
    </row>
    <row r="4298">
      <c r="A4298" t="inlineStr">
        <is>
          <t>附表7!E18</t>
        </is>
      </c>
      <c r="B4298" t="inlineStr">
        <is>
          <t>附表7!R25</t>
        </is>
      </c>
      <c r="C4298" t="inlineStr">
        <is>
          <t>excel_formula</t>
        </is>
      </c>
    </row>
    <row r="4299">
      <c r="A4299" t="inlineStr">
        <is>
          <t>附表7!F18</t>
        </is>
      </c>
      <c r="B4299" t="inlineStr">
        <is>
          <t>附表7!R26</t>
        </is>
      </c>
      <c r="C4299" t="inlineStr">
        <is>
          <t>excel_formula</t>
        </is>
      </c>
    </row>
    <row r="4300">
      <c r="A4300" t="inlineStr">
        <is>
          <t>附表7!G18</t>
        </is>
      </c>
      <c r="B4300" t="inlineStr">
        <is>
          <t>附表7!R27</t>
        </is>
      </c>
      <c r="C4300" t="inlineStr">
        <is>
          <t>excel_formula</t>
        </is>
      </c>
    </row>
    <row r="4301">
      <c r="A4301" t="inlineStr">
        <is>
          <t>附表7!H18</t>
        </is>
      </c>
      <c r="B4301" t="inlineStr">
        <is>
          <t>附表7!R28</t>
        </is>
      </c>
      <c r="C4301" t="inlineStr">
        <is>
          <t>excel_formula</t>
        </is>
      </c>
    </row>
    <row r="4302">
      <c r="A4302" t="inlineStr">
        <is>
          <t>附表7!I18</t>
        </is>
      </c>
      <c r="B4302" t="inlineStr">
        <is>
          <t>附表7!R29</t>
        </is>
      </c>
      <c r="C4302" t="inlineStr">
        <is>
          <t>excel_formula</t>
        </is>
      </c>
    </row>
    <row r="4303">
      <c r="A4303" t="inlineStr">
        <is>
          <t>附表7!J18</t>
        </is>
      </c>
      <c r="B4303" t="inlineStr">
        <is>
          <t>附表7!R30</t>
        </is>
      </c>
      <c r="C4303" t="inlineStr">
        <is>
          <t>excel_formula</t>
        </is>
      </c>
    </row>
    <row r="4304">
      <c r="A4304" t="inlineStr">
        <is>
          <t>附表7!K18</t>
        </is>
      </c>
      <c r="B4304" t="inlineStr">
        <is>
          <t>附表7!R31</t>
        </is>
      </c>
      <c r="C4304" t="inlineStr">
        <is>
          <t>excel_formula</t>
        </is>
      </c>
    </row>
    <row r="4305">
      <c r="A4305" t="inlineStr">
        <is>
          <t>附表7!L18</t>
        </is>
      </c>
      <c r="B4305" t="inlineStr">
        <is>
          <t>附表7!R32</t>
        </is>
      </c>
      <c r="C4305" t="inlineStr">
        <is>
          <t>excel_formula</t>
        </is>
      </c>
    </row>
    <row r="4306">
      <c r="A4306" t="inlineStr">
        <is>
          <t>附表7!M18</t>
        </is>
      </c>
      <c r="B4306" t="inlineStr">
        <is>
          <t>附表7!R33</t>
        </is>
      </c>
      <c r="C4306" t="inlineStr">
        <is>
          <t>excel_formula</t>
        </is>
      </c>
    </row>
    <row r="4307">
      <c r="A4307" t="inlineStr">
        <is>
          <t>附表7!N18</t>
        </is>
      </c>
      <c r="B4307" t="inlineStr">
        <is>
          <t>附表7!R34</t>
        </is>
      </c>
      <c r="C4307" t="inlineStr">
        <is>
          <t>excel_formula</t>
        </is>
      </c>
    </row>
    <row r="4308">
      <c r="A4308" t="inlineStr">
        <is>
          <t>附表7!O18</t>
        </is>
      </c>
      <c r="B4308" t="inlineStr">
        <is>
          <t>附表7!R35</t>
        </is>
      </c>
      <c r="C4308" t="inlineStr">
        <is>
          <t>excel_formula</t>
        </is>
      </c>
    </row>
    <row r="4309">
      <c r="A4309" t="inlineStr">
        <is>
          <t>附表7!P18</t>
        </is>
      </c>
      <c r="B4309" t="inlineStr">
        <is>
          <t>附表7!R36</t>
        </is>
      </c>
      <c r="C4309" t="inlineStr">
        <is>
          <t>excel_formula</t>
        </is>
      </c>
    </row>
    <row r="4310">
      <c r="A4310" t="inlineStr">
        <is>
          <t>附表7!Q18</t>
        </is>
      </c>
      <c r="B4310" t="inlineStr">
        <is>
          <t>附表7!R37</t>
        </is>
      </c>
      <c r="C4310" t="inlineStr">
        <is>
          <t>excel_formula</t>
        </is>
      </c>
    </row>
    <row r="4311">
      <c r="A4311" t="inlineStr">
        <is>
          <t>附表7!R18</t>
        </is>
      </c>
      <c r="B4311" t="inlineStr">
        <is>
          <t>附表7!R38</t>
        </is>
      </c>
      <c r="C4311" t="inlineStr">
        <is>
          <t>excel_formula</t>
        </is>
      </c>
    </row>
    <row r="4312">
      <c r="A4312" t="inlineStr">
        <is>
          <t>附表7!S18</t>
        </is>
      </c>
      <c r="B4312" t="inlineStr">
        <is>
          <t>附表7!R39</t>
        </is>
      </c>
      <c r="C4312" t="inlineStr">
        <is>
          <t>excel_formula</t>
        </is>
      </c>
    </row>
    <row r="4313">
      <c r="A4313" t="inlineStr">
        <is>
          <t>附表7!T18</t>
        </is>
      </c>
      <c r="B4313" t="inlineStr">
        <is>
          <t>附表7!R40</t>
        </is>
      </c>
      <c r="C4313" t="inlineStr">
        <is>
          <t>excel_formula</t>
        </is>
      </c>
    </row>
    <row r="4314">
      <c r="A4314" t="inlineStr">
        <is>
          <t>附表7!U18</t>
        </is>
      </c>
      <c r="B4314" t="inlineStr">
        <is>
          <t>附表7!R41</t>
        </is>
      </c>
      <c r="C4314" t="inlineStr">
        <is>
          <t>excel_formula</t>
        </is>
      </c>
    </row>
    <row r="4315">
      <c r="A4315" t="inlineStr">
        <is>
          <t>附表7!V18</t>
        </is>
      </c>
      <c r="B4315" t="inlineStr">
        <is>
          <t>附表7!R42</t>
        </is>
      </c>
      <c r="C4315" t="inlineStr">
        <is>
          <t>excel_formula</t>
        </is>
      </c>
    </row>
    <row r="4316">
      <c r="A4316" t="inlineStr">
        <is>
          <t>附表7!W18</t>
        </is>
      </c>
      <c r="B4316" t="inlineStr">
        <is>
          <t>附表7!R43</t>
        </is>
      </c>
      <c r="C4316" t="inlineStr">
        <is>
          <t>excel_formula</t>
        </is>
      </c>
    </row>
    <row r="4317">
      <c r="A4317" t="inlineStr">
        <is>
          <t>附表7!X18</t>
        </is>
      </c>
      <c r="B4317" t="inlineStr">
        <is>
          <t>附表7!R44</t>
        </is>
      </c>
      <c r="C4317" t="inlineStr">
        <is>
          <t>excel_formula</t>
        </is>
      </c>
    </row>
    <row r="4318">
      <c r="A4318" t="inlineStr">
        <is>
          <t>附表7!Y18</t>
        </is>
      </c>
      <c r="B4318" t="inlineStr">
        <is>
          <t>附表7!R45</t>
        </is>
      </c>
      <c r="C4318" t="inlineStr">
        <is>
          <t>excel_formula</t>
        </is>
      </c>
    </row>
    <row r="4319">
      <c r="A4319" t="inlineStr">
        <is>
          <t>附表7!Z18</t>
        </is>
      </c>
      <c r="B4319" t="inlineStr">
        <is>
          <t>附表7!R46</t>
        </is>
      </c>
      <c r="C4319" t="inlineStr">
        <is>
          <t>excel_formula</t>
        </is>
      </c>
    </row>
    <row r="4320">
      <c r="A4320" t="inlineStr">
        <is>
          <t>附表7!AA18</t>
        </is>
      </c>
      <c r="B4320" t="inlineStr">
        <is>
          <t>附表7!R47</t>
        </is>
      </c>
      <c r="C4320" t="inlineStr">
        <is>
          <t>excel_formula</t>
        </is>
      </c>
    </row>
    <row r="4321">
      <c r="A4321" t="inlineStr">
        <is>
          <t>附表7!D19</t>
        </is>
      </c>
      <c r="B4321" t="inlineStr">
        <is>
          <t>附表7!F24</t>
        </is>
      </c>
      <c r="C4321" t="inlineStr">
        <is>
          <t>excel_formula</t>
        </is>
      </c>
    </row>
    <row r="4322">
      <c r="A4322" t="inlineStr">
        <is>
          <t>附表7!E19</t>
        </is>
      </c>
      <c r="B4322" t="inlineStr">
        <is>
          <t>附表7!F25</t>
        </is>
      </c>
      <c r="C4322" t="inlineStr">
        <is>
          <t>excel_formula</t>
        </is>
      </c>
    </row>
    <row r="4323">
      <c r="A4323" t="inlineStr">
        <is>
          <t>附表7!F19</t>
        </is>
      </c>
      <c r="B4323" t="inlineStr">
        <is>
          <t>附表7!F26</t>
        </is>
      </c>
      <c r="C4323" t="inlineStr">
        <is>
          <t>excel_formula</t>
        </is>
      </c>
    </row>
    <row r="4324">
      <c r="A4324" t="inlineStr">
        <is>
          <t>附表7!G19</t>
        </is>
      </c>
      <c r="B4324" t="inlineStr">
        <is>
          <t>附表7!F27</t>
        </is>
      </c>
      <c r="C4324" t="inlineStr">
        <is>
          <t>excel_formula</t>
        </is>
      </c>
    </row>
    <row r="4325">
      <c r="A4325" t="inlineStr">
        <is>
          <t>附表7!H19</t>
        </is>
      </c>
      <c r="B4325" t="inlineStr">
        <is>
          <t>附表7!F28</t>
        </is>
      </c>
      <c r="C4325" t="inlineStr">
        <is>
          <t>excel_formula</t>
        </is>
      </c>
    </row>
    <row r="4326">
      <c r="A4326" t="inlineStr">
        <is>
          <t>附表7!I19</t>
        </is>
      </c>
      <c r="B4326" t="inlineStr">
        <is>
          <t>附表7!F29</t>
        </is>
      </c>
      <c r="C4326" t="inlineStr">
        <is>
          <t>excel_formula</t>
        </is>
      </c>
    </row>
    <row r="4327">
      <c r="A4327" t="inlineStr">
        <is>
          <t>附表7!J19</t>
        </is>
      </c>
      <c r="B4327" t="inlineStr">
        <is>
          <t>附表7!F30</t>
        </is>
      </c>
      <c r="C4327" t="inlineStr">
        <is>
          <t>excel_formula</t>
        </is>
      </c>
    </row>
    <row r="4328">
      <c r="A4328" t="inlineStr">
        <is>
          <t>附表7!K19</t>
        </is>
      </c>
      <c r="B4328" t="inlineStr">
        <is>
          <t>附表7!F31</t>
        </is>
      </c>
      <c r="C4328" t="inlineStr">
        <is>
          <t>excel_formula</t>
        </is>
      </c>
    </row>
    <row r="4329">
      <c r="A4329" t="inlineStr">
        <is>
          <t>附表7!L19</t>
        </is>
      </c>
      <c r="B4329" t="inlineStr">
        <is>
          <t>附表7!F32</t>
        </is>
      </c>
      <c r="C4329" t="inlineStr">
        <is>
          <t>excel_formula</t>
        </is>
      </c>
    </row>
    <row r="4330">
      <c r="A4330" t="inlineStr">
        <is>
          <t>附表7!M19</t>
        </is>
      </c>
      <c r="B4330" t="inlineStr">
        <is>
          <t>附表7!F33</t>
        </is>
      </c>
      <c r="C4330" t="inlineStr">
        <is>
          <t>excel_formula</t>
        </is>
      </c>
    </row>
    <row r="4331">
      <c r="A4331" t="inlineStr">
        <is>
          <t>附表7!N19</t>
        </is>
      </c>
      <c r="B4331" t="inlineStr">
        <is>
          <t>附表7!F34</t>
        </is>
      </c>
      <c r="C4331" t="inlineStr">
        <is>
          <t>excel_formula</t>
        </is>
      </c>
    </row>
    <row r="4332">
      <c r="A4332" t="inlineStr">
        <is>
          <t>附表7!O19</t>
        </is>
      </c>
      <c r="B4332" t="inlineStr">
        <is>
          <t>附表7!F35</t>
        </is>
      </c>
      <c r="C4332" t="inlineStr">
        <is>
          <t>excel_formula</t>
        </is>
      </c>
    </row>
    <row r="4333">
      <c r="A4333" t="inlineStr">
        <is>
          <t>附表7!P19</t>
        </is>
      </c>
      <c r="B4333" t="inlineStr">
        <is>
          <t>附表7!F36</t>
        </is>
      </c>
      <c r="C4333" t="inlineStr">
        <is>
          <t>excel_formula</t>
        </is>
      </c>
    </row>
    <row r="4334">
      <c r="A4334" t="inlineStr">
        <is>
          <t>附表7!Q19</t>
        </is>
      </c>
      <c r="B4334" t="inlineStr">
        <is>
          <t>附表7!F37</t>
        </is>
      </c>
      <c r="C4334" t="inlineStr">
        <is>
          <t>excel_formula</t>
        </is>
      </c>
    </row>
    <row r="4335">
      <c r="A4335" t="inlineStr">
        <is>
          <t>附表7!R19</t>
        </is>
      </c>
      <c r="B4335" t="inlineStr">
        <is>
          <t>附表7!F38</t>
        </is>
      </c>
      <c r="C4335" t="inlineStr">
        <is>
          <t>excel_formula</t>
        </is>
      </c>
    </row>
    <row r="4336">
      <c r="A4336" t="inlineStr">
        <is>
          <t>附表7!S19</t>
        </is>
      </c>
      <c r="B4336" t="inlineStr">
        <is>
          <t>附表7!F39</t>
        </is>
      </c>
      <c r="C4336" t="inlineStr">
        <is>
          <t>excel_formula</t>
        </is>
      </c>
    </row>
    <row r="4337">
      <c r="A4337" t="inlineStr">
        <is>
          <t>附表7!T19</t>
        </is>
      </c>
      <c r="B4337" t="inlineStr">
        <is>
          <t>附表7!F40</t>
        </is>
      </c>
      <c r="C4337" t="inlineStr">
        <is>
          <t>excel_formula</t>
        </is>
      </c>
    </row>
    <row r="4338">
      <c r="A4338" t="inlineStr">
        <is>
          <t>附表7!U19</t>
        </is>
      </c>
      <c r="B4338" t="inlineStr">
        <is>
          <t>附表7!F41</t>
        </is>
      </c>
      <c r="C4338" t="inlineStr">
        <is>
          <t>excel_formula</t>
        </is>
      </c>
    </row>
    <row r="4339">
      <c r="A4339" t="inlineStr">
        <is>
          <t>附表7!V19</t>
        </is>
      </c>
      <c r="B4339" t="inlineStr">
        <is>
          <t>附表7!F42</t>
        </is>
      </c>
      <c r="C4339" t="inlineStr">
        <is>
          <t>excel_formula</t>
        </is>
      </c>
    </row>
    <row r="4340">
      <c r="A4340" t="inlineStr">
        <is>
          <t>附表7!W19</t>
        </is>
      </c>
      <c r="B4340" t="inlineStr">
        <is>
          <t>附表7!F43</t>
        </is>
      </c>
      <c r="C4340" t="inlineStr">
        <is>
          <t>excel_formula</t>
        </is>
      </c>
    </row>
    <row r="4341">
      <c r="A4341" t="inlineStr">
        <is>
          <t>附表7!X19</t>
        </is>
      </c>
      <c r="B4341" t="inlineStr">
        <is>
          <t>附表7!F44</t>
        </is>
      </c>
      <c r="C4341" t="inlineStr">
        <is>
          <t>excel_formula</t>
        </is>
      </c>
    </row>
    <row r="4342">
      <c r="A4342" t="inlineStr">
        <is>
          <t>附表7!Y19</t>
        </is>
      </c>
      <c r="B4342" t="inlineStr">
        <is>
          <t>附表7!F45</t>
        </is>
      </c>
      <c r="C4342" t="inlineStr">
        <is>
          <t>excel_formula</t>
        </is>
      </c>
    </row>
    <row r="4343">
      <c r="A4343" t="inlineStr">
        <is>
          <t>附表7!Z19</t>
        </is>
      </c>
      <c r="B4343" t="inlineStr">
        <is>
          <t>附表7!F46</t>
        </is>
      </c>
      <c r="C4343" t="inlineStr">
        <is>
          <t>excel_formula</t>
        </is>
      </c>
    </row>
    <row r="4344">
      <c r="A4344" t="inlineStr">
        <is>
          <t>附表7!AA19</t>
        </is>
      </c>
      <c r="B4344" t="inlineStr">
        <is>
          <t>附表7!F47</t>
        </is>
      </c>
      <c r="C4344" t="inlineStr">
        <is>
          <t>excel_formula</t>
        </is>
      </c>
    </row>
    <row r="4345">
      <c r="A4345" t="inlineStr">
        <is>
          <t>附表7!D20</t>
        </is>
      </c>
      <c r="B4345" t="inlineStr">
        <is>
          <t>附表7!G24</t>
        </is>
      </c>
      <c r="C4345" t="inlineStr">
        <is>
          <t>excel_formula</t>
        </is>
      </c>
    </row>
    <row r="4346">
      <c r="A4346" t="inlineStr">
        <is>
          <t>附表7!E20</t>
        </is>
      </c>
      <c r="B4346" t="inlineStr">
        <is>
          <t>附表7!G25</t>
        </is>
      </c>
      <c r="C4346" t="inlineStr">
        <is>
          <t>excel_formula</t>
        </is>
      </c>
    </row>
    <row r="4347">
      <c r="A4347" t="inlineStr">
        <is>
          <t>附表7!F20</t>
        </is>
      </c>
      <c r="B4347" t="inlineStr">
        <is>
          <t>附表7!G26</t>
        </is>
      </c>
      <c r="C4347" t="inlineStr">
        <is>
          <t>excel_formula</t>
        </is>
      </c>
    </row>
    <row r="4348">
      <c r="A4348" t="inlineStr">
        <is>
          <t>附表7!G20</t>
        </is>
      </c>
      <c r="B4348" t="inlineStr">
        <is>
          <t>附表7!G27</t>
        </is>
      </c>
      <c r="C4348" t="inlineStr">
        <is>
          <t>excel_formula</t>
        </is>
      </c>
    </row>
    <row r="4349">
      <c r="A4349" t="inlineStr">
        <is>
          <t>附表7!H20</t>
        </is>
      </c>
      <c r="B4349" t="inlineStr">
        <is>
          <t>附表7!G28</t>
        </is>
      </c>
      <c r="C4349" t="inlineStr">
        <is>
          <t>excel_formula</t>
        </is>
      </c>
    </row>
    <row r="4350">
      <c r="A4350" t="inlineStr">
        <is>
          <t>附表7!I20</t>
        </is>
      </c>
      <c r="B4350" t="inlineStr">
        <is>
          <t>附表7!G29</t>
        </is>
      </c>
      <c r="C4350" t="inlineStr">
        <is>
          <t>excel_formula</t>
        </is>
      </c>
    </row>
    <row r="4351">
      <c r="A4351" t="inlineStr">
        <is>
          <t>附表7!J20</t>
        </is>
      </c>
      <c r="B4351" t="inlineStr">
        <is>
          <t>附表7!G30</t>
        </is>
      </c>
      <c r="C4351" t="inlineStr">
        <is>
          <t>excel_formula</t>
        </is>
      </c>
    </row>
    <row r="4352">
      <c r="A4352" t="inlineStr">
        <is>
          <t>附表7!K20</t>
        </is>
      </c>
      <c r="B4352" t="inlineStr">
        <is>
          <t>附表7!G31</t>
        </is>
      </c>
      <c r="C4352" t="inlineStr">
        <is>
          <t>excel_formula</t>
        </is>
      </c>
    </row>
    <row r="4353">
      <c r="A4353" t="inlineStr">
        <is>
          <t>附表7!L20</t>
        </is>
      </c>
      <c r="B4353" t="inlineStr">
        <is>
          <t>附表7!G32</t>
        </is>
      </c>
      <c r="C4353" t="inlineStr">
        <is>
          <t>excel_formula</t>
        </is>
      </c>
    </row>
    <row r="4354">
      <c r="A4354" t="inlineStr">
        <is>
          <t>附表7!M20</t>
        </is>
      </c>
      <c r="B4354" t="inlineStr">
        <is>
          <t>附表7!G33</t>
        </is>
      </c>
      <c r="C4354" t="inlineStr">
        <is>
          <t>excel_formula</t>
        </is>
      </c>
    </row>
    <row r="4355">
      <c r="A4355" t="inlineStr">
        <is>
          <t>附表7!N20</t>
        </is>
      </c>
      <c r="B4355" t="inlineStr">
        <is>
          <t>附表7!G34</t>
        </is>
      </c>
      <c r="C4355" t="inlineStr">
        <is>
          <t>excel_formula</t>
        </is>
      </c>
    </row>
    <row r="4356">
      <c r="A4356" t="inlineStr">
        <is>
          <t>附表7!O20</t>
        </is>
      </c>
      <c r="B4356" t="inlineStr">
        <is>
          <t>附表7!G35</t>
        </is>
      </c>
      <c r="C4356" t="inlineStr">
        <is>
          <t>excel_formula</t>
        </is>
      </c>
    </row>
    <row r="4357">
      <c r="A4357" t="inlineStr">
        <is>
          <t>附表7!P20</t>
        </is>
      </c>
      <c r="B4357" t="inlineStr">
        <is>
          <t>附表7!G36</t>
        </is>
      </c>
      <c r="C4357" t="inlineStr">
        <is>
          <t>excel_formula</t>
        </is>
      </c>
    </row>
    <row r="4358">
      <c r="A4358" t="inlineStr">
        <is>
          <t>附表7!Q20</t>
        </is>
      </c>
      <c r="B4358" t="inlineStr">
        <is>
          <t>附表7!G37</t>
        </is>
      </c>
      <c r="C4358" t="inlineStr">
        <is>
          <t>excel_formula</t>
        </is>
      </c>
    </row>
    <row r="4359">
      <c r="A4359" t="inlineStr">
        <is>
          <t>附表7!R20</t>
        </is>
      </c>
      <c r="B4359" t="inlineStr">
        <is>
          <t>附表7!G38</t>
        </is>
      </c>
      <c r="C4359" t="inlineStr">
        <is>
          <t>excel_formula</t>
        </is>
      </c>
    </row>
    <row r="4360">
      <c r="A4360" t="inlineStr">
        <is>
          <t>附表7!S20</t>
        </is>
      </c>
      <c r="B4360" t="inlineStr">
        <is>
          <t>附表7!G39</t>
        </is>
      </c>
      <c r="C4360" t="inlineStr">
        <is>
          <t>excel_formula</t>
        </is>
      </c>
    </row>
    <row r="4361">
      <c r="A4361" t="inlineStr">
        <is>
          <t>附表7!T20</t>
        </is>
      </c>
      <c r="B4361" t="inlineStr">
        <is>
          <t>附表7!G40</t>
        </is>
      </c>
      <c r="C4361" t="inlineStr">
        <is>
          <t>excel_formula</t>
        </is>
      </c>
    </row>
    <row r="4362">
      <c r="A4362" t="inlineStr">
        <is>
          <t>附表7!U20</t>
        </is>
      </c>
      <c r="B4362" t="inlineStr">
        <is>
          <t>附表7!G41</t>
        </is>
      </c>
      <c r="C4362" t="inlineStr">
        <is>
          <t>excel_formula</t>
        </is>
      </c>
    </row>
    <row r="4363">
      <c r="A4363" t="inlineStr">
        <is>
          <t>附表7!V20</t>
        </is>
      </c>
      <c r="B4363" t="inlineStr">
        <is>
          <t>附表7!G42</t>
        </is>
      </c>
      <c r="C4363" t="inlineStr">
        <is>
          <t>excel_formula</t>
        </is>
      </c>
    </row>
    <row r="4364">
      <c r="A4364" t="inlineStr">
        <is>
          <t>附表7!W20</t>
        </is>
      </c>
      <c r="B4364" t="inlineStr">
        <is>
          <t>附表7!G43</t>
        </is>
      </c>
      <c r="C4364" t="inlineStr">
        <is>
          <t>excel_formula</t>
        </is>
      </c>
    </row>
    <row r="4365">
      <c r="A4365" t="inlineStr">
        <is>
          <t>附表7!X20</t>
        </is>
      </c>
      <c r="B4365" t="inlineStr">
        <is>
          <t>附表7!G44</t>
        </is>
      </c>
      <c r="C4365" t="inlineStr">
        <is>
          <t>excel_formula</t>
        </is>
      </c>
    </row>
    <row r="4366">
      <c r="A4366" t="inlineStr">
        <is>
          <t>附表7!Y20</t>
        </is>
      </c>
      <c r="B4366" t="inlineStr">
        <is>
          <t>附表7!G45</t>
        </is>
      </c>
      <c r="C4366" t="inlineStr">
        <is>
          <t>excel_formula</t>
        </is>
      </c>
    </row>
    <row r="4367">
      <c r="A4367" t="inlineStr">
        <is>
          <t>附表7!Z20</t>
        </is>
      </c>
      <c r="B4367" t="inlineStr">
        <is>
          <t>附表7!G46</t>
        </is>
      </c>
      <c r="C4367" t="inlineStr">
        <is>
          <t>excel_formula</t>
        </is>
      </c>
    </row>
    <row r="4368">
      <c r="A4368" t="inlineStr">
        <is>
          <t>附表7!AA20</t>
        </is>
      </c>
      <c r="B4368" t="inlineStr">
        <is>
          <t>附表7!G47</t>
        </is>
      </c>
      <c r="C4368" t="inlineStr">
        <is>
          <t>excel_formula</t>
        </is>
      </c>
    </row>
    <row r="4369">
      <c r="A4369" t="inlineStr">
        <is>
          <t>附表8!D4</t>
        </is>
      </c>
      <c r="B4369" t="inlineStr">
        <is>
          <t>附表8!B24</t>
        </is>
      </c>
      <c r="C4369" t="inlineStr">
        <is>
          <t>excel_formula</t>
        </is>
      </c>
    </row>
    <row r="4370">
      <c r="A4370" t="inlineStr">
        <is>
          <t>附表8!E4</t>
        </is>
      </c>
      <c r="B4370" t="inlineStr">
        <is>
          <t>附表8!B25</t>
        </is>
      </c>
      <c r="C4370" t="inlineStr">
        <is>
          <t>excel_formula</t>
        </is>
      </c>
    </row>
    <row r="4371">
      <c r="A4371" t="inlineStr">
        <is>
          <t>附表8!F4</t>
        </is>
      </c>
      <c r="B4371" t="inlineStr">
        <is>
          <t>附表8!B26</t>
        </is>
      </c>
      <c r="C4371" t="inlineStr">
        <is>
          <t>excel_formula</t>
        </is>
      </c>
    </row>
    <row r="4372">
      <c r="A4372" t="inlineStr">
        <is>
          <t>附表8!G4</t>
        </is>
      </c>
      <c r="B4372" t="inlineStr">
        <is>
          <t>附表8!B27</t>
        </is>
      </c>
      <c r="C4372" t="inlineStr">
        <is>
          <t>excel_formula</t>
        </is>
      </c>
    </row>
    <row r="4373">
      <c r="A4373" t="inlineStr">
        <is>
          <t>附表8!H4</t>
        </is>
      </c>
      <c r="B4373" t="inlineStr">
        <is>
          <t>附表8!B28</t>
        </is>
      </c>
      <c r="C4373" t="inlineStr">
        <is>
          <t>excel_formula</t>
        </is>
      </c>
    </row>
    <row r="4374">
      <c r="A4374" t="inlineStr">
        <is>
          <t>附表8!I4</t>
        </is>
      </c>
      <c r="B4374" t="inlineStr">
        <is>
          <t>附表8!B29</t>
        </is>
      </c>
      <c r="C4374" t="inlineStr">
        <is>
          <t>excel_formula</t>
        </is>
      </c>
    </row>
    <row r="4375">
      <c r="A4375" t="inlineStr">
        <is>
          <t>附表8!J4</t>
        </is>
      </c>
      <c r="B4375" t="inlineStr">
        <is>
          <t>附表8!B30</t>
        </is>
      </c>
      <c r="C4375" t="inlineStr">
        <is>
          <t>excel_formula</t>
        </is>
      </c>
    </row>
    <row r="4376">
      <c r="A4376" t="inlineStr">
        <is>
          <t>附表8!K4</t>
        </is>
      </c>
      <c r="B4376" t="inlineStr">
        <is>
          <t>附表8!B31</t>
        </is>
      </c>
      <c r="C4376" t="inlineStr">
        <is>
          <t>excel_formula</t>
        </is>
      </c>
    </row>
    <row r="4377">
      <c r="A4377" t="inlineStr">
        <is>
          <t>附表8!L4</t>
        </is>
      </c>
      <c r="B4377" t="inlineStr">
        <is>
          <t>附表8!B32</t>
        </is>
      </c>
      <c r="C4377" t="inlineStr">
        <is>
          <t>excel_formula</t>
        </is>
      </c>
    </row>
    <row r="4378">
      <c r="A4378" t="inlineStr">
        <is>
          <t>附表8!M4</t>
        </is>
      </c>
      <c r="B4378" t="inlineStr">
        <is>
          <t>附表8!B33</t>
        </is>
      </c>
      <c r="C4378" t="inlineStr">
        <is>
          <t>excel_formula</t>
        </is>
      </c>
    </row>
    <row r="4379">
      <c r="A4379" t="inlineStr">
        <is>
          <t>附表8!N4</t>
        </is>
      </c>
      <c r="B4379" t="inlineStr">
        <is>
          <t>附表8!B34</t>
        </is>
      </c>
      <c r="C4379" t="inlineStr">
        <is>
          <t>excel_formula</t>
        </is>
      </c>
    </row>
    <row r="4380">
      <c r="A4380" t="inlineStr">
        <is>
          <t>附表8!O4</t>
        </is>
      </c>
      <c r="B4380" t="inlineStr">
        <is>
          <t>附表8!B35</t>
        </is>
      </c>
      <c r="C4380" t="inlineStr">
        <is>
          <t>excel_formula</t>
        </is>
      </c>
    </row>
    <row r="4381">
      <c r="A4381" t="inlineStr">
        <is>
          <t>附表8!P4</t>
        </is>
      </c>
      <c r="B4381" t="inlineStr">
        <is>
          <t>附表8!B36</t>
        </is>
      </c>
      <c r="C4381" t="inlineStr">
        <is>
          <t>excel_formula</t>
        </is>
      </c>
    </row>
    <row r="4382">
      <c r="A4382" t="inlineStr">
        <is>
          <t>附表8!Q4</t>
        </is>
      </c>
      <c r="B4382" t="inlineStr">
        <is>
          <t>附表8!B37</t>
        </is>
      </c>
      <c r="C4382" t="inlineStr">
        <is>
          <t>excel_formula</t>
        </is>
      </c>
    </row>
    <row r="4383">
      <c r="A4383" t="inlineStr">
        <is>
          <t>附表8!R4</t>
        </is>
      </c>
      <c r="B4383" t="inlineStr">
        <is>
          <t>附表8!B38</t>
        </is>
      </c>
      <c r="C4383" t="inlineStr">
        <is>
          <t>excel_formula</t>
        </is>
      </c>
    </row>
    <row r="4384">
      <c r="A4384" t="inlineStr">
        <is>
          <t>附表8!S4</t>
        </is>
      </c>
      <c r="B4384" t="inlineStr">
        <is>
          <t>附表8!B39</t>
        </is>
      </c>
      <c r="C4384" t="inlineStr">
        <is>
          <t>excel_formula</t>
        </is>
      </c>
    </row>
    <row r="4385">
      <c r="A4385" t="inlineStr">
        <is>
          <t>附表8!T4</t>
        </is>
      </c>
      <c r="B4385" t="inlineStr">
        <is>
          <t>附表8!B40</t>
        </is>
      </c>
      <c r="C4385" t="inlineStr">
        <is>
          <t>excel_formula</t>
        </is>
      </c>
    </row>
    <row r="4386">
      <c r="A4386" t="inlineStr">
        <is>
          <t>附表8!U4</t>
        </is>
      </c>
      <c r="B4386" t="inlineStr">
        <is>
          <t>附表8!B41</t>
        </is>
      </c>
      <c r="C4386" t="inlineStr">
        <is>
          <t>excel_formula</t>
        </is>
      </c>
    </row>
    <row r="4387">
      <c r="A4387" t="inlineStr">
        <is>
          <t>附表8!V4</t>
        </is>
      </c>
      <c r="B4387" t="inlineStr">
        <is>
          <t>附表8!B42</t>
        </is>
      </c>
      <c r="C4387" t="inlineStr">
        <is>
          <t>excel_formula</t>
        </is>
      </c>
    </row>
    <row r="4388">
      <c r="A4388" t="inlineStr">
        <is>
          <t>附表8!W4</t>
        </is>
      </c>
      <c r="B4388" t="inlineStr">
        <is>
          <t>附表8!B43</t>
        </is>
      </c>
      <c r="C4388" t="inlineStr">
        <is>
          <t>excel_formula</t>
        </is>
      </c>
    </row>
    <row r="4389">
      <c r="A4389" t="inlineStr">
        <is>
          <t>附表8!X4</t>
        </is>
      </c>
      <c r="B4389" t="inlineStr">
        <is>
          <t>附表8!B44</t>
        </is>
      </c>
      <c r="C4389" t="inlineStr">
        <is>
          <t>excel_formula</t>
        </is>
      </c>
    </row>
    <row r="4390">
      <c r="A4390" t="inlineStr">
        <is>
          <t>附表8!Y4</t>
        </is>
      </c>
      <c r="B4390" t="inlineStr">
        <is>
          <t>附表8!B45</t>
        </is>
      </c>
      <c r="C4390" t="inlineStr">
        <is>
          <t>excel_formula</t>
        </is>
      </c>
    </row>
    <row r="4391">
      <c r="A4391" t="inlineStr">
        <is>
          <t>附表8!Z4</t>
        </is>
      </c>
      <c r="B4391" t="inlineStr">
        <is>
          <t>附表8!B46</t>
        </is>
      </c>
      <c r="C4391" t="inlineStr">
        <is>
          <t>excel_formula</t>
        </is>
      </c>
    </row>
    <row r="4392">
      <c r="A4392" t="inlineStr">
        <is>
          <t>附表8!AA4</t>
        </is>
      </c>
      <c r="B4392" t="inlineStr">
        <is>
          <t>附表8!B47</t>
        </is>
      </c>
      <c r="C4392" t="inlineStr">
        <is>
          <t>excel_formula</t>
        </is>
      </c>
    </row>
    <row r="4393">
      <c r="A4393" t="inlineStr">
        <is>
          <t>附表8!D5</t>
        </is>
      </c>
      <c r="B4393" t="inlineStr">
        <is>
          <t>附表8!C24</t>
        </is>
      </c>
      <c r="C4393" t="inlineStr">
        <is>
          <t>excel_formula</t>
        </is>
      </c>
    </row>
    <row r="4394">
      <c r="A4394" t="inlineStr">
        <is>
          <t>附表8!E5</t>
        </is>
      </c>
      <c r="B4394" t="inlineStr">
        <is>
          <t>附表8!C25</t>
        </is>
      </c>
      <c r="C4394" t="inlineStr">
        <is>
          <t>excel_formula</t>
        </is>
      </c>
    </row>
    <row r="4395">
      <c r="A4395" t="inlineStr">
        <is>
          <t>附表8!F5</t>
        </is>
      </c>
      <c r="B4395" t="inlineStr">
        <is>
          <t>附表8!C26</t>
        </is>
      </c>
      <c r="C4395" t="inlineStr">
        <is>
          <t>excel_formula</t>
        </is>
      </c>
    </row>
    <row r="4396">
      <c r="A4396" t="inlineStr">
        <is>
          <t>附表8!G5</t>
        </is>
      </c>
      <c r="B4396" t="inlineStr">
        <is>
          <t>附表8!C27</t>
        </is>
      </c>
      <c r="C4396" t="inlineStr">
        <is>
          <t>excel_formula</t>
        </is>
      </c>
    </row>
    <row r="4397">
      <c r="A4397" t="inlineStr">
        <is>
          <t>附表8!H5</t>
        </is>
      </c>
      <c r="B4397" t="inlineStr">
        <is>
          <t>附表8!C28</t>
        </is>
      </c>
      <c r="C4397" t="inlineStr">
        <is>
          <t>excel_formula</t>
        </is>
      </c>
    </row>
    <row r="4398">
      <c r="A4398" t="inlineStr">
        <is>
          <t>附表8!I5</t>
        </is>
      </c>
      <c r="B4398" t="inlineStr">
        <is>
          <t>附表8!C29</t>
        </is>
      </c>
      <c r="C4398" t="inlineStr">
        <is>
          <t>excel_formula</t>
        </is>
      </c>
    </row>
    <row r="4399">
      <c r="A4399" t="inlineStr">
        <is>
          <t>附表8!J5</t>
        </is>
      </c>
      <c r="B4399" t="inlineStr">
        <is>
          <t>附表8!C30</t>
        </is>
      </c>
      <c r="C4399" t="inlineStr">
        <is>
          <t>excel_formula</t>
        </is>
      </c>
    </row>
    <row r="4400">
      <c r="A4400" t="inlineStr">
        <is>
          <t>附表8!K5</t>
        </is>
      </c>
      <c r="B4400" t="inlineStr">
        <is>
          <t>附表8!C31</t>
        </is>
      </c>
      <c r="C4400" t="inlineStr">
        <is>
          <t>excel_formula</t>
        </is>
      </c>
    </row>
    <row r="4401">
      <c r="A4401" t="inlineStr">
        <is>
          <t>附表8!L5</t>
        </is>
      </c>
      <c r="B4401" t="inlineStr">
        <is>
          <t>附表8!C32</t>
        </is>
      </c>
      <c r="C4401" t="inlineStr">
        <is>
          <t>excel_formula</t>
        </is>
      </c>
    </row>
    <row r="4402">
      <c r="A4402" t="inlineStr">
        <is>
          <t>附表8!M5</t>
        </is>
      </c>
      <c r="B4402" t="inlineStr">
        <is>
          <t>附表8!C33</t>
        </is>
      </c>
      <c r="C4402" t="inlineStr">
        <is>
          <t>excel_formula</t>
        </is>
      </c>
    </row>
    <row r="4403">
      <c r="A4403" t="inlineStr">
        <is>
          <t>附表8!N5</t>
        </is>
      </c>
      <c r="B4403" t="inlineStr">
        <is>
          <t>附表8!C34</t>
        </is>
      </c>
      <c r="C4403" t="inlineStr">
        <is>
          <t>excel_formula</t>
        </is>
      </c>
    </row>
    <row r="4404">
      <c r="A4404" t="inlineStr">
        <is>
          <t>附表8!O5</t>
        </is>
      </c>
      <c r="B4404" t="inlineStr">
        <is>
          <t>附表8!C35</t>
        </is>
      </c>
      <c r="C4404" t="inlineStr">
        <is>
          <t>excel_formula</t>
        </is>
      </c>
    </row>
    <row r="4405">
      <c r="A4405" t="inlineStr">
        <is>
          <t>附表8!P5</t>
        </is>
      </c>
      <c r="B4405" t="inlineStr">
        <is>
          <t>附表8!C36</t>
        </is>
      </c>
      <c r="C4405" t="inlineStr">
        <is>
          <t>excel_formula</t>
        </is>
      </c>
    </row>
    <row r="4406">
      <c r="A4406" t="inlineStr">
        <is>
          <t>附表8!Q5</t>
        </is>
      </c>
      <c r="B4406" t="inlineStr">
        <is>
          <t>附表8!C37</t>
        </is>
      </c>
      <c r="C4406" t="inlineStr">
        <is>
          <t>excel_formula</t>
        </is>
      </c>
    </row>
    <row r="4407">
      <c r="A4407" t="inlineStr">
        <is>
          <t>附表8!R5</t>
        </is>
      </c>
      <c r="B4407" t="inlineStr">
        <is>
          <t>附表8!C38</t>
        </is>
      </c>
      <c r="C4407" t="inlineStr">
        <is>
          <t>excel_formula</t>
        </is>
      </c>
    </row>
    <row r="4408">
      <c r="A4408" t="inlineStr">
        <is>
          <t>附表8!S5</t>
        </is>
      </c>
      <c r="B4408" t="inlineStr">
        <is>
          <t>附表8!C39</t>
        </is>
      </c>
      <c r="C4408" t="inlineStr">
        <is>
          <t>excel_formula</t>
        </is>
      </c>
    </row>
    <row r="4409">
      <c r="A4409" t="inlineStr">
        <is>
          <t>附表8!T5</t>
        </is>
      </c>
      <c r="B4409" t="inlineStr">
        <is>
          <t>附表8!C40</t>
        </is>
      </c>
      <c r="C4409" t="inlineStr">
        <is>
          <t>excel_formula</t>
        </is>
      </c>
    </row>
    <row r="4410">
      <c r="A4410" t="inlineStr">
        <is>
          <t>附表8!U5</t>
        </is>
      </c>
      <c r="B4410" t="inlineStr">
        <is>
          <t>附表8!C41</t>
        </is>
      </c>
      <c r="C4410" t="inlineStr">
        <is>
          <t>excel_formula</t>
        </is>
      </c>
    </row>
    <row r="4411">
      <c r="A4411" t="inlineStr">
        <is>
          <t>附表8!V5</t>
        </is>
      </c>
      <c r="B4411" t="inlineStr">
        <is>
          <t>附表8!C42</t>
        </is>
      </c>
      <c r="C4411" t="inlineStr">
        <is>
          <t>excel_formula</t>
        </is>
      </c>
    </row>
    <row r="4412">
      <c r="A4412" t="inlineStr">
        <is>
          <t>附表8!W5</t>
        </is>
      </c>
      <c r="B4412" t="inlineStr">
        <is>
          <t>附表8!C43</t>
        </is>
      </c>
      <c r="C4412" t="inlineStr">
        <is>
          <t>excel_formula</t>
        </is>
      </c>
    </row>
    <row r="4413">
      <c r="A4413" t="inlineStr">
        <is>
          <t>附表8!X5</t>
        </is>
      </c>
      <c r="B4413" t="inlineStr">
        <is>
          <t>附表8!C44</t>
        </is>
      </c>
      <c r="C4413" t="inlineStr">
        <is>
          <t>excel_formula</t>
        </is>
      </c>
    </row>
    <row r="4414">
      <c r="A4414" t="inlineStr">
        <is>
          <t>附表8!Y5</t>
        </is>
      </c>
      <c r="B4414" t="inlineStr">
        <is>
          <t>附表8!C45</t>
        </is>
      </c>
      <c r="C4414" t="inlineStr">
        <is>
          <t>excel_formula</t>
        </is>
      </c>
    </row>
    <row r="4415">
      <c r="A4415" t="inlineStr">
        <is>
          <t>附表8!Z5</t>
        </is>
      </c>
      <c r="B4415" t="inlineStr">
        <is>
          <t>附表8!C46</t>
        </is>
      </c>
      <c r="C4415" t="inlineStr">
        <is>
          <t>excel_formula</t>
        </is>
      </c>
    </row>
    <row r="4416">
      <c r="A4416" t="inlineStr">
        <is>
          <t>附表8!AA5</t>
        </is>
      </c>
      <c r="B4416" t="inlineStr">
        <is>
          <t>附表8!C47</t>
        </is>
      </c>
      <c r="C4416" t="inlineStr">
        <is>
          <t>excel_formula</t>
        </is>
      </c>
    </row>
    <row r="4417">
      <c r="A4417" t="inlineStr">
        <is>
          <t>附表8!D6</t>
        </is>
      </c>
      <c r="B4417" t="inlineStr">
        <is>
          <t>附表8!G24</t>
        </is>
      </c>
      <c r="C4417" t="inlineStr">
        <is>
          <t>excel_formula</t>
        </is>
      </c>
    </row>
    <row r="4418">
      <c r="A4418" t="inlineStr">
        <is>
          <t>附表8!E6</t>
        </is>
      </c>
      <c r="B4418" t="inlineStr">
        <is>
          <t>附表8!G25</t>
        </is>
      </c>
      <c r="C4418" t="inlineStr">
        <is>
          <t>excel_formula</t>
        </is>
      </c>
    </row>
    <row r="4419">
      <c r="A4419" t="inlineStr">
        <is>
          <t>附表8!F6</t>
        </is>
      </c>
      <c r="B4419" t="inlineStr">
        <is>
          <t>附表8!G26</t>
        </is>
      </c>
      <c r="C4419" t="inlineStr">
        <is>
          <t>excel_formula</t>
        </is>
      </c>
    </row>
    <row r="4420">
      <c r="A4420" t="inlineStr">
        <is>
          <t>附表8!G6</t>
        </is>
      </c>
      <c r="B4420" t="inlineStr">
        <is>
          <t>附表8!G27</t>
        </is>
      </c>
      <c r="C4420" t="inlineStr">
        <is>
          <t>excel_formula</t>
        </is>
      </c>
    </row>
    <row r="4421">
      <c r="A4421" t="inlineStr">
        <is>
          <t>附表8!H6</t>
        </is>
      </c>
      <c r="B4421" t="inlineStr">
        <is>
          <t>附表8!G28</t>
        </is>
      </c>
      <c r="C4421" t="inlineStr">
        <is>
          <t>excel_formula</t>
        </is>
      </c>
    </row>
    <row r="4422">
      <c r="A4422" t="inlineStr">
        <is>
          <t>附表8!I6</t>
        </is>
      </c>
      <c r="B4422" t="inlineStr">
        <is>
          <t>附表8!G29</t>
        </is>
      </c>
      <c r="C4422" t="inlineStr">
        <is>
          <t>excel_formula</t>
        </is>
      </c>
    </row>
    <row r="4423">
      <c r="A4423" t="inlineStr">
        <is>
          <t>附表8!J6</t>
        </is>
      </c>
      <c r="B4423" t="inlineStr">
        <is>
          <t>附表8!G30</t>
        </is>
      </c>
      <c r="C4423" t="inlineStr">
        <is>
          <t>excel_formula</t>
        </is>
      </c>
    </row>
    <row r="4424">
      <c r="A4424" t="inlineStr">
        <is>
          <t>附表8!K6</t>
        </is>
      </c>
      <c r="B4424" t="inlineStr">
        <is>
          <t>附表8!G31</t>
        </is>
      </c>
      <c r="C4424" t="inlineStr">
        <is>
          <t>excel_formula</t>
        </is>
      </c>
    </row>
    <row r="4425">
      <c r="A4425" t="inlineStr">
        <is>
          <t>附表8!L6</t>
        </is>
      </c>
      <c r="B4425" t="inlineStr">
        <is>
          <t>附表8!G32</t>
        </is>
      </c>
      <c r="C4425" t="inlineStr">
        <is>
          <t>excel_formula</t>
        </is>
      </c>
    </row>
    <row r="4426">
      <c r="A4426" t="inlineStr">
        <is>
          <t>附表8!M6</t>
        </is>
      </c>
      <c r="B4426" t="inlineStr">
        <is>
          <t>附表8!G33</t>
        </is>
      </c>
      <c r="C4426" t="inlineStr">
        <is>
          <t>excel_formula</t>
        </is>
      </c>
    </row>
    <row r="4427">
      <c r="A4427" t="inlineStr">
        <is>
          <t>附表8!N6</t>
        </is>
      </c>
      <c r="B4427" t="inlineStr">
        <is>
          <t>附表8!G34</t>
        </is>
      </c>
      <c r="C4427" t="inlineStr">
        <is>
          <t>excel_formula</t>
        </is>
      </c>
    </row>
    <row r="4428">
      <c r="A4428" t="inlineStr">
        <is>
          <t>附表8!O6</t>
        </is>
      </c>
      <c r="B4428" t="inlineStr">
        <is>
          <t>附表8!G35</t>
        </is>
      </c>
      <c r="C4428" t="inlineStr">
        <is>
          <t>excel_formula</t>
        </is>
      </c>
    </row>
    <row r="4429">
      <c r="A4429" t="inlineStr">
        <is>
          <t>附表8!P6</t>
        </is>
      </c>
      <c r="B4429" t="inlineStr">
        <is>
          <t>附表8!G36</t>
        </is>
      </c>
      <c r="C4429" t="inlineStr">
        <is>
          <t>excel_formula</t>
        </is>
      </c>
    </row>
    <row r="4430">
      <c r="A4430" t="inlineStr">
        <is>
          <t>附表8!Q6</t>
        </is>
      </c>
      <c r="B4430" t="inlineStr">
        <is>
          <t>附表8!G37</t>
        </is>
      </c>
      <c r="C4430" t="inlineStr">
        <is>
          <t>excel_formula</t>
        </is>
      </c>
    </row>
    <row r="4431">
      <c r="A4431" t="inlineStr">
        <is>
          <t>附表8!R6</t>
        </is>
      </c>
      <c r="B4431" t="inlineStr">
        <is>
          <t>附表8!G38</t>
        </is>
      </c>
      <c r="C4431" t="inlineStr">
        <is>
          <t>excel_formula</t>
        </is>
      </c>
    </row>
    <row r="4432">
      <c r="A4432" t="inlineStr">
        <is>
          <t>附表8!S6</t>
        </is>
      </c>
      <c r="B4432" t="inlineStr">
        <is>
          <t>附表8!G39</t>
        </is>
      </c>
      <c r="C4432" t="inlineStr">
        <is>
          <t>excel_formula</t>
        </is>
      </c>
    </row>
    <row r="4433">
      <c r="A4433" t="inlineStr">
        <is>
          <t>附表8!T6</t>
        </is>
      </c>
      <c r="B4433" t="inlineStr">
        <is>
          <t>附表8!G40</t>
        </is>
      </c>
      <c r="C4433" t="inlineStr">
        <is>
          <t>excel_formula</t>
        </is>
      </c>
    </row>
    <row r="4434">
      <c r="A4434" t="inlineStr">
        <is>
          <t>附表8!U6</t>
        </is>
      </c>
      <c r="B4434" t="inlineStr">
        <is>
          <t>附表8!G41</t>
        </is>
      </c>
      <c r="C4434" t="inlineStr">
        <is>
          <t>excel_formula</t>
        </is>
      </c>
    </row>
    <row r="4435">
      <c r="A4435" t="inlineStr">
        <is>
          <t>附表8!V6</t>
        </is>
      </c>
      <c r="B4435" t="inlineStr">
        <is>
          <t>附表8!G42</t>
        </is>
      </c>
      <c r="C4435" t="inlineStr">
        <is>
          <t>excel_formula</t>
        </is>
      </c>
    </row>
    <row r="4436">
      <c r="A4436" t="inlineStr">
        <is>
          <t>附表8!W6</t>
        </is>
      </c>
      <c r="B4436" t="inlineStr">
        <is>
          <t>附表8!G43</t>
        </is>
      </c>
      <c r="C4436" t="inlineStr">
        <is>
          <t>excel_formula</t>
        </is>
      </c>
    </row>
    <row r="4437">
      <c r="A4437" t="inlineStr">
        <is>
          <t>附表8!X6</t>
        </is>
      </c>
      <c r="B4437" t="inlineStr">
        <is>
          <t>附表8!G44</t>
        </is>
      </c>
      <c r="C4437" t="inlineStr">
        <is>
          <t>excel_formula</t>
        </is>
      </c>
    </row>
    <row r="4438">
      <c r="A4438" t="inlineStr">
        <is>
          <t>附表8!Y6</t>
        </is>
      </c>
      <c r="B4438" t="inlineStr">
        <is>
          <t>附表8!G45</t>
        </is>
      </c>
      <c r="C4438" t="inlineStr">
        <is>
          <t>excel_formula</t>
        </is>
      </c>
    </row>
    <row r="4439">
      <c r="A4439" t="inlineStr">
        <is>
          <t>附表8!Z6</t>
        </is>
      </c>
      <c r="B4439" t="inlineStr">
        <is>
          <t>附表8!G46</t>
        </is>
      </c>
      <c r="C4439" t="inlineStr">
        <is>
          <t>excel_formula</t>
        </is>
      </c>
    </row>
    <row r="4440">
      <c r="A4440" t="inlineStr">
        <is>
          <t>附表8!AA6</t>
        </is>
      </c>
      <c r="B4440" t="inlineStr">
        <is>
          <t>附表8!G47</t>
        </is>
      </c>
      <c r="C4440" t="inlineStr">
        <is>
          <t>excel_formula</t>
        </is>
      </c>
    </row>
    <row r="4441">
      <c r="A4441" t="inlineStr">
        <is>
          <t>附表8!D7</t>
        </is>
      </c>
      <c r="B4441" t="inlineStr">
        <is>
          <t>附表8!E24</t>
        </is>
      </c>
      <c r="C4441" t="inlineStr">
        <is>
          <t>excel_formula</t>
        </is>
      </c>
    </row>
    <row r="4442">
      <c r="A4442" t="inlineStr">
        <is>
          <t>附表8!E7</t>
        </is>
      </c>
      <c r="B4442" t="inlineStr">
        <is>
          <t>附表8!E25</t>
        </is>
      </c>
      <c r="C4442" t="inlineStr">
        <is>
          <t>excel_formula</t>
        </is>
      </c>
    </row>
    <row r="4443">
      <c r="A4443" t="inlineStr">
        <is>
          <t>附表8!F7</t>
        </is>
      </c>
      <c r="B4443" t="inlineStr">
        <is>
          <t>附表8!E26</t>
        </is>
      </c>
      <c r="C4443" t="inlineStr">
        <is>
          <t>excel_formula</t>
        </is>
      </c>
    </row>
    <row r="4444">
      <c r="A4444" t="inlineStr">
        <is>
          <t>附表8!G7</t>
        </is>
      </c>
      <c r="B4444" t="inlineStr">
        <is>
          <t>附表8!E27</t>
        </is>
      </c>
      <c r="C4444" t="inlineStr">
        <is>
          <t>excel_formula</t>
        </is>
      </c>
    </row>
    <row r="4445">
      <c r="A4445" t="inlineStr">
        <is>
          <t>附表8!H7</t>
        </is>
      </c>
      <c r="B4445" t="inlineStr">
        <is>
          <t>附表8!E28</t>
        </is>
      </c>
      <c r="C4445" t="inlineStr">
        <is>
          <t>excel_formula</t>
        </is>
      </c>
    </row>
    <row r="4446">
      <c r="A4446" t="inlineStr">
        <is>
          <t>附表8!I7</t>
        </is>
      </c>
      <c r="B4446" t="inlineStr">
        <is>
          <t>附表8!E29</t>
        </is>
      </c>
      <c r="C4446" t="inlineStr">
        <is>
          <t>excel_formula</t>
        </is>
      </c>
    </row>
    <row r="4447">
      <c r="A4447" t="inlineStr">
        <is>
          <t>附表8!J7</t>
        </is>
      </c>
      <c r="B4447" t="inlineStr">
        <is>
          <t>附表8!E30</t>
        </is>
      </c>
      <c r="C4447" t="inlineStr">
        <is>
          <t>excel_formula</t>
        </is>
      </c>
    </row>
    <row r="4448">
      <c r="A4448" t="inlineStr">
        <is>
          <t>附表8!K7</t>
        </is>
      </c>
      <c r="B4448" t="inlineStr">
        <is>
          <t>附表8!E31</t>
        </is>
      </c>
      <c r="C4448" t="inlineStr">
        <is>
          <t>excel_formula</t>
        </is>
      </c>
    </row>
    <row r="4449">
      <c r="A4449" t="inlineStr">
        <is>
          <t>附表8!L7</t>
        </is>
      </c>
      <c r="B4449" t="inlineStr">
        <is>
          <t>附表8!E32</t>
        </is>
      </c>
      <c r="C4449" t="inlineStr">
        <is>
          <t>excel_formula</t>
        </is>
      </c>
    </row>
    <row r="4450">
      <c r="A4450" t="inlineStr">
        <is>
          <t>附表8!M7</t>
        </is>
      </c>
      <c r="B4450" t="inlineStr">
        <is>
          <t>附表8!E33</t>
        </is>
      </c>
      <c r="C4450" t="inlineStr">
        <is>
          <t>excel_formula</t>
        </is>
      </c>
    </row>
    <row r="4451">
      <c r="A4451" t="inlineStr">
        <is>
          <t>附表8!N7</t>
        </is>
      </c>
      <c r="B4451" t="inlineStr">
        <is>
          <t>附表8!E34</t>
        </is>
      </c>
      <c r="C4451" t="inlineStr">
        <is>
          <t>excel_formula</t>
        </is>
      </c>
    </row>
    <row r="4452">
      <c r="A4452" t="inlineStr">
        <is>
          <t>附表8!O7</t>
        </is>
      </c>
      <c r="B4452" t="inlineStr">
        <is>
          <t>附表8!E35</t>
        </is>
      </c>
      <c r="C4452" t="inlineStr">
        <is>
          <t>excel_formula</t>
        </is>
      </c>
    </row>
    <row r="4453">
      <c r="A4453" t="inlineStr">
        <is>
          <t>附表8!P7</t>
        </is>
      </c>
      <c r="B4453" t="inlineStr">
        <is>
          <t>附表8!E36</t>
        </is>
      </c>
      <c r="C4453" t="inlineStr">
        <is>
          <t>excel_formula</t>
        </is>
      </c>
    </row>
    <row r="4454">
      <c r="A4454" t="inlineStr">
        <is>
          <t>附表8!Q7</t>
        </is>
      </c>
      <c r="B4454" t="inlineStr">
        <is>
          <t>附表8!E37</t>
        </is>
      </c>
      <c r="C4454" t="inlineStr">
        <is>
          <t>excel_formula</t>
        </is>
      </c>
    </row>
    <row r="4455">
      <c r="A4455" t="inlineStr">
        <is>
          <t>附表8!R7</t>
        </is>
      </c>
      <c r="B4455" t="inlineStr">
        <is>
          <t>附表8!E38</t>
        </is>
      </c>
      <c r="C4455" t="inlineStr">
        <is>
          <t>excel_formula</t>
        </is>
      </c>
    </row>
    <row r="4456">
      <c r="A4456" t="inlineStr">
        <is>
          <t>附表8!S7</t>
        </is>
      </c>
      <c r="B4456" t="inlineStr">
        <is>
          <t>附表8!E39</t>
        </is>
      </c>
      <c r="C4456" t="inlineStr">
        <is>
          <t>excel_formula</t>
        </is>
      </c>
    </row>
    <row r="4457">
      <c r="A4457" t="inlineStr">
        <is>
          <t>附表8!T7</t>
        </is>
      </c>
      <c r="B4457" t="inlineStr">
        <is>
          <t>附表8!E40</t>
        </is>
      </c>
      <c r="C4457" t="inlineStr">
        <is>
          <t>excel_formula</t>
        </is>
      </c>
    </row>
    <row r="4458">
      <c r="A4458" t="inlineStr">
        <is>
          <t>附表8!U7</t>
        </is>
      </c>
      <c r="B4458" t="inlineStr">
        <is>
          <t>附表8!E41</t>
        </is>
      </c>
      <c r="C4458" t="inlineStr">
        <is>
          <t>excel_formula</t>
        </is>
      </c>
    </row>
    <row r="4459">
      <c r="A4459" t="inlineStr">
        <is>
          <t>附表8!V7</t>
        </is>
      </c>
      <c r="B4459" t="inlineStr">
        <is>
          <t>附表8!E42</t>
        </is>
      </c>
      <c r="C4459" t="inlineStr">
        <is>
          <t>excel_formula</t>
        </is>
      </c>
    </row>
    <row r="4460">
      <c r="A4460" t="inlineStr">
        <is>
          <t>附表8!W7</t>
        </is>
      </c>
      <c r="B4460" t="inlineStr">
        <is>
          <t>附表8!E43</t>
        </is>
      </c>
      <c r="C4460" t="inlineStr">
        <is>
          <t>excel_formula</t>
        </is>
      </c>
    </row>
    <row r="4461">
      <c r="A4461" t="inlineStr">
        <is>
          <t>附表8!X7</t>
        </is>
      </c>
      <c r="B4461" t="inlineStr">
        <is>
          <t>附表8!E44</t>
        </is>
      </c>
      <c r="C4461" t="inlineStr">
        <is>
          <t>excel_formula</t>
        </is>
      </c>
    </row>
    <row r="4462">
      <c r="A4462" t="inlineStr">
        <is>
          <t>附表8!Y7</t>
        </is>
      </c>
      <c r="B4462" t="inlineStr">
        <is>
          <t>附表8!E45</t>
        </is>
      </c>
      <c r="C4462" t="inlineStr">
        <is>
          <t>excel_formula</t>
        </is>
      </c>
    </row>
    <row r="4463">
      <c r="A4463" t="inlineStr">
        <is>
          <t>附表8!Z7</t>
        </is>
      </c>
      <c r="B4463" t="inlineStr">
        <is>
          <t>附表8!E46</t>
        </is>
      </c>
      <c r="C4463" t="inlineStr">
        <is>
          <t>excel_formula</t>
        </is>
      </c>
    </row>
    <row r="4464">
      <c r="A4464" t="inlineStr">
        <is>
          <t>附表8!AA7</t>
        </is>
      </c>
      <c r="B4464" t="inlineStr">
        <is>
          <t>附表8!E47</t>
        </is>
      </c>
      <c r="C4464" t="inlineStr">
        <is>
          <t>excel_formula</t>
        </is>
      </c>
    </row>
    <row r="4465">
      <c r="A4465" t="inlineStr">
        <is>
          <t>附表8!D8</t>
        </is>
      </c>
      <c r="B4465" t="inlineStr">
        <is>
          <t>附表8!F24</t>
        </is>
      </c>
      <c r="C4465" t="inlineStr">
        <is>
          <t>excel_formula</t>
        </is>
      </c>
    </row>
    <row r="4466">
      <c r="A4466" t="inlineStr">
        <is>
          <t>附表8!E8</t>
        </is>
      </c>
      <c r="B4466" t="inlineStr">
        <is>
          <t>附表8!F25</t>
        </is>
      </c>
      <c r="C4466" t="inlineStr">
        <is>
          <t>excel_formula</t>
        </is>
      </c>
    </row>
    <row r="4467">
      <c r="A4467" t="inlineStr">
        <is>
          <t>附表8!F8</t>
        </is>
      </c>
      <c r="B4467" t="inlineStr">
        <is>
          <t>附表8!F26</t>
        </is>
      </c>
      <c r="C4467" t="inlineStr">
        <is>
          <t>excel_formula</t>
        </is>
      </c>
    </row>
    <row r="4468">
      <c r="A4468" t="inlineStr">
        <is>
          <t>附表8!G8</t>
        </is>
      </c>
      <c r="B4468" t="inlineStr">
        <is>
          <t>附表8!F27</t>
        </is>
      </c>
      <c r="C4468" t="inlineStr">
        <is>
          <t>excel_formula</t>
        </is>
      </c>
    </row>
    <row r="4469">
      <c r="A4469" t="inlineStr">
        <is>
          <t>附表8!H8</t>
        </is>
      </c>
      <c r="B4469" t="inlineStr">
        <is>
          <t>附表8!F28</t>
        </is>
      </c>
      <c r="C4469" t="inlineStr">
        <is>
          <t>excel_formula</t>
        </is>
      </c>
    </row>
    <row r="4470">
      <c r="A4470" t="inlineStr">
        <is>
          <t>附表8!I8</t>
        </is>
      </c>
      <c r="B4470" t="inlineStr">
        <is>
          <t>附表8!F29</t>
        </is>
      </c>
      <c r="C4470" t="inlineStr">
        <is>
          <t>excel_formula</t>
        </is>
      </c>
    </row>
    <row r="4471">
      <c r="A4471" t="inlineStr">
        <is>
          <t>附表8!J8</t>
        </is>
      </c>
      <c r="B4471" t="inlineStr">
        <is>
          <t>附表8!F30</t>
        </is>
      </c>
      <c r="C4471" t="inlineStr">
        <is>
          <t>excel_formula</t>
        </is>
      </c>
    </row>
    <row r="4472">
      <c r="A4472" t="inlineStr">
        <is>
          <t>附表8!K8</t>
        </is>
      </c>
      <c r="B4472" t="inlineStr">
        <is>
          <t>附表8!F31</t>
        </is>
      </c>
      <c r="C4472" t="inlineStr">
        <is>
          <t>excel_formula</t>
        </is>
      </c>
    </row>
    <row r="4473">
      <c r="A4473" t="inlineStr">
        <is>
          <t>附表8!L8</t>
        </is>
      </c>
      <c r="B4473" t="inlineStr">
        <is>
          <t>附表8!F32</t>
        </is>
      </c>
      <c r="C4473" t="inlineStr">
        <is>
          <t>excel_formula</t>
        </is>
      </c>
    </row>
    <row r="4474">
      <c r="A4474" t="inlineStr">
        <is>
          <t>附表8!M8</t>
        </is>
      </c>
      <c r="B4474" t="inlineStr">
        <is>
          <t>附表8!F33</t>
        </is>
      </c>
      <c r="C4474" t="inlineStr">
        <is>
          <t>excel_formula</t>
        </is>
      </c>
    </row>
    <row r="4475">
      <c r="A4475" t="inlineStr">
        <is>
          <t>附表8!N8</t>
        </is>
      </c>
      <c r="B4475" t="inlineStr">
        <is>
          <t>附表8!F34</t>
        </is>
      </c>
      <c r="C4475" t="inlineStr">
        <is>
          <t>excel_formula</t>
        </is>
      </c>
    </row>
    <row r="4476">
      <c r="A4476" t="inlineStr">
        <is>
          <t>附表8!O8</t>
        </is>
      </c>
      <c r="B4476" t="inlineStr">
        <is>
          <t>附表8!F35</t>
        </is>
      </c>
      <c r="C4476" t="inlineStr">
        <is>
          <t>excel_formula</t>
        </is>
      </c>
    </row>
    <row r="4477">
      <c r="A4477" t="inlineStr">
        <is>
          <t>附表8!P8</t>
        </is>
      </c>
      <c r="B4477" t="inlineStr">
        <is>
          <t>附表8!F36</t>
        </is>
      </c>
      <c r="C4477" t="inlineStr">
        <is>
          <t>excel_formula</t>
        </is>
      </c>
    </row>
    <row r="4478">
      <c r="A4478" t="inlineStr">
        <is>
          <t>附表8!Q8</t>
        </is>
      </c>
      <c r="B4478" t="inlineStr">
        <is>
          <t>附表8!F37</t>
        </is>
      </c>
      <c r="C4478" t="inlineStr">
        <is>
          <t>excel_formula</t>
        </is>
      </c>
    </row>
    <row r="4479">
      <c r="A4479" t="inlineStr">
        <is>
          <t>附表8!R8</t>
        </is>
      </c>
      <c r="B4479" t="inlineStr">
        <is>
          <t>附表8!F38</t>
        </is>
      </c>
      <c r="C4479" t="inlineStr">
        <is>
          <t>excel_formula</t>
        </is>
      </c>
    </row>
    <row r="4480">
      <c r="A4480" t="inlineStr">
        <is>
          <t>附表8!S8</t>
        </is>
      </c>
      <c r="B4480" t="inlineStr">
        <is>
          <t>附表8!F39</t>
        </is>
      </c>
      <c r="C4480" t="inlineStr">
        <is>
          <t>excel_formula</t>
        </is>
      </c>
    </row>
    <row r="4481">
      <c r="A4481" t="inlineStr">
        <is>
          <t>附表8!T8</t>
        </is>
      </c>
      <c r="B4481" t="inlineStr">
        <is>
          <t>附表8!F40</t>
        </is>
      </c>
      <c r="C4481" t="inlineStr">
        <is>
          <t>excel_formula</t>
        </is>
      </c>
    </row>
    <row r="4482">
      <c r="A4482" t="inlineStr">
        <is>
          <t>附表8!U8</t>
        </is>
      </c>
      <c r="B4482" t="inlineStr">
        <is>
          <t>附表8!F41</t>
        </is>
      </c>
      <c r="C4482" t="inlineStr">
        <is>
          <t>excel_formula</t>
        </is>
      </c>
    </row>
    <row r="4483">
      <c r="A4483" t="inlineStr">
        <is>
          <t>附表8!V8</t>
        </is>
      </c>
      <c r="B4483" t="inlineStr">
        <is>
          <t>附表8!F42</t>
        </is>
      </c>
      <c r="C4483" t="inlineStr">
        <is>
          <t>excel_formula</t>
        </is>
      </c>
    </row>
    <row r="4484">
      <c r="A4484" t="inlineStr">
        <is>
          <t>附表8!W8</t>
        </is>
      </c>
      <c r="B4484" t="inlineStr">
        <is>
          <t>附表8!F43</t>
        </is>
      </c>
      <c r="C4484" t="inlineStr">
        <is>
          <t>excel_formula</t>
        </is>
      </c>
    </row>
    <row r="4485">
      <c r="A4485" t="inlineStr">
        <is>
          <t>附表8!X8</t>
        </is>
      </c>
      <c r="B4485" t="inlineStr">
        <is>
          <t>附表8!F44</t>
        </is>
      </c>
      <c r="C4485" t="inlineStr">
        <is>
          <t>excel_formula</t>
        </is>
      </c>
    </row>
    <row r="4486">
      <c r="A4486" t="inlineStr">
        <is>
          <t>附表8!Y8</t>
        </is>
      </c>
      <c r="B4486" t="inlineStr">
        <is>
          <t>附表8!F45</t>
        </is>
      </c>
      <c r="C4486" t="inlineStr">
        <is>
          <t>excel_formula</t>
        </is>
      </c>
    </row>
    <row r="4487">
      <c r="A4487" t="inlineStr">
        <is>
          <t>附表8!Z8</t>
        </is>
      </c>
      <c r="B4487" t="inlineStr">
        <is>
          <t>附表8!F46</t>
        </is>
      </c>
      <c r="C4487" t="inlineStr">
        <is>
          <t>excel_formula</t>
        </is>
      </c>
    </row>
    <row r="4488">
      <c r="A4488" t="inlineStr">
        <is>
          <t>附表8!AA8</t>
        </is>
      </c>
      <c r="B4488" t="inlineStr">
        <is>
          <t>附表8!F47</t>
        </is>
      </c>
      <c r="C4488" t="inlineStr">
        <is>
          <t>excel_formula</t>
        </is>
      </c>
    </row>
    <row r="4489">
      <c r="A4489" t="inlineStr">
        <is>
          <t>附表8!D9</t>
        </is>
      </c>
      <c r="B4489" t="inlineStr">
        <is>
          <t>附表8!H24</t>
        </is>
      </c>
      <c r="C4489" t="inlineStr">
        <is>
          <t>excel_formula</t>
        </is>
      </c>
    </row>
    <row r="4490">
      <c r="A4490" t="inlineStr">
        <is>
          <t>附表8!E9</t>
        </is>
      </c>
      <c r="B4490" t="inlineStr">
        <is>
          <t>附表8!H25</t>
        </is>
      </c>
      <c r="C4490" t="inlineStr">
        <is>
          <t>excel_formula</t>
        </is>
      </c>
    </row>
    <row r="4491">
      <c r="A4491" t="inlineStr">
        <is>
          <t>附表8!F9</t>
        </is>
      </c>
      <c r="B4491" t="inlineStr">
        <is>
          <t>附表8!H26</t>
        </is>
      </c>
      <c r="C4491" t="inlineStr">
        <is>
          <t>excel_formula</t>
        </is>
      </c>
    </row>
    <row r="4492">
      <c r="A4492" t="inlineStr">
        <is>
          <t>附表8!G9</t>
        </is>
      </c>
      <c r="B4492" t="inlineStr">
        <is>
          <t>附表8!H27</t>
        </is>
      </c>
      <c r="C4492" t="inlineStr">
        <is>
          <t>excel_formula</t>
        </is>
      </c>
    </row>
    <row r="4493">
      <c r="A4493" t="inlineStr">
        <is>
          <t>附表8!H9</t>
        </is>
      </c>
      <c r="B4493" t="inlineStr">
        <is>
          <t>附表8!H28</t>
        </is>
      </c>
      <c r="C4493" t="inlineStr">
        <is>
          <t>excel_formula</t>
        </is>
      </c>
    </row>
    <row r="4494">
      <c r="A4494" t="inlineStr">
        <is>
          <t>附表8!I9</t>
        </is>
      </c>
      <c r="B4494" t="inlineStr">
        <is>
          <t>附表8!H29</t>
        </is>
      </c>
      <c r="C4494" t="inlineStr">
        <is>
          <t>excel_formula</t>
        </is>
      </c>
    </row>
    <row r="4495">
      <c r="A4495" t="inlineStr">
        <is>
          <t>附表8!J9</t>
        </is>
      </c>
      <c r="B4495" t="inlineStr">
        <is>
          <t>附表8!H30</t>
        </is>
      </c>
      <c r="C4495" t="inlineStr">
        <is>
          <t>excel_formula</t>
        </is>
      </c>
    </row>
    <row r="4496">
      <c r="A4496" t="inlineStr">
        <is>
          <t>附表8!K9</t>
        </is>
      </c>
      <c r="B4496" t="inlineStr">
        <is>
          <t>附表8!H31</t>
        </is>
      </c>
      <c r="C4496" t="inlineStr">
        <is>
          <t>excel_formula</t>
        </is>
      </c>
    </row>
    <row r="4497">
      <c r="A4497" t="inlineStr">
        <is>
          <t>附表8!L9</t>
        </is>
      </c>
      <c r="B4497" t="inlineStr">
        <is>
          <t>附表8!H32</t>
        </is>
      </c>
      <c r="C4497" t="inlineStr">
        <is>
          <t>excel_formula</t>
        </is>
      </c>
    </row>
    <row r="4498">
      <c r="A4498" t="inlineStr">
        <is>
          <t>附表8!M9</t>
        </is>
      </c>
      <c r="B4498" t="inlineStr">
        <is>
          <t>附表8!H33</t>
        </is>
      </c>
      <c r="C4498" t="inlineStr">
        <is>
          <t>excel_formula</t>
        </is>
      </c>
    </row>
    <row r="4499">
      <c r="A4499" t="inlineStr">
        <is>
          <t>附表8!N9</t>
        </is>
      </c>
      <c r="B4499" t="inlineStr">
        <is>
          <t>附表8!H34</t>
        </is>
      </c>
      <c r="C4499" t="inlineStr">
        <is>
          <t>excel_formula</t>
        </is>
      </c>
    </row>
    <row r="4500">
      <c r="A4500" t="inlineStr">
        <is>
          <t>附表8!O9</t>
        </is>
      </c>
      <c r="B4500" t="inlineStr">
        <is>
          <t>附表8!H35</t>
        </is>
      </c>
      <c r="C4500" t="inlineStr">
        <is>
          <t>excel_formula</t>
        </is>
      </c>
    </row>
    <row r="4501">
      <c r="A4501" t="inlineStr">
        <is>
          <t>附表8!P9</t>
        </is>
      </c>
      <c r="B4501" t="inlineStr">
        <is>
          <t>附表8!H36</t>
        </is>
      </c>
      <c r="C4501" t="inlineStr">
        <is>
          <t>excel_formula</t>
        </is>
      </c>
    </row>
    <row r="4502">
      <c r="A4502" t="inlineStr">
        <is>
          <t>附表8!Q9</t>
        </is>
      </c>
      <c r="B4502" t="inlineStr">
        <is>
          <t>附表8!H37</t>
        </is>
      </c>
      <c r="C4502" t="inlineStr">
        <is>
          <t>excel_formula</t>
        </is>
      </c>
    </row>
    <row r="4503">
      <c r="A4503" t="inlineStr">
        <is>
          <t>附表8!R9</t>
        </is>
      </c>
      <c r="B4503" t="inlineStr">
        <is>
          <t>附表8!H38</t>
        </is>
      </c>
      <c r="C4503" t="inlineStr">
        <is>
          <t>excel_formula</t>
        </is>
      </c>
    </row>
    <row r="4504">
      <c r="A4504" t="inlineStr">
        <is>
          <t>附表8!S9</t>
        </is>
      </c>
      <c r="B4504" t="inlineStr">
        <is>
          <t>附表8!H39</t>
        </is>
      </c>
      <c r="C4504" t="inlineStr">
        <is>
          <t>excel_formula</t>
        </is>
      </c>
    </row>
    <row r="4505">
      <c r="A4505" t="inlineStr">
        <is>
          <t>附表8!T9</t>
        </is>
      </c>
      <c r="B4505" t="inlineStr">
        <is>
          <t>附表8!H40</t>
        </is>
      </c>
      <c r="C4505" t="inlineStr">
        <is>
          <t>excel_formula</t>
        </is>
      </c>
    </row>
    <row r="4506">
      <c r="A4506" t="inlineStr">
        <is>
          <t>附表8!U9</t>
        </is>
      </c>
      <c r="B4506" t="inlineStr">
        <is>
          <t>附表8!H41</t>
        </is>
      </c>
      <c r="C4506" t="inlineStr">
        <is>
          <t>excel_formula</t>
        </is>
      </c>
    </row>
    <row r="4507">
      <c r="A4507" t="inlineStr">
        <is>
          <t>附表8!V9</t>
        </is>
      </c>
      <c r="B4507" t="inlineStr">
        <is>
          <t>附表8!H42</t>
        </is>
      </c>
      <c r="C4507" t="inlineStr">
        <is>
          <t>excel_formula</t>
        </is>
      </c>
    </row>
    <row r="4508">
      <c r="A4508" t="inlineStr">
        <is>
          <t>附表8!W9</t>
        </is>
      </c>
      <c r="B4508" t="inlineStr">
        <is>
          <t>附表8!H43</t>
        </is>
      </c>
      <c r="C4508" t="inlineStr">
        <is>
          <t>excel_formula</t>
        </is>
      </c>
    </row>
    <row r="4509">
      <c r="A4509" t="inlineStr">
        <is>
          <t>附表8!X9</t>
        </is>
      </c>
      <c r="B4509" t="inlineStr">
        <is>
          <t>附表8!H44</t>
        </is>
      </c>
      <c r="C4509" t="inlineStr">
        <is>
          <t>excel_formula</t>
        </is>
      </c>
    </row>
    <row r="4510">
      <c r="A4510" t="inlineStr">
        <is>
          <t>附表8!Y9</t>
        </is>
      </c>
      <c r="B4510" t="inlineStr">
        <is>
          <t>附表8!H45</t>
        </is>
      </c>
      <c r="C4510" t="inlineStr">
        <is>
          <t>excel_formula</t>
        </is>
      </c>
    </row>
    <row r="4511">
      <c r="A4511" t="inlineStr">
        <is>
          <t>附表8!Z9</t>
        </is>
      </c>
      <c r="B4511" t="inlineStr">
        <is>
          <t>附表8!H46</t>
        </is>
      </c>
      <c r="C4511" t="inlineStr">
        <is>
          <t>excel_formula</t>
        </is>
      </c>
    </row>
    <row r="4512">
      <c r="A4512" t="inlineStr">
        <is>
          <t>附表8!AA9</t>
        </is>
      </c>
      <c r="B4512" t="inlineStr">
        <is>
          <t>附表8!H47</t>
        </is>
      </c>
      <c r="C4512" t="inlineStr">
        <is>
          <t>excel_formula</t>
        </is>
      </c>
    </row>
    <row r="4513">
      <c r="A4513" t="inlineStr">
        <is>
          <t>附表8!D11</t>
        </is>
      </c>
      <c r="B4513" t="inlineStr">
        <is>
          <t>附表8!I24</t>
        </is>
      </c>
      <c r="C4513" t="inlineStr">
        <is>
          <t>excel_formula</t>
        </is>
      </c>
    </row>
    <row r="4514">
      <c r="A4514" t="inlineStr">
        <is>
          <t>附表8!E11</t>
        </is>
      </c>
      <c r="B4514" t="inlineStr">
        <is>
          <t>附表8!I25</t>
        </is>
      </c>
      <c r="C4514" t="inlineStr">
        <is>
          <t>excel_formula</t>
        </is>
      </c>
    </row>
    <row r="4515">
      <c r="A4515" t="inlineStr">
        <is>
          <t>附表8!F11</t>
        </is>
      </c>
      <c r="B4515" t="inlineStr">
        <is>
          <t>附表8!I26</t>
        </is>
      </c>
      <c r="C4515" t="inlineStr">
        <is>
          <t>excel_formula</t>
        </is>
      </c>
    </row>
    <row r="4516">
      <c r="A4516" t="inlineStr">
        <is>
          <t>附表8!G11</t>
        </is>
      </c>
      <c r="B4516" t="inlineStr">
        <is>
          <t>附表8!I27</t>
        </is>
      </c>
      <c r="C4516" t="inlineStr">
        <is>
          <t>excel_formula</t>
        </is>
      </c>
    </row>
    <row r="4517">
      <c r="A4517" t="inlineStr">
        <is>
          <t>附表8!H11</t>
        </is>
      </c>
      <c r="B4517" t="inlineStr">
        <is>
          <t>附表8!I28</t>
        </is>
      </c>
      <c r="C4517" t="inlineStr">
        <is>
          <t>excel_formula</t>
        </is>
      </c>
    </row>
    <row r="4518">
      <c r="A4518" t="inlineStr">
        <is>
          <t>附表8!I11</t>
        </is>
      </c>
      <c r="B4518" t="inlineStr">
        <is>
          <t>附表8!I29</t>
        </is>
      </c>
      <c r="C4518" t="inlineStr">
        <is>
          <t>excel_formula</t>
        </is>
      </c>
    </row>
    <row r="4519">
      <c r="A4519" t="inlineStr">
        <is>
          <t>附表8!J11</t>
        </is>
      </c>
      <c r="B4519" t="inlineStr">
        <is>
          <t>附表8!I30</t>
        </is>
      </c>
      <c r="C4519" t="inlineStr">
        <is>
          <t>excel_formula</t>
        </is>
      </c>
    </row>
    <row r="4520">
      <c r="A4520" t="inlineStr">
        <is>
          <t>附表8!K11</t>
        </is>
      </c>
      <c r="B4520" t="inlineStr">
        <is>
          <t>附表8!I31</t>
        </is>
      </c>
      <c r="C4520" t="inlineStr">
        <is>
          <t>excel_formula</t>
        </is>
      </c>
    </row>
    <row r="4521">
      <c r="A4521" t="inlineStr">
        <is>
          <t>附表8!L11</t>
        </is>
      </c>
      <c r="B4521" t="inlineStr">
        <is>
          <t>附表8!I32</t>
        </is>
      </c>
      <c r="C4521" t="inlineStr">
        <is>
          <t>excel_formula</t>
        </is>
      </c>
    </row>
    <row r="4522">
      <c r="A4522" t="inlineStr">
        <is>
          <t>附表8!M11</t>
        </is>
      </c>
      <c r="B4522" t="inlineStr">
        <is>
          <t>附表8!I33</t>
        </is>
      </c>
      <c r="C4522" t="inlineStr">
        <is>
          <t>excel_formula</t>
        </is>
      </c>
    </row>
    <row r="4523">
      <c r="A4523" t="inlineStr">
        <is>
          <t>附表8!N11</t>
        </is>
      </c>
      <c r="B4523" t="inlineStr">
        <is>
          <t>附表8!I34</t>
        </is>
      </c>
      <c r="C4523" t="inlineStr">
        <is>
          <t>excel_formula</t>
        </is>
      </c>
    </row>
    <row r="4524">
      <c r="A4524" t="inlineStr">
        <is>
          <t>附表8!O11</t>
        </is>
      </c>
      <c r="B4524" t="inlineStr">
        <is>
          <t>附表8!I35</t>
        </is>
      </c>
      <c r="C4524" t="inlineStr">
        <is>
          <t>excel_formula</t>
        </is>
      </c>
    </row>
    <row r="4525">
      <c r="A4525" t="inlineStr">
        <is>
          <t>附表8!P11</t>
        </is>
      </c>
      <c r="B4525" t="inlineStr">
        <is>
          <t>附表8!I36</t>
        </is>
      </c>
      <c r="C4525" t="inlineStr">
        <is>
          <t>excel_formula</t>
        </is>
      </c>
    </row>
    <row r="4526">
      <c r="A4526" t="inlineStr">
        <is>
          <t>附表8!Q11</t>
        </is>
      </c>
      <c r="B4526" t="inlineStr">
        <is>
          <t>附表8!I37</t>
        </is>
      </c>
      <c r="C4526" t="inlineStr">
        <is>
          <t>excel_formula</t>
        </is>
      </c>
    </row>
    <row r="4527">
      <c r="A4527" t="inlineStr">
        <is>
          <t>附表8!R11</t>
        </is>
      </c>
      <c r="B4527" t="inlineStr">
        <is>
          <t>附表8!I38</t>
        </is>
      </c>
      <c r="C4527" t="inlineStr">
        <is>
          <t>excel_formula</t>
        </is>
      </c>
    </row>
    <row r="4528">
      <c r="A4528" t="inlineStr">
        <is>
          <t>附表8!S11</t>
        </is>
      </c>
      <c r="B4528" t="inlineStr">
        <is>
          <t>附表8!I39</t>
        </is>
      </c>
      <c r="C4528" t="inlineStr">
        <is>
          <t>excel_formula</t>
        </is>
      </c>
    </row>
    <row r="4529">
      <c r="A4529" t="inlineStr">
        <is>
          <t>附表8!T11</t>
        </is>
      </c>
      <c r="B4529" t="inlineStr">
        <is>
          <t>附表8!I40</t>
        </is>
      </c>
      <c r="C4529" t="inlineStr">
        <is>
          <t>excel_formula</t>
        </is>
      </c>
    </row>
    <row r="4530">
      <c r="A4530" t="inlineStr">
        <is>
          <t>附表8!U11</t>
        </is>
      </c>
      <c r="B4530" t="inlineStr">
        <is>
          <t>附表8!I41</t>
        </is>
      </c>
      <c r="C4530" t="inlineStr">
        <is>
          <t>excel_formula</t>
        </is>
      </c>
    </row>
    <row r="4531">
      <c r="A4531" t="inlineStr">
        <is>
          <t>附表8!V11</t>
        </is>
      </c>
      <c r="B4531" t="inlineStr">
        <is>
          <t>附表8!I42</t>
        </is>
      </c>
      <c r="C4531" t="inlineStr">
        <is>
          <t>excel_formula</t>
        </is>
      </c>
    </row>
    <row r="4532">
      <c r="A4532" t="inlineStr">
        <is>
          <t>附表8!W11</t>
        </is>
      </c>
      <c r="B4532" t="inlineStr">
        <is>
          <t>附表8!I43</t>
        </is>
      </c>
      <c r="C4532" t="inlineStr">
        <is>
          <t>excel_formula</t>
        </is>
      </c>
    </row>
    <row r="4533">
      <c r="A4533" t="inlineStr">
        <is>
          <t>附表8!X11</t>
        </is>
      </c>
      <c r="B4533" t="inlineStr">
        <is>
          <t>附表8!I44</t>
        </is>
      </c>
      <c r="C4533" t="inlineStr">
        <is>
          <t>excel_formula</t>
        </is>
      </c>
    </row>
    <row r="4534">
      <c r="A4534" t="inlineStr">
        <is>
          <t>附表8!Y11</t>
        </is>
      </c>
      <c r="B4534" t="inlineStr">
        <is>
          <t>附表8!I45</t>
        </is>
      </c>
      <c r="C4534" t="inlineStr">
        <is>
          <t>excel_formula</t>
        </is>
      </c>
    </row>
    <row r="4535">
      <c r="A4535" t="inlineStr">
        <is>
          <t>附表8!Z11</t>
        </is>
      </c>
      <c r="B4535" t="inlineStr">
        <is>
          <t>附表8!I46</t>
        </is>
      </c>
      <c r="C4535" t="inlineStr">
        <is>
          <t>excel_formula</t>
        </is>
      </c>
    </row>
    <row r="4536">
      <c r="A4536" t="inlineStr">
        <is>
          <t>附表8!AA11</t>
        </is>
      </c>
      <c r="B4536" t="inlineStr">
        <is>
          <t>附表8!I47</t>
        </is>
      </c>
      <c r="C4536" t="inlineStr">
        <is>
          <t>excel_formula</t>
        </is>
      </c>
    </row>
    <row r="4537">
      <c r="A4537" t="inlineStr">
        <is>
          <t>附表8!D12</t>
        </is>
      </c>
      <c r="B4537" t="inlineStr">
        <is>
          <t>附表8!J24</t>
        </is>
      </c>
      <c r="C4537" t="inlineStr">
        <is>
          <t>excel_formula</t>
        </is>
      </c>
    </row>
    <row r="4538">
      <c r="A4538" t="inlineStr">
        <is>
          <t>附表8!E12</t>
        </is>
      </c>
      <c r="B4538" t="inlineStr">
        <is>
          <t>附表8!J25</t>
        </is>
      </c>
      <c r="C4538" t="inlineStr">
        <is>
          <t>excel_formula</t>
        </is>
      </c>
    </row>
    <row r="4539">
      <c r="A4539" t="inlineStr">
        <is>
          <t>附表8!F12</t>
        </is>
      </c>
      <c r="B4539" t="inlineStr">
        <is>
          <t>附表8!J26</t>
        </is>
      </c>
      <c r="C4539" t="inlineStr">
        <is>
          <t>excel_formula</t>
        </is>
      </c>
    </row>
    <row r="4540">
      <c r="A4540" t="inlineStr">
        <is>
          <t>附表8!G12</t>
        </is>
      </c>
      <c r="B4540" t="inlineStr">
        <is>
          <t>附表8!J27</t>
        </is>
      </c>
      <c r="C4540" t="inlineStr">
        <is>
          <t>excel_formula</t>
        </is>
      </c>
    </row>
    <row r="4541">
      <c r="A4541" t="inlineStr">
        <is>
          <t>附表8!H12</t>
        </is>
      </c>
      <c r="B4541" t="inlineStr">
        <is>
          <t>附表8!J28</t>
        </is>
      </c>
      <c r="C4541" t="inlineStr">
        <is>
          <t>excel_formula</t>
        </is>
      </c>
    </row>
    <row r="4542">
      <c r="A4542" t="inlineStr">
        <is>
          <t>附表8!I12</t>
        </is>
      </c>
      <c r="B4542" t="inlineStr">
        <is>
          <t>附表8!J29</t>
        </is>
      </c>
      <c r="C4542" t="inlineStr">
        <is>
          <t>excel_formula</t>
        </is>
      </c>
    </row>
    <row r="4543">
      <c r="A4543" t="inlineStr">
        <is>
          <t>附表8!J12</t>
        </is>
      </c>
      <c r="B4543" t="inlineStr">
        <is>
          <t>附表8!J30</t>
        </is>
      </c>
      <c r="C4543" t="inlineStr">
        <is>
          <t>excel_formula</t>
        </is>
      </c>
    </row>
    <row r="4544">
      <c r="A4544" t="inlineStr">
        <is>
          <t>附表8!K12</t>
        </is>
      </c>
      <c r="B4544" t="inlineStr">
        <is>
          <t>附表8!J31</t>
        </is>
      </c>
      <c r="C4544" t="inlineStr">
        <is>
          <t>excel_formula</t>
        </is>
      </c>
    </row>
    <row r="4545">
      <c r="A4545" t="inlineStr">
        <is>
          <t>附表8!L12</t>
        </is>
      </c>
      <c r="B4545" t="inlineStr">
        <is>
          <t>附表8!J32</t>
        </is>
      </c>
      <c r="C4545" t="inlineStr">
        <is>
          <t>excel_formula</t>
        </is>
      </c>
    </row>
    <row r="4546">
      <c r="A4546" t="inlineStr">
        <is>
          <t>附表8!M12</t>
        </is>
      </c>
      <c r="B4546" t="inlineStr">
        <is>
          <t>附表8!J33</t>
        </is>
      </c>
      <c r="C4546" t="inlineStr">
        <is>
          <t>excel_formula</t>
        </is>
      </c>
    </row>
    <row r="4547">
      <c r="A4547" t="inlineStr">
        <is>
          <t>附表8!N12</t>
        </is>
      </c>
      <c r="B4547" t="inlineStr">
        <is>
          <t>附表8!J34</t>
        </is>
      </c>
      <c r="C4547" t="inlineStr">
        <is>
          <t>excel_formula</t>
        </is>
      </c>
    </row>
    <row r="4548">
      <c r="A4548" t="inlineStr">
        <is>
          <t>附表8!O12</t>
        </is>
      </c>
      <c r="B4548" t="inlineStr">
        <is>
          <t>附表8!J35</t>
        </is>
      </c>
      <c r="C4548" t="inlineStr">
        <is>
          <t>excel_formula</t>
        </is>
      </c>
    </row>
    <row r="4549">
      <c r="A4549" t="inlineStr">
        <is>
          <t>附表8!P12</t>
        </is>
      </c>
      <c r="B4549" t="inlineStr">
        <is>
          <t>附表8!J36</t>
        </is>
      </c>
      <c r="C4549" t="inlineStr">
        <is>
          <t>excel_formula</t>
        </is>
      </c>
    </row>
    <row r="4550">
      <c r="A4550" t="inlineStr">
        <is>
          <t>附表8!Q12</t>
        </is>
      </c>
      <c r="B4550" t="inlineStr">
        <is>
          <t>附表8!J37</t>
        </is>
      </c>
      <c r="C4550" t="inlineStr">
        <is>
          <t>excel_formula</t>
        </is>
      </c>
    </row>
    <row r="4551">
      <c r="A4551" t="inlineStr">
        <is>
          <t>附表8!R12</t>
        </is>
      </c>
      <c r="B4551" t="inlineStr">
        <is>
          <t>附表8!J38</t>
        </is>
      </c>
      <c r="C4551" t="inlineStr">
        <is>
          <t>excel_formula</t>
        </is>
      </c>
    </row>
    <row r="4552">
      <c r="A4552" t="inlineStr">
        <is>
          <t>附表8!S12</t>
        </is>
      </c>
      <c r="B4552" t="inlineStr">
        <is>
          <t>附表8!J39</t>
        </is>
      </c>
      <c r="C4552" t="inlineStr">
        <is>
          <t>excel_formula</t>
        </is>
      </c>
    </row>
    <row r="4553">
      <c r="A4553" t="inlineStr">
        <is>
          <t>附表8!T12</t>
        </is>
      </c>
      <c r="B4553" t="inlineStr">
        <is>
          <t>附表8!J40</t>
        </is>
      </c>
      <c r="C4553" t="inlineStr">
        <is>
          <t>excel_formula</t>
        </is>
      </c>
    </row>
    <row r="4554">
      <c r="A4554" t="inlineStr">
        <is>
          <t>附表8!U12</t>
        </is>
      </c>
      <c r="B4554" t="inlineStr">
        <is>
          <t>附表8!J41</t>
        </is>
      </c>
      <c r="C4554" t="inlineStr">
        <is>
          <t>excel_formula</t>
        </is>
      </c>
    </row>
    <row r="4555">
      <c r="A4555" t="inlineStr">
        <is>
          <t>附表8!V12</t>
        </is>
      </c>
      <c r="B4555" t="inlineStr">
        <is>
          <t>附表8!J42</t>
        </is>
      </c>
      <c r="C4555" t="inlineStr">
        <is>
          <t>excel_formula</t>
        </is>
      </c>
    </row>
    <row r="4556">
      <c r="A4556" t="inlineStr">
        <is>
          <t>附表8!W12</t>
        </is>
      </c>
      <c r="B4556" t="inlineStr">
        <is>
          <t>附表8!J43</t>
        </is>
      </c>
      <c r="C4556" t="inlineStr">
        <is>
          <t>excel_formula</t>
        </is>
      </c>
    </row>
    <row r="4557">
      <c r="A4557" t="inlineStr">
        <is>
          <t>附表8!X12</t>
        </is>
      </c>
      <c r="B4557" t="inlineStr">
        <is>
          <t>附表8!J44</t>
        </is>
      </c>
      <c r="C4557" t="inlineStr">
        <is>
          <t>excel_formula</t>
        </is>
      </c>
    </row>
    <row r="4558">
      <c r="A4558" t="inlineStr">
        <is>
          <t>附表8!Y12</t>
        </is>
      </c>
      <c r="B4558" t="inlineStr">
        <is>
          <t>附表8!J45</t>
        </is>
      </c>
      <c r="C4558" t="inlineStr">
        <is>
          <t>excel_formula</t>
        </is>
      </c>
    </row>
    <row r="4559">
      <c r="A4559" t="inlineStr">
        <is>
          <t>附表8!Z12</t>
        </is>
      </c>
      <c r="B4559" t="inlineStr">
        <is>
          <t>附表8!J46</t>
        </is>
      </c>
      <c r="C4559" t="inlineStr">
        <is>
          <t>excel_formula</t>
        </is>
      </c>
    </row>
    <row r="4560">
      <c r="A4560" t="inlineStr">
        <is>
          <t>附表8!AA12</t>
        </is>
      </c>
      <c r="B4560" t="inlineStr">
        <is>
          <t>附表8!J47</t>
        </is>
      </c>
      <c r="C4560" t="inlineStr">
        <is>
          <t>excel_formula</t>
        </is>
      </c>
    </row>
    <row r="4561">
      <c r="A4561" t="inlineStr">
        <is>
          <t>附表8!D13</t>
        </is>
      </c>
      <c r="B4561" t="inlineStr">
        <is>
          <t>附表8!K24</t>
        </is>
      </c>
      <c r="C4561" t="inlineStr">
        <is>
          <t>excel_formula</t>
        </is>
      </c>
    </row>
    <row r="4562">
      <c r="A4562" t="inlineStr">
        <is>
          <t>附表8!E13</t>
        </is>
      </c>
      <c r="B4562" t="inlineStr">
        <is>
          <t>附表8!K25</t>
        </is>
      </c>
      <c r="C4562" t="inlineStr">
        <is>
          <t>excel_formula</t>
        </is>
      </c>
    </row>
    <row r="4563">
      <c r="A4563" t="inlineStr">
        <is>
          <t>附表8!F13</t>
        </is>
      </c>
      <c r="B4563" t="inlineStr">
        <is>
          <t>附表8!K26</t>
        </is>
      </c>
      <c r="C4563" t="inlineStr">
        <is>
          <t>excel_formula</t>
        </is>
      </c>
    </row>
    <row r="4564">
      <c r="A4564" t="inlineStr">
        <is>
          <t>附表8!G13</t>
        </is>
      </c>
      <c r="B4564" t="inlineStr">
        <is>
          <t>附表8!K27</t>
        </is>
      </c>
      <c r="C4564" t="inlineStr">
        <is>
          <t>excel_formula</t>
        </is>
      </c>
    </row>
    <row r="4565">
      <c r="A4565" t="inlineStr">
        <is>
          <t>附表8!H13</t>
        </is>
      </c>
      <c r="B4565" t="inlineStr">
        <is>
          <t>附表8!K28</t>
        </is>
      </c>
      <c r="C4565" t="inlineStr">
        <is>
          <t>excel_formula</t>
        </is>
      </c>
    </row>
    <row r="4566">
      <c r="A4566" t="inlineStr">
        <is>
          <t>附表8!I13</t>
        </is>
      </c>
      <c r="B4566" t="inlineStr">
        <is>
          <t>附表8!K29</t>
        </is>
      </c>
      <c r="C4566" t="inlineStr">
        <is>
          <t>excel_formula</t>
        </is>
      </c>
    </row>
    <row r="4567">
      <c r="A4567" t="inlineStr">
        <is>
          <t>附表8!J13</t>
        </is>
      </c>
      <c r="B4567" t="inlineStr">
        <is>
          <t>附表8!K30</t>
        </is>
      </c>
      <c r="C4567" t="inlineStr">
        <is>
          <t>excel_formula</t>
        </is>
      </c>
    </row>
    <row r="4568">
      <c r="A4568" t="inlineStr">
        <is>
          <t>附表8!K13</t>
        </is>
      </c>
      <c r="B4568" t="inlineStr">
        <is>
          <t>附表8!K31</t>
        </is>
      </c>
      <c r="C4568" t="inlineStr">
        <is>
          <t>excel_formula</t>
        </is>
      </c>
    </row>
    <row r="4569">
      <c r="A4569" t="inlineStr">
        <is>
          <t>附表8!L13</t>
        </is>
      </c>
      <c r="B4569" t="inlineStr">
        <is>
          <t>附表8!K32</t>
        </is>
      </c>
      <c r="C4569" t="inlineStr">
        <is>
          <t>excel_formula</t>
        </is>
      </c>
    </row>
    <row r="4570">
      <c r="A4570" t="inlineStr">
        <is>
          <t>附表8!M13</t>
        </is>
      </c>
      <c r="B4570" t="inlineStr">
        <is>
          <t>附表8!K33</t>
        </is>
      </c>
      <c r="C4570" t="inlineStr">
        <is>
          <t>excel_formula</t>
        </is>
      </c>
    </row>
    <row r="4571">
      <c r="A4571" t="inlineStr">
        <is>
          <t>附表8!N13</t>
        </is>
      </c>
      <c r="B4571" t="inlineStr">
        <is>
          <t>附表8!K34</t>
        </is>
      </c>
      <c r="C4571" t="inlineStr">
        <is>
          <t>excel_formula</t>
        </is>
      </c>
    </row>
    <row r="4572">
      <c r="A4572" t="inlineStr">
        <is>
          <t>附表8!O13</t>
        </is>
      </c>
      <c r="B4572" t="inlineStr">
        <is>
          <t>附表8!K35</t>
        </is>
      </c>
      <c r="C4572" t="inlineStr">
        <is>
          <t>excel_formula</t>
        </is>
      </c>
    </row>
    <row r="4573">
      <c r="A4573" t="inlineStr">
        <is>
          <t>附表8!P13</t>
        </is>
      </c>
      <c r="B4573" t="inlineStr">
        <is>
          <t>附表8!K36</t>
        </is>
      </c>
      <c r="C4573" t="inlineStr">
        <is>
          <t>excel_formula</t>
        </is>
      </c>
    </row>
    <row r="4574">
      <c r="A4574" t="inlineStr">
        <is>
          <t>附表8!Q13</t>
        </is>
      </c>
      <c r="B4574" t="inlineStr">
        <is>
          <t>附表8!K37</t>
        </is>
      </c>
      <c r="C4574" t="inlineStr">
        <is>
          <t>excel_formula</t>
        </is>
      </c>
    </row>
    <row r="4575">
      <c r="A4575" t="inlineStr">
        <is>
          <t>附表8!R13</t>
        </is>
      </c>
      <c r="B4575" t="inlineStr">
        <is>
          <t>附表8!K38</t>
        </is>
      </c>
      <c r="C4575" t="inlineStr">
        <is>
          <t>excel_formula</t>
        </is>
      </c>
    </row>
    <row r="4576">
      <c r="A4576" t="inlineStr">
        <is>
          <t>附表8!S13</t>
        </is>
      </c>
      <c r="B4576" t="inlineStr">
        <is>
          <t>附表8!K39</t>
        </is>
      </c>
      <c r="C4576" t="inlineStr">
        <is>
          <t>excel_formula</t>
        </is>
      </c>
    </row>
    <row r="4577">
      <c r="A4577" t="inlineStr">
        <is>
          <t>附表8!T13</t>
        </is>
      </c>
      <c r="B4577" t="inlineStr">
        <is>
          <t>附表8!K40</t>
        </is>
      </c>
      <c r="C4577" t="inlineStr">
        <is>
          <t>excel_formula</t>
        </is>
      </c>
    </row>
    <row r="4578">
      <c r="A4578" t="inlineStr">
        <is>
          <t>附表8!U13</t>
        </is>
      </c>
      <c r="B4578" t="inlineStr">
        <is>
          <t>附表8!K41</t>
        </is>
      </c>
      <c r="C4578" t="inlineStr">
        <is>
          <t>excel_formula</t>
        </is>
      </c>
    </row>
    <row r="4579">
      <c r="A4579" t="inlineStr">
        <is>
          <t>附表8!V13</t>
        </is>
      </c>
      <c r="B4579" t="inlineStr">
        <is>
          <t>附表8!K42</t>
        </is>
      </c>
      <c r="C4579" t="inlineStr">
        <is>
          <t>excel_formula</t>
        </is>
      </c>
    </row>
    <row r="4580">
      <c r="A4580" t="inlineStr">
        <is>
          <t>附表8!W13</t>
        </is>
      </c>
      <c r="B4580" t="inlineStr">
        <is>
          <t>附表8!K43</t>
        </is>
      </c>
      <c r="C4580" t="inlineStr">
        <is>
          <t>excel_formula</t>
        </is>
      </c>
    </row>
    <row r="4581">
      <c r="A4581" t="inlineStr">
        <is>
          <t>附表8!X13</t>
        </is>
      </c>
      <c r="B4581" t="inlineStr">
        <is>
          <t>附表8!K44</t>
        </is>
      </c>
      <c r="C4581" t="inlineStr">
        <is>
          <t>excel_formula</t>
        </is>
      </c>
    </row>
    <row r="4582">
      <c r="A4582" t="inlineStr">
        <is>
          <t>附表8!Y13</t>
        </is>
      </c>
      <c r="B4582" t="inlineStr">
        <is>
          <t>附表8!K45</t>
        </is>
      </c>
      <c r="C4582" t="inlineStr">
        <is>
          <t>excel_formula</t>
        </is>
      </c>
    </row>
    <row r="4583">
      <c r="A4583" t="inlineStr">
        <is>
          <t>附表8!Z13</t>
        </is>
      </c>
      <c r="B4583" t="inlineStr">
        <is>
          <t>附表8!K46</t>
        </is>
      </c>
      <c r="C4583" t="inlineStr">
        <is>
          <t>excel_formula</t>
        </is>
      </c>
    </row>
    <row r="4584">
      <c r="A4584" t="inlineStr">
        <is>
          <t>附表8!AA13</t>
        </is>
      </c>
      <c r="B4584" t="inlineStr">
        <is>
          <t>附表8!K47</t>
        </is>
      </c>
      <c r="C4584" t="inlineStr">
        <is>
          <t>excel_formula</t>
        </is>
      </c>
    </row>
    <row r="4585">
      <c r="A4585" t="inlineStr">
        <is>
          <t>附表8!D19</t>
        </is>
      </c>
      <c r="B4585" t="inlineStr">
        <is>
          <t>附表8!M24</t>
        </is>
      </c>
      <c r="C4585" t="inlineStr">
        <is>
          <t>excel_formula</t>
        </is>
      </c>
    </row>
    <row r="4586">
      <c r="A4586" t="inlineStr">
        <is>
          <t>附表8!E19</t>
        </is>
      </c>
      <c r="B4586" t="inlineStr">
        <is>
          <t>附表8!M25</t>
        </is>
      </c>
      <c r="C4586" t="inlineStr">
        <is>
          <t>excel_formula</t>
        </is>
      </c>
    </row>
    <row r="4587">
      <c r="A4587" t="inlineStr">
        <is>
          <t>附表8!F19</t>
        </is>
      </c>
      <c r="B4587" t="inlineStr">
        <is>
          <t>附表8!M26</t>
        </is>
      </c>
      <c r="C4587" t="inlineStr">
        <is>
          <t>excel_formula</t>
        </is>
      </c>
    </row>
    <row r="4588">
      <c r="A4588" t="inlineStr">
        <is>
          <t>附表8!G19</t>
        </is>
      </c>
      <c r="B4588" t="inlineStr">
        <is>
          <t>附表8!M27</t>
        </is>
      </c>
      <c r="C4588" t="inlineStr">
        <is>
          <t>excel_formula</t>
        </is>
      </c>
    </row>
    <row r="4589">
      <c r="A4589" t="inlineStr">
        <is>
          <t>附表8!H19</t>
        </is>
      </c>
      <c r="B4589" t="inlineStr">
        <is>
          <t>附表8!M28</t>
        </is>
      </c>
      <c r="C4589" t="inlineStr">
        <is>
          <t>excel_formula</t>
        </is>
      </c>
    </row>
    <row r="4590">
      <c r="A4590" t="inlineStr">
        <is>
          <t>附表8!I19</t>
        </is>
      </c>
      <c r="B4590" t="inlineStr">
        <is>
          <t>附表8!M29</t>
        </is>
      </c>
      <c r="C4590" t="inlineStr">
        <is>
          <t>excel_formula</t>
        </is>
      </c>
    </row>
    <row r="4591">
      <c r="A4591" t="inlineStr">
        <is>
          <t>附表8!J19</t>
        </is>
      </c>
      <c r="B4591" t="inlineStr">
        <is>
          <t>附表8!M30</t>
        </is>
      </c>
      <c r="C4591" t="inlineStr">
        <is>
          <t>excel_formula</t>
        </is>
      </c>
    </row>
    <row r="4592">
      <c r="A4592" t="inlineStr">
        <is>
          <t>附表8!K19</t>
        </is>
      </c>
      <c r="B4592" t="inlineStr">
        <is>
          <t>附表8!M31</t>
        </is>
      </c>
      <c r="C4592" t="inlineStr">
        <is>
          <t>excel_formula</t>
        </is>
      </c>
    </row>
    <row r="4593">
      <c r="A4593" t="inlineStr">
        <is>
          <t>附表8!L19</t>
        </is>
      </c>
      <c r="B4593" t="inlineStr">
        <is>
          <t>附表8!M32</t>
        </is>
      </c>
      <c r="C4593" t="inlineStr">
        <is>
          <t>excel_formula</t>
        </is>
      </c>
    </row>
    <row r="4594">
      <c r="A4594" t="inlineStr">
        <is>
          <t>附表8!M19</t>
        </is>
      </c>
      <c r="B4594" t="inlineStr">
        <is>
          <t>附表8!M33</t>
        </is>
      </c>
      <c r="C4594" t="inlineStr">
        <is>
          <t>excel_formula</t>
        </is>
      </c>
    </row>
    <row r="4595">
      <c r="A4595" t="inlineStr">
        <is>
          <t>附表8!N19</t>
        </is>
      </c>
      <c r="B4595" t="inlineStr">
        <is>
          <t>附表8!M34</t>
        </is>
      </c>
      <c r="C4595" t="inlineStr">
        <is>
          <t>excel_formula</t>
        </is>
      </c>
    </row>
    <row r="4596">
      <c r="A4596" t="inlineStr">
        <is>
          <t>附表8!O19</t>
        </is>
      </c>
      <c r="B4596" t="inlineStr">
        <is>
          <t>附表8!M35</t>
        </is>
      </c>
      <c r="C4596" t="inlineStr">
        <is>
          <t>excel_formula</t>
        </is>
      </c>
    </row>
    <row r="4597">
      <c r="A4597" t="inlineStr">
        <is>
          <t>附表8!P19</t>
        </is>
      </c>
      <c r="B4597" t="inlineStr">
        <is>
          <t>附表8!M36</t>
        </is>
      </c>
      <c r="C4597" t="inlineStr">
        <is>
          <t>excel_formula</t>
        </is>
      </c>
    </row>
    <row r="4598">
      <c r="A4598" t="inlineStr">
        <is>
          <t>附表8!Q19</t>
        </is>
      </c>
      <c r="B4598" t="inlineStr">
        <is>
          <t>附表8!M37</t>
        </is>
      </c>
      <c r="C4598" t="inlineStr">
        <is>
          <t>excel_formula</t>
        </is>
      </c>
    </row>
    <row r="4599">
      <c r="A4599" t="inlineStr">
        <is>
          <t>附表8!R19</t>
        </is>
      </c>
      <c r="B4599" t="inlineStr">
        <is>
          <t>附表8!M38</t>
        </is>
      </c>
      <c r="C4599" t="inlineStr">
        <is>
          <t>excel_formula</t>
        </is>
      </c>
    </row>
    <row r="4600">
      <c r="A4600" t="inlineStr">
        <is>
          <t>附表8!S19</t>
        </is>
      </c>
      <c r="B4600" t="inlineStr">
        <is>
          <t>附表8!M39</t>
        </is>
      </c>
      <c r="C4600" t="inlineStr">
        <is>
          <t>excel_formula</t>
        </is>
      </c>
    </row>
    <row r="4601">
      <c r="A4601" t="inlineStr">
        <is>
          <t>附表8!T19</t>
        </is>
      </c>
      <c r="B4601" t="inlineStr">
        <is>
          <t>附表8!M40</t>
        </is>
      </c>
      <c r="C4601" t="inlineStr">
        <is>
          <t>excel_formula</t>
        </is>
      </c>
    </row>
    <row r="4602">
      <c r="A4602" t="inlineStr">
        <is>
          <t>附表8!U19</t>
        </is>
      </c>
      <c r="B4602" t="inlineStr">
        <is>
          <t>附表8!M41</t>
        </is>
      </c>
      <c r="C4602" t="inlineStr">
        <is>
          <t>excel_formula</t>
        </is>
      </c>
    </row>
    <row r="4603">
      <c r="A4603" t="inlineStr">
        <is>
          <t>附表8!V19</t>
        </is>
      </c>
      <c r="B4603" t="inlineStr">
        <is>
          <t>附表8!M42</t>
        </is>
      </c>
      <c r="C4603" t="inlineStr">
        <is>
          <t>excel_formula</t>
        </is>
      </c>
    </row>
    <row r="4604">
      <c r="A4604" t="inlineStr">
        <is>
          <t>附表8!W19</t>
        </is>
      </c>
      <c r="B4604" t="inlineStr">
        <is>
          <t>附表8!M43</t>
        </is>
      </c>
      <c r="C4604" t="inlineStr">
        <is>
          <t>excel_formula</t>
        </is>
      </c>
    </row>
    <row r="4605">
      <c r="A4605" t="inlineStr">
        <is>
          <t>附表8!X19</t>
        </is>
      </c>
      <c r="B4605" t="inlineStr">
        <is>
          <t>附表8!M44</t>
        </is>
      </c>
      <c r="C4605" t="inlineStr">
        <is>
          <t>excel_formula</t>
        </is>
      </c>
    </row>
    <row r="4606">
      <c r="A4606" t="inlineStr">
        <is>
          <t>附表8!Y19</t>
        </is>
      </c>
      <c r="B4606" t="inlineStr">
        <is>
          <t>附表8!M45</t>
        </is>
      </c>
      <c r="C4606" t="inlineStr">
        <is>
          <t>excel_formula</t>
        </is>
      </c>
    </row>
    <row r="4607">
      <c r="A4607" t="inlineStr">
        <is>
          <t>附表8!Z19</t>
        </is>
      </c>
      <c r="B4607" t="inlineStr">
        <is>
          <t>附表8!M46</t>
        </is>
      </c>
      <c r="C4607" t="inlineStr">
        <is>
          <t>excel_formula</t>
        </is>
      </c>
    </row>
    <row r="4608">
      <c r="A4608" t="inlineStr">
        <is>
          <t>附表8!AA19</t>
        </is>
      </c>
      <c r="B4608" t="inlineStr">
        <is>
          <t>附表8!M47</t>
        </is>
      </c>
      <c r="C4608" t="inlineStr">
        <is>
          <t>excel_formula</t>
        </is>
      </c>
    </row>
    <row r="4609">
      <c r="A4609" t="inlineStr">
        <is>
          <t>附表8!D20</t>
        </is>
      </c>
      <c r="B4609" t="inlineStr">
        <is>
          <t>附表8!L24</t>
        </is>
      </c>
      <c r="C4609" t="inlineStr">
        <is>
          <t>excel_formula</t>
        </is>
      </c>
    </row>
    <row r="4610">
      <c r="A4610" t="inlineStr">
        <is>
          <t>附表8!E20</t>
        </is>
      </c>
      <c r="B4610" t="inlineStr">
        <is>
          <t>附表8!L25</t>
        </is>
      </c>
      <c r="C4610" t="inlineStr">
        <is>
          <t>excel_formula</t>
        </is>
      </c>
    </row>
    <row r="4611">
      <c r="A4611" t="inlineStr">
        <is>
          <t>附表8!F20</t>
        </is>
      </c>
      <c r="B4611" t="inlineStr">
        <is>
          <t>附表8!L26</t>
        </is>
      </c>
      <c r="C4611" t="inlineStr">
        <is>
          <t>excel_formula</t>
        </is>
      </c>
    </row>
    <row r="4612">
      <c r="A4612" t="inlineStr">
        <is>
          <t>附表8!G20</t>
        </is>
      </c>
      <c r="B4612" t="inlineStr">
        <is>
          <t>附表8!L27</t>
        </is>
      </c>
      <c r="C4612" t="inlineStr">
        <is>
          <t>excel_formula</t>
        </is>
      </c>
    </row>
    <row r="4613">
      <c r="A4613" t="inlineStr">
        <is>
          <t>附表8!H20</t>
        </is>
      </c>
      <c r="B4613" t="inlineStr">
        <is>
          <t>附表8!L28</t>
        </is>
      </c>
      <c r="C4613" t="inlineStr">
        <is>
          <t>excel_formula</t>
        </is>
      </c>
    </row>
    <row r="4614">
      <c r="A4614" t="inlineStr">
        <is>
          <t>附表8!I20</t>
        </is>
      </c>
      <c r="B4614" t="inlineStr">
        <is>
          <t>附表8!L29</t>
        </is>
      </c>
      <c r="C4614" t="inlineStr">
        <is>
          <t>excel_formula</t>
        </is>
      </c>
    </row>
    <row r="4615">
      <c r="A4615" t="inlineStr">
        <is>
          <t>附表8!J20</t>
        </is>
      </c>
      <c r="B4615" t="inlineStr">
        <is>
          <t>附表8!L30</t>
        </is>
      </c>
      <c r="C4615" t="inlineStr">
        <is>
          <t>excel_formula</t>
        </is>
      </c>
    </row>
    <row r="4616">
      <c r="A4616" t="inlineStr">
        <is>
          <t>附表8!K20</t>
        </is>
      </c>
      <c r="B4616" t="inlineStr">
        <is>
          <t>附表8!L31</t>
        </is>
      </c>
      <c r="C4616" t="inlineStr">
        <is>
          <t>excel_formula</t>
        </is>
      </c>
    </row>
    <row r="4617">
      <c r="A4617" t="inlineStr">
        <is>
          <t>附表8!L20</t>
        </is>
      </c>
      <c r="B4617" t="inlineStr">
        <is>
          <t>附表8!L32</t>
        </is>
      </c>
      <c r="C4617" t="inlineStr">
        <is>
          <t>excel_formula</t>
        </is>
      </c>
    </row>
    <row r="4618">
      <c r="A4618" t="inlineStr">
        <is>
          <t>附表8!M20</t>
        </is>
      </c>
      <c r="B4618" t="inlineStr">
        <is>
          <t>附表8!L33</t>
        </is>
      </c>
      <c r="C4618" t="inlineStr">
        <is>
          <t>excel_formula</t>
        </is>
      </c>
    </row>
    <row r="4619">
      <c r="A4619" t="inlineStr">
        <is>
          <t>附表8!N20</t>
        </is>
      </c>
      <c r="B4619" t="inlineStr">
        <is>
          <t>附表8!L34</t>
        </is>
      </c>
      <c r="C4619" t="inlineStr">
        <is>
          <t>excel_formula</t>
        </is>
      </c>
    </row>
    <row r="4620">
      <c r="A4620" t="inlineStr">
        <is>
          <t>附表8!O20</t>
        </is>
      </c>
      <c r="B4620" t="inlineStr">
        <is>
          <t>附表8!L35</t>
        </is>
      </c>
      <c r="C4620" t="inlineStr">
        <is>
          <t>excel_formula</t>
        </is>
      </c>
    </row>
    <row r="4621">
      <c r="A4621" t="inlineStr">
        <is>
          <t>附表8!P20</t>
        </is>
      </c>
      <c r="B4621" t="inlineStr">
        <is>
          <t>附表8!L36</t>
        </is>
      </c>
      <c r="C4621" t="inlineStr">
        <is>
          <t>excel_formula</t>
        </is>
      </c>
    </row>
    <row r="4622">
      <c r="A4622" t="inlineStr">
        <is>
          <t>附表8!Q20</t>
        </is>
      </c>
      <c r="B4622" t="inlineStr">
        <is>
          <t>附表8!L37</t>
        </is>
      </c>
      <c r="C4622" t="inlineStr">
        <is>
          <t>excel_formula</t>
        </is>
      </c>
    </row>
    <row r="4623">
      <c r="A4623" t="inlineStr">
        <is>
          <t>附表8!R20</t>
        </is>
      </c>
      <c r="B4623" t="inlineStr">
        <is>
          <t>附表8!L38</t>
        </is>
      </c>
      <c r="C4623" t="inlineStr">
        <is>
          <t>excel_formula</t>
        </is>
      </c>
    </row>
    <row r="4624">
      <c r="A4624" t="inlineStr">
        <is>
          <t>附表8!S20</t>
        </is>
      </c>
      <c r="B4624" t="inlineStr">
        <is>
          <t>附表8!L39</t>
        </is>
      </c>
      <c r="C4624" t="inlineStr">
        <is>
          <t>excel_formula</t>
        </is>
      </c>
    </row>
    <row r="4625">
      <c r="A4625" t="inlineStr">
        <is>
          <t>附表8!T20</t>
        </is>
      </c>
      <c r="B4625" t="inlineStr">
        <is>
          <t>附表8!L40</t>
        </is>
      </c>
      <c r="C4625" t="inlineStr">
        <is>
          <t>excel_formula</t>
        </is>
      </c>
    </row>
    <row r="4626">
      <c r="A4626" t="inlineStr">
        <is>
          <t>附表8!U20</t>
        </is>
      </c>
      <c r="B4626" t="inlineStr">
        <is>
          <t>附表8!L41</t>
        </is>
      </c>
      <c r="C4626" t="inlineStr">
        <is>
          <t>excel_formula</t>
        </is>
      </c>
    </row>
    <row r="4627">
      <c r="A4627" t="inlineStr">
        <is>
          <t>附表8!V20</t>
        </is>
      </c>
      <c r="B4627" t="inlineStr">
        <is>
          <t>附表8!L42</t>
        </is>
      </c>
      <c r="C4627" t="inlineStr">
        <is>
          <t>excel_formula</t>
        </is>
      </c>
    </row>
    <row r="4628">
      <c r="A4628" t="inlineStr">
        <is>
          <t>附表8!W20</t>
        </is>
      </c>
      <c r="B4628" t="inlineStr">
        <is>
          <t>附表8!L43</t>
        </is>
      </c>
      <c r="C4628" t="inlineStr">
        <is>
          <t>excel_formula</t>
        </is>
      </c>
    </row>
    <row r="4629">
      <c r="A4629" t="inlineStr">
        <is>
          <t>附表8!X20</t>
        </is>
      </c>
      <c r="B4629" t="inlineStr">
        <is>
          <t>附表8!L44</t>
        </is>
      </c>
      <c r="C4629" t="inlineStr">
        <is>
          <t>excel_formula</t>
        </is>
      </c>
    </row>
    <row r="4630">
      <c r="A4630" t="inlineStr">
        <is>
          <t>附表8!Y20</t>
        </is>
      </c>
      <c r="B4630" t="inlineStr">
        <is>
          <t>附表8!L45</t>
        </is>
      </c>
      <c r="C4630" t="inlineStr">
        <is>
          <t>excel_formula</t>
        </is>
      </c>
    </row>
    <row r="4631">
      <c r="A4631" t="inlineStr">
        <is>
          <t>附表8!Z20</t>
        </is>
      </c>
      <c r="B4631" t="inlineStr">
        <is>
          <t>附表8!L46</t>
        </is>
      </c>
      <c r="C4631" t="inlineStr">
        <is>
          <t>excel_formula</t>
        </is>
      </c>
    </row>
    <row r="4632">
      <c r="A4632" t="inlineStr">
        <is>
          <t>附表8!AA20</t>
        </is>
      </c>
      <c r="B4632" t="inlineStr">
        <is>
          <t>附表8!L47</t>
        </is>
      </c>
      <c r="C4632" t="inlineStr">
        <is>
          <t>excel_formula</t>
        </is>
      </c>
    </row>
    <row r="4633">
      <c r="A4633" t="inlineStr">
        <is>
          <t>附表9!D5</t>
        </is>
      </c>
      <c r="B4633" t="inlineStr">
        <is>
          <t>附表9!C20</t>
        </is>
      </c>
      <c r="C4633" t="inlineStr">
        <is>
          <t>excel_formula</t>
        </is>
      </c>
    </row>
    <row r="4634">
      <c r="A4634" t="inlineStr">
        <is>
          <t>附表9!E5</t>
        </is>
      </c>
      <c r="B4634" t="inlineStr">
        <is>
          <t>附表9!C21</t>
        </is>
      </c>
      <c r="C4634" t="inlineStr">
        <is>
          <t>excel_formula</t>
        </is>
      </c>
    </row>
    <row r="4635">
      <c r="A4635" t="inlineStr">
        <is>
          <t>附表9!F5</t>
        </is>
      </c>
      <c r="B4635" t="inlineStr">
        <is>
          <t>附表9!C22</t>
        </is>
      </c>
      <c r="C4635" t="inlineStr">
        <is>
          <t>excel_formula</t>
        </is>
      </c>
    </row>
    <row r="4636">
      <c r="A4636" t="inlineStr">
        <is>
          <t>附表9!G5</t>
        </is>
      </c>
      <c r="B4636" t="inlineStr">
        <is>
          <t>附表9!C23</t>
        </is>
      </c>
      <c r="C4636" t="inlineStr">
        <is>
          <t>excel_formula</t>
        </is>
      </c>
    </row>
    <row r="4637">
      <c r="A4637" t="inlineStr">
        <is>
          <t>附表9!H5</t>
        </is>
      </c>
      <c r="B4637" t="inlineStr">
        <is>
          <t>附表9!C24</t>
        </is>
      </c>
      <c r="C4637" t="inlineStr">
        <is>
          <t>excel_formula</t>
        </is>
      </c>
    </row>
    <row r="4638">
      <c r="A4638" t="inlineStr">
        <is>
          <t>附表9!I5</t>
        </is>
      </c>
      <c r="B4638" t="inlineStr">
        <is>
          <t>附表9!C25</t>
        </is>
      </c>
      <c r="C4638" t="inlineStr">
        <is>
          <t>excel_formula</t>
        </is>
      </c>
    </row>
    <row r="4639">
      <c r="A4639" t="inlineStr">
        <is>
          <t>附表9!J5</t>
        </is>
      </c>
      <c r="B4639" t="inlineStr">
        <is>
          <t>附表9!C26</t>
        </is>
      </c>
      <c r="C4639" t="inlineStr">
        <is>
          <t>excel_formula</t>
        </is>
      </c>
    </row>
    <row r="4640">
      <c r="A4640" t="inlineStr">
        <is>
          <t>附表9!K5</t>
        </is>
      </c>
      <c r="B4640" t="inlineStr">
        <is>
          <t>附表9!C27</t>
        </is>
      </c>
      <c r="C4640" t="inlineStr">
        <is>
          <t>excel_formula</t>
        </is>
      </c>
    </row>
    <row r="4641">
      <c r="A4641" t="inlineStr">
        <is>
          <t>附表9!L5</t>
        </is>
      </c>
      <c r="B4641" t="inlineStr">
        <is>
          <t>附表9!C28</t>
        </is>
      </c>
      <c r="C4641" t="inlineStr">
        <is>
          <t>excel_formula</t>
        </is>
      </c>
    </row>
    <row r="4642">
      <c r="A4642" t="inlineStr">
        <is>
          <t>附表9!M5</t>
        </is>
      </c>
      <c r="B4642" t="inlineStr">
        <is>
          <t>附表9!C29</t>
        </is>
      </c>
      <c r="C4642" t="inlineStr">
        <is>
          <t>excel_formula</t>
        </is>
      </c>
    </row>
    <row r="4643">
      <c r="A4643" t="inlineStr">
        <is>
          <t>附表9!N5</t>
        </is>
      </c>
      <c r="B4643" t="inlineStr">
        <is>
          <t>附表9!C30</t>
        </is>
      </c>
      <c r="C4643" t="inlineStr">
        <is>
          <t>excel_formula</t>
        </is>
      </c>
    </row>
    <row r="4644">
      <c r="A4644" t="inlineStr">
        <is>
          <t>附表9!O5</t>
        </is>
      </c>
      <c r="B4644" t="inlineStr">
        <is>
          <t>附表9!C31</t>
        </is>
      </c>
      <c r="C4644" t="inlineStr">
        <is>
          <t>excel_formula</t>
        </is>
      </c>
    </row>
    <row r="4645">
      <c r="A4645" t="inlineStr">
        <is>
          <t>附表9!P5</t>
        </is>
      </c>
      <c r="B4645" t="inlineStr">
        <is>
          <t>附表9!C32</t>
        </is>
      </c>
      <c r="C4645" t="inlineStr">
        <is>
          <t>excel_formula</t>
        </is>
      </c>
    </row>
    <row r="4646">
      <c r="A4646" t="inlineStr">
        <is>
          <t>附表9!Q5</t>
        </is>
      </c>
      <c r="B4646" t="inlineStr">
        <is>
          <t>附表9!C33</t>
        </is>
      </c>
      <c r="C4646" t="inlineStr">
        <is>
          <t>excel_formula</t>
        </is>
      </c>
    </row>
    <row r="4647">
      <c r="A4647" t="inlineStr">
        <is>
          <t>附表9!R5</t>
        </is>
      </c>
      <c r="B4647" t="inlineStr">
        <is>
          <t>附表9!C34</t>
        </is>
      </c>
      <c r="C4647" t="inlineStr">
        <is>
          <t>excel_formula</t>
        </is>
      </c>
    </row>
    <row r="4648">
      <c r="A4648" t="inlineStr">
        <is>
          <t>附表9!S5</t>
        </is>
      </c>
      <c r="B4648" t="inlineStr">
        <is>
          <t>附表9!C35</t>
        </is>
      </c>
      <c r="C4648" t="inlineStr">
        <is>
          <t>excel_formula</t>
        </is>
      </c>
    </row>
    <row r="4649">
      <c r="A4649" t="inlineStr">
        <is>
          <t>附表9!T5</t>
        </is>
      </c>
      <c r="B4649" t="inlineStr">
        <is>
          <t>附表9!C36</t>
        </is>
      </c>
      <c r="C4649" t="inlineStr">
        <is>
          <t>excel_formula</t>
        </is>
      </c>
    </row>
    <row r="4650">
      <c r="A4650" t="inlineStr">
        <is>
          <t>附表9!U5</t>
        </is>
      </c>
      <c r="B4650" t="inlineStr">
        <is>
          <t>附表9!C37</t>
        </is>
      </c>
      <c r="C4650" t="inlineStr">
        <is>
          <t>excel_formula</t>
        </is>
      </c>
    </row>
    <row r="4651">
      <c r="A4651" t="inlineStr">
        <is>
          <t>附表9!V5</t>
        </is>
      </c>
      <c r="B4651" t="inlineStr">
        <is>
          <t>附表9!C38</t>
        </is>
      </c>
      <c r="C4651" t="inlineStr">
        <is>
          <t>excel_formula</t>
        </is>
      </c>
    </row>
    <row r="4652">
      <c r="A4652" t="inlineStr">
        <is>
          <t>附表9!W5</t>
        </is>
      </c>
      <c r="B4652" t="inlineStr">
        <is>
          <t>附表9!C39</t>
        </is>
      </c>
      <c r="C4652" t="inlineStr">
        <is>
          <t>excel_formula</t>
        </is>
      </c>
    </row>
    <row r="4653">
      <c r="A4653" t="inlineStr">
        <is>
          <t>附表9!X5</t>
        </is>
      </c>
      <c r="B4653" t="inlineStr">
        <is>
          <t>附表9!C40</t>
        </is>
      </c>
      <c r="C4653" t="inlineStr">
        <is>
          <t>excel_formula</t>
        </is>
      </c>
    </row>
    <row r="4654">
      <c r="A4654" t="inlineStr">
        <is>
          <t>附表9!Y5</t>
        </is>
      </c>
      <c r="B4654" t="inlineStr">
        <is>
          <t>附表9!C41</t>
        </is>
      </c>
      <c r="C4654" t="inlineStr">
        <is>
          <t>excel_formula</t>
        </is>
      </c>
    </row>
    <row r="4655">
      <c r="A4655" t="inlineStr">
        <is>
          <t>附表9!Z5</t>
        </is>
      </c>
      <c r="B4655" t="inlineStr">
        <is>
          <t>附表9!C42</t>
        </is>
      </c>
      <c r="C4655" t="inlineStr">
        <is>
          <t>excel_formula</t>
        </is>
      </c>
    </row>
    <row r="4656">
      <c r="A4656" t="inlineStr">
        <is>
          <t>附表9!AA5</t>
        </is>
      </c>
      <c r="B4656" t="inlineStr">
        <is>
          <t>附表9!C43</t>
        </is>
      </c>
      <c r="C4656" t="inlineStr">
        <is>
          <t>excel_formula</t>
        </is>
      </c>
    </row>
    <row r="4657">
      <c r="A4657" t="inlineStr">
        <is>
          <t>附表9!AB5</t>
        </is>
      </c>
      <c r="B4657" t="inlineStr">
        <is>
          <t>附表9!C44</t>
        </is>
      </c>
      <c r="C4657" t="inlineStr">
        <is>
          <t>excel_formula</t>
        </is>
      </c>
    </row>
    <row r="4658">
      <c r="A4658" t="inlineStr">
        <is>
          <t>附表9!D9</t>
        </is>
      </c>
      <c r="B4658" t="inlineStr">
        <is>
          <t>附表9!G20</t>
        </is>
      </c>
      <c r="C4658" t="inlineStr">
        <is>
          <t>excel_formula</t>
        </is>
      </c>
    </row>
    <row r="4659">
      <c r="A4659" t="inlineStr">
        <is>
          <t>附表9!E9</t>
        </is>
      </c>
      <c r="B4659" t="inlineStr">
        <is>
          <t>附表9!G21</t>
        </is>
      </c>
      <c r="C4659" t="inlineStr">
        <is>
          <t>excel_formula</t>
        </is>
      </c>
    </row>
    <row r="4660">
      <c r="A4660" t="inlineStr">
        <is>
          <t>附表9!F9</t>
        </is>
      </c>
      <c r="B4660" t="inlineStr">
        <is>
          <t>附表9!G22</t>
        </is>
      </c>
      <c r="C4660" t="inlineStr">
        <is>
          <t>excel_formula</t>
        </is>
      </c>
    </row>
    <row r="4661">
      <c r="A4661" t="inlineStr">
        <is>
          <t>附表9!G9</t>
        </is>
      </c>
      <c r="B4661" t="inlineStr">
        <is>
          <t>附表9!G23</t>
        </is>
      </c>
      <c r="C4661" t="inlineStr">
        <is>
          <t>excel_formula</t>
        </is>
      </c>
    </row>
    <row r="4662">
      <c r="A4662" t="inlineStr">
        <is>
          <t>附表9!H9</t>
        </is>
      </c>
      <c r="B4662" t="inlineStr">
        <is>
          <t>附表9!G24</t>
        </is>
      </c>
      <c r="C4662" t="inlineStr">
        <is>
          <t>excel_formula</t>
        </is>
      </c>
    </row>
    <row r="4663">
      <c r="A4663" t="inlineStr">
        <is>
          <t>附表9!I9</t>
        </is>
      </c>
      <c r="B4663" t="inlineStr">
        <is>
          <t>附表9!G25</t>
        </is>
      </c>
      <c r="C4663" t="inlineStr">
        <is>
          <t>excel_formula</t>
        </is>
      </c>
    </row>
    <row r="4664">
      <c r="A4664" t="inlineStr">
        <is>
          <t>附表9!J9</t>
        </is>
      </c>
      <c r="B4664" t="inlineStr">
        <is>
          <t>附表9!G26</t>
        </is>
      </c>
      <c r="C4664" t="inlineStr">
        <is>
          <t>excel_formula</t>
        </is>
      </c>
    </row>
    <row r="4665">
      <c r="A4665" t="inlineStr">
        <is>
          <t>附表9!K9</t>
        </is>
      </c>
      <c r="B4665" t="inlineStr">
        <is>
          <t>附表9!G27</t>
        </is>
      </c>
      <c r="C4665" t="inlineStr">
        <is>
          <t>excel_formula</t>
        </is>
      </c>
    </row>
    <row r="4666">
      <c r="A4666" t="inlineStr">
        <is>
          <t>附表9!L9</t>
        </is>
      </c>
      <c r="B4666" t="inlineStr">
        <is>
          <t>附表9!G28</t>
        </is>
      </c>
      <c r="C4666" t="inlineStr">
        <is>
          <t>excel_formula</t>
        </is>
      </c>
    </row>
    <row r="4667">
      <c r="A4667" t="inlineStr">
        <is>
          <t>附表9!M9</t>
        </is>
      </c>
      <c r="B4667" t="inlineStr">
        <is>
          <t>附表9!G29</t>
        </is>
      </c>
      <c r="C4667" t="inlineStr">
        <is>
          <t>excel_formula</t>
        </is>
      </c>
    </row>
    <row r="4668">
      <c r="A4668" t="inlineStr">
        <is>
          <t>附表9!N9</t>
        </is>
      </c>
      <c r="B4668" t="inlineStr">
        <is>
          <t>附表9!G30</t>
        </is>
      </c>
      <c r="C4668" t="inlineStr">
        <is>
          <t>excel_formula</t>
        </is>
      </c>
    </row>
    <row r="4669">
      <c r="A4669" t="inlineStr">
        <is>
          <t>附表9!O9</t>
        </is>
      </c>
      <c r="B4669" t="inlineStr">
        <is>
          <t>附表9!G31</t>
        </is>
      </c>
      <c r="C4669" t="inlineStr">
        <is>
          <t>excel_formula</t>
        </is>
      </c>
    </row>
    <row r="4670">
      <c r="A4670" t="inlineStr">
        <is>
          <t>附表9!P9</t>
        </is>
      </c>
      <c r="B4670" t="inlineStr">
        <is>
          <t>附表9!G32</t>
        </is>
      </c>
      <c r="C4670" t="inlineStr">
        <is>
          <t>excel_formula</t>
        </is>
      </c>
    </row>
    <row r="4671">
      <c r="A4671" t="inlineStr">
        <is>
          <t>附表9!Q9</t>
        </is>
      </c>
      <c r="B4671" t="inlineStr">
        <is>
          <t>附表9!G33</t>
        </is>
      </c>
      <c r="C4671" t="inlineStr">
        <is>
          <t>excel_formula</t>
        </is>
      </c>
    </row>
    <row r="4672">
      <c r="A4672" t="inlineStr">
        <is>
          <t>附表9!R9</t>
        </is>
      </c>
      <c r="B4672" t="inlineStr">
        <is>
          <t>附表9!G34</t>
        </is>
      </c>
      <c r="C4672" t="inlineStr">
        <is>
          <t>excel_formula</t>
        </is>
      </c>
    </row>
    <row r="4673">
      <c r="A4673" t="inlineStr">
        <is>
          <t>附表9!S9</t>
        </is>
      </c>
      <c r="B4673" t="inlineStr">
        <is>
          <t>附表9!G35</t>
        </is>
      </c>
      <c r="C4673" t="inlineStr">
        <is>
          <t>excel_formula</t>
        </is>
      </c>
    </row>
    <row r="4674">
      <c r="A4674" t="inlineStr">
        <is>
          <t>附表9!T9</t>
        </is>
      </c>
      <c r="B4674" t="inlineStr">
        <is>
          <t>附表9!G36</t>
        </is>
      </c>
      <c r="C4674" t="inlineStr">
        <is>
          <t>excel_formula</t>
        </is>
      </c>
    </row>
    <row r="4675">
      <c r="A4675" t="inlineStr">
        <is>
          <t>附表9!U9</t>
        </is>
      </c>
      <c r="B4675" t="inlineStr">
        <is>
          <t>附表9!G37</t>
        </is>
      </c>
      <c r="C4675" t="inlineStr">
        <is>
          <t>excel_formula</t>
        </is>
      </c>
    </row>
    <row r="4676">
      <c r="A4676" t="inlineStr">
        <is>
          <t>附表9!V9</t>
        </is>
      </c>
      <c r="B4676" t="inlineStr">
        <is>
          <t>附表9!G38</t>
        </is>
      </c>
      <c r="C4676" t="inlineStr">
        <is>
          <t>excel_formula</t>
        </is>
      </c>
    </row>
    <row r="4677">
      <c r="A4677" t="inlineStr">
        <is>
          <t>附表9!W9</t>
        </is>
      </c>
      <c r="B4677" t="inlineStr">
        <is>
          <t>附表9!G39</t>
        </is>
      </c>
      <c r="C4677" t="inlineStr">
        <is>
          <t>excel_formula</t>
        </is>
      </c>
    </row>
    <row r="4678">
      <c r="A4678" t="inlineStr">
        <is>
          <t>附表9!X9</t>
        </is>
      </c>
      <c r="B4678" t="inlineStr">
        <is>
          <t>附表9!G40</t>
        </is>
      </c>
      <c r="C4678" t="inlineStr">
        <is>
          <t>excel_formula</t>
        </is>
      </c>
    </row>
    <row r="4679">
      <c r="A4679" t="inlineStr">
        <is>
          <t>附表9!Y9</t>
        </is>
      </c>
      <c r="B4679" t="inlineStr">
        <is>
          <t>附表9!G41</t>
        </is>
      </c>
      <c r="C4679" t="inlineStr">
        <is>
          <t>excel_formula</t>
        </is>
      </c>
    </row>
    <row r="4680">
      <c r="A4680" t="inlineStr">
        <is>
          <t>附表9!Z9</t>
        </is>
      </c>
      <c r="B4680" t="inlineStr">
        <is>
          <t>附表9!G42</t>
        </is>
      </c>
      <c r="C4680" t="inlineStr">
        <is>
          <t>excel_formula</t>
        </is>
      </c>
    </row>
    <row r="4681">
      <c r="A4681" t="inlineStr">
        <is>
          <t>附表9!AA9</t>
        </is>
      </c>
      <c r="B4681" t="inlineStr">
        <is>
          <t>附表9!G43</t>
        </is>
      </c>
      <c r="C4681" t="inlineStr">
        <is>
          <t>excel_formula</t>
        </is>
      </c>
    </row>
    <row r="4682">
      <c r="A4682" t="inlineStr">
        <is>
          <t>附表9!AB9</t>
        </is>
      </c>
      <c r="B4682" t="inlineStr">
        <is>
          <t>附表9!G44</t>
        </is>
      </c>
      <c r="C4682" t="inlineStr">
        <is>
          <t>excel_formula</t>
        </is>
      </c>
    </row>
    <row r="4683">
      <c r="A4683" t="inlineStr">
        <is>
          <t>附表9!D10</t>
        </is>
      </c>
      <c r="B4683" t="inlineStr">
        <is>
          <t>附表9!H20</t>
        </is>
      </c>
      <c r="C4683" t="inlineStr">
        <is>
          <t>excel_formula</t>
        </is>
      </c>
    </row>
    <row r="4684">
      <c r="A4684" t="inlineStr">
        <is>
          <t>附表9!E10</t>
        </is>
      </c>
      <c r="B4684" t="inlineStr">
        <is>
          <t>附表9!H21</t>
        </is>
      </c>
      <c r="C4684" t="inlineStr">
        <is>
          <t>excel_formula</t>
        </is>
      </c>
    </row>
    <row r="4685">
      <c r="A4685" t="inlineStr">
        <is>
          <t>附表9!F10</t>
        </is>
      </c>
      <c r="B4685" t="inlineStr">
        <is>
          <t>附表9!H22</t>
        </is>
      </c>
      <c r="C4685" t="inlineStr">
        <is>
          <t>excel_formula</t>
        </is>
      </c>
    </row>
    <row r="4686">
      <c r="A4686" t="inlineStr">
        <is>
          <t>附表9!G10</t>
        </is>
      </c>
      <c r="B4686" t="inlineStr">
        <is>
          <t>附表9!H23</t>
        </is>
      </c>
      <c r="C4686" t="inlineStr">
        <is>
          <t>excel_formula</t>
        </is>
      </c>
    </row>
    <row r="4687">
      <c r="A4687" t="inlineStr">
        <is>
          <t>附表9!H10</t>
        </is>
      </c>
      <c r="B4687" t="inlineStr">
        <is>
          <t>附表9!H24</t>
        </is>
      </c>
      <c r="C4687" t="inlineStr">
        <is>
          <t>excel_formula</t>
        </is>
      </c>
    </row>
    <row r="4688">
      <c r="A4688" t="inlineStr">
        <is>
          <t>附表9!I10</t>
        </is>
      </c>
      <c r="B4688" t="inlineStr">
        <is>
          <t>附表9!H25</t>
        </is>
      </c>
      <c r="C4688" t="inlineStr">
        <is>
          <t>excel_formula</t>
        </is>
      </c>
    </row>
    <row r="4689">
      <c r="A4689" t="inlineStr">
        <is>
          <t>附表9!J10</t>
        </is>
      </c>
      <c r="B4689" t="inlineStr">
        <is>
          <t>附表9!H26</t>
        </is>
      </c>
      <c r="C4689" t="inlineStr">
        <is>
          <t>excel_formula</t>
        </is>
      </c>
    </row>
    <row r="4690">
      <c r="A4690" t="inlineStr">
        <is>
          <t>附表9!K10</t>
        </is>
      </c>
      <c r="B4690" t="inlineStr">
        <is>
          <t>附表9!H27</t>
        </is>
      </c>
      <c r="C4690" t="inlineStr">
        <is>
          <t>excel_formula</t>
        </is>
      </c>
    </row>
    <row r="4691">
      <c r="A4691" t="inlineStr">
        <is>
          <t>附表9!L10</t>
        </is>
      </c>
      <c r="B4691" t="inlineStr">
        <is>
          <t>附表9!H28</t>
        </is>
      </c>
      <c r="C4691" t="inlineStr">
        <is>
          <t>excel_formula</t>
        </is>
      </c>
    </row>
    <row r="4692">
      <c r="A4692" t="inlineStr">
        <is>
          <t>附表9!M10</t>
        </is>
      </c>
      <c r="B4692" t="inlineStr">
        <is>
          <t>附表9!H29</t>
        </is>
      </c>
      <c r="C4692" t="inlineStr">
        <is>
          <t>excel_formula</t>
        </is>
      </c>
    </row>
    <row r="4693">
      <c r="A4693" t="inlineStr">
        <is>
          <t>附表9!N10</t>
        </is>
      </c>
      <c r="B4693" t="inlineStr">
        <is>
          <t>附表9!H30</t>
        </is>
      </c>
      <c r="C4693" t="inlineStr">
        <is>
          <t>excel_formula</t>
        </is>
      </c>
    </row>
    <row r="4694">
      <c r="A4694" t="inlineStr">
        <is>
          <t>附表9!O10</t>
        </is>
      </c>
      <c r="B4694" t="inlineStr">
        <is>
          <t>附表9!H31</t>
        </is>
      </c>
      <c r="C4694" t="inlineStr">
        <is>
          <t>excel_formula</t>
        </is>
      </c>
    </row>
    <row r="4695">
      <c r="A4695" t="inlineStr">
        <is>
          <t>附表9!P10</t>
        </is>
      </c>
      <c r="B4695" t="inlineStr">
        <is>
          <t>附表9!H32</t>
        </is>
      </c>
      <c r="C4695" t="inlineStr">
        <is>
          <t>excel_formula</t>
        </is>
      </c>
    </row>
    <row r="4696">
      <c r="A4696" t="inlineStr">
        <is>
          <t>附表9!Q10</t>
        </is>
      </c>
      <c r="B4696" t="inlineStr">
        <is>
          <t>附表9!H33</t>
        </is>
      </c>
      <c r="C4696" t="inlineStr">
        <is>
          <t>excel_formula</t>
        </is>
      </c>
    </row>
    <row r="4697">
      <c r="A4697" t="inlineStr">
        <is>
          <t>附表9!R10</t>
        </is>
      </c>
      <c r="B4697" t="inlineStr">
        <is>
          <t>附表9!H34</t>
        </is>
      </c>
      <c r="C4697" t="inlineStr">
        <is>
          <t>excel_formula</t>
        </is>
      </c>
    </row>
    <row r="4698">
      <c r="A4698" t="inlineStr">
        <is>
          <t>附表9!S10</t>
        </is>
      </c>
      <c r="B4698" t="inlineStr">
        <is>
          <t>附表9!H35</t>
        </is>
      </c>
      <c r="C4698" t="inlineStr">
        <is>
          <t>excel_formula</t>
        </is>
      </c>
    </row>
    <row r="4699">
      <c r="A4699" t="inlineStr">
        <is>
          <t>附表9!T10</t>
        </is>
      </c>
      <c r="B4699" t="inlineStr">
        <is>
          <t>附表9!H36</t>
        </is>
      </c>
      <c r="C4699" t="inlineStr">
        <is>
          <t>excel_formula</t>
        </is>
      </c>
    </row>
    <row r="4700">
      <c r="A4700" t="inlineStr">
        <is>
          <t>附表9!U10</t>
        </is>
      </c>
      <c r="B4700" t="inlineStr">
        <is>
          <t>附表9!H37</t>
        </is>
      </c>
      <c r="C4700" t="inlineStr">
        <is>
          <t>excel_formula</t>
        </is>
      </c>
    </row>
    <row r="4701">
      <c r="A4701" t="inlineStr">
        <is>
          <t>附表9!V10</t>
        </is>
      </c>
      <c r="B4701" t="inlineStr">
        <is>
          <t>附表9!H38</t>
        </is>
      </c>
      <c r="C4701" t="inlineStr">
        <is>
          <t>excel_formula</t>
        </is>
      </c>
    </row>
    <row r="4702">
      <c r="A4702" t="inlineStr">
        <is>
          <t>附表9!W10</t>
        </is>
      </c>
      <c r="B4702" t="inlineStr">
        <is>
          <t>附表9!H39</t>
        </is>
      </c>
      <c r="C4702" t="inlineStr">
        <is>
          <t>excel_formula</t>
        </is>
      </c>
    </row>
    <row r="4703">
      <c r="A4703" t="inlineStr">
        <is>
          <t>附表9!X10</t>
        </is>
      </c>
      <c r="B4703" t="inlineStr">
        <is>
          <t>附表9!H40</t>
        </is>
      </c>
      <c r="C4703" t="inlineStr">
        <is>
          <t>excel_formula</t>
        </is>
      </c>
    </row>
    <row r="4704">
      <c r="A4704" t="inlineStr">
        <is>
          <t>附表9!Y10</t>
        </is>
      </c>
      <c r="B4704" t="inlineStr">
        <is>
          <t>附表9!H41</t>
        </is>
      </c>
      <c r="C4704" t="inlineStr">
        <is>
          <t>excel_formula</t>
        </is>
      </c>
    </row>
    <row r="4705">
      <c r="A4705" t="inlineStr">
        <is>
          <t>附表9!Z10</t>
        </is>
      </c>
      <c r="B4705" t="inlineStr">
        <is>
          <t>附表9!H42</t>
        </is>
      </c>
      <c r="C4705" t="inlineStr">
        <is>
          <t>excel_formula</t>
        </is>
      </c>
    </row>
    <row r="4706">
      <c r="A4706" t="inlineStr">
        <is>
          <t>附表9!AA10</t>
        </is>
      </c>
      <c r="B4706" t="inlineStr">
        <is>
          <t>附表9!H43</t>
        </is>
      </c>
      <c r="C4706" t="inlineStr">
        <is>
          <t>excel_formula</t>
        </is>
      </c>
    </row>
    <row r="4707">
      <c r="A4707" t="inlineStr">
        <is>
          <t>附表9!AB10</t>
        </is>
      </c>
      <c r="B4707" t="inlineStr">
        <is>
          <t>附表9!H44</t>
        </is>
      </c>
      <c r="C4707" t="inlineStr">
        <is>
          <t>excel_formula</t>
        </is>
      </c>
    </row>
    <row r="4708">
      <c r="A4708" t="inlineStr">
        <is>
          <t>附表9!D11</t>
        </is>
      </c>
      <c r="B4708" t="inlineStr">
        <is>
          <t>附表9!D20</t>
        </is>
      </c>
      <c r="C4708" t="inlineStr">
        <is>
          <t>excel_formula</t>
        </is>
      </c>
    </row>
    <row r="4709">
      <c r="A4709" t="inlineStr">
        <is>
          <t>附表9!E11</t>
        </is>
      </c>
      <c r="B4709" t="inlineStr">
        <is>
          <t>附表9!D21</t>
        </is>
      </c>
      <c r="C4709" t="inlineStr">
        <is>
          <t>excel_formula</t>
        </is>
      </c>
    </row>
    <row r="4710">
      <c r="A4710" t="inlineStr">
        <is>
          <t>附表9!F11</t>
        </is>
      </c>
      <c r="B4710" t="inlineStr">
        <is>
          <t>附表9!D22</t>
        </is>
      </c>
      <c r="C4710" t="inlineStr">
        <is>
          <t>excel_formula</t>
        </is>
      </c>
    </row>
    <row r="4711">
      <c r="A4711" t="inlineStr">
        <is>
          <t>附表9!G11</t>
        </is>
      </c>
      <c r="B4711" t="inlineStr">
        <is>
          <t>附表9!D23</t>
        </is>
      </c>
      <c r="C4711" t="inlineStr">
        <is>
          <t>excel_formula</t>
        </is>
      </c>
    </row>
    <row r="4712">
      <c r="A4712" t="inlineStr">
        <is>
          <t>附表9!H11</t>
        </is>
      </c>
      <c r="B4712" t="inlineStr">
        <is>
          <t>附表9!D24</t>
        </is>
      </c>
      <c r="C4712" t="inlineStr">
        <is>
          <t>excel_formula</t>
        </is>
      </c>
    </row>
    <row r="4713">
      <c r="A4713" t="inlineStr">
        <is>
          <t>附表9!I11</t>
        </is>
      </c>
      <c r="B4713" t="inlineStr">
        <is>
          <t>附表9!D25</t>
        </is>
      </c>
      <c r="C4713" t="inlineStr">
        <is>
          <t>excel_formula</t>
        </is>
      </c>
    </row>
    <row r="4714">
      <c r="A4714" t="inlineStr">
        <is>
          <t>附表9!J11</t>
        </is>
      </c>
      <c r="B4714" t="inlineStr">
        <is>
          <t>附表9!D26</t>
        </is>
      </c>
      <c r="C4714" t="inlineStr">
        <is>
          <t>excel_formula</t>
        </is>
      </c>
    </row>
    <row r="4715">
      <c r="A4715" t="inlineStr">
        <is>
          <t>附表9!K11</t>
        </is>
      </c>
      <c r="B4715" t="inlineStr">
        <is>
          <t>附表9!D27</t>
        </is>
      </c>
      <c r="C4715" t="inlineStr">
        <is>
          <t>excel_formula</t>
        </is>
      </c>
    </row>
    <row r="4716">
      <c r="A4716" t="inlineStr">
        <is>
          <t>附表9!L11</t>
        </is>
      </c>
      <c r="B4716" t="inlineStr">
        <is>
          <t>附表9!D28</t>
        </is>
      </c>
      <c r="C4716" t="inlineStr">
        <is>
          <t>excel_formula</t>
        </is>
      </c>
    </row>
    <row r="4717">
      <c r="A4717" t="inlineStr">
        <is>
          <t>附表9!M11</t>
        </is>
      </c>
      <c r="B4717" t="inlineStr">
        <is>
          <t>附表9!D29</t>
        </is>
      </c>
      <c r="C4717" t="inlineStr">
        <is>
          <t>excel_formula</t>
        </is>
      </c>
    </row>
    <row r="4718">
      <c r="A4718" t="inlineStr">
        <is>
          <t>附表9!N11</t>
        </is>
      </c>
      <c r="B4718" t="inlineStr">
        <is>
          <t>附表9!D30</t>
        </is>
      </c>
      <c r="C4718" t="inlineStr">
        <is>
          <t>excel_formula</t>
        </is>
      </c>
    </row>
    <row r="4719">
      <c r="A4719" t="inlineStr">
        <is>
          <t>附表9!O11</t>
        </is>
      </c>
      <c r="B4719" t="inlineStr">
        <is>
          <t>附表9!D31</t>
        </is>
      </c>
      <c r="C4719" t="inlineStr">
        <is>
          <t>excel_formula</t>
        </is>
      </c>
    </row>
    <row r="4720">
      <c r="A4720" t="inlineStr">
        <is>
          <t>附表9!P11</t>
        </is>
      </c>
      <c r="B4720" t="inlineStr">
        <is>
          <t>附表9!D32</t>
        </is>
      </c>
      <c r="C4720" t="inlineStr">
        <is>
          <t>excel_formula</t>
        </is>
      </c>
    </row>
    <row r="4721">
      <c r="A4721" t="inlineStr">
        <is>
          <t>附表9!Q11</t>
        </is>
      </c>
      <c r="B4721" t="inlineStr">
        <is>
          <t>附表9!D33</t>
        </is>
      </c>
      <c r="C4721" t="inlineStr">
        <is>
          <t>excel_formula</t>
        </is>
      </c>
    </row>
    <row r="4722">
      <c r="A4722" t="inlineStr">
        <is>
          <t>附表9!R11</t>
        </is>
      </c>
      <c r="B4722" t="inlineStr">
        <is>
          <t>附表9!D34</t>
        </is>
      </c>
      <c r="C4722" t="inlineStr">
        <is>
          <t>excel_formula</t>
        </is>
      </c>
    </row>
    <row r="4723">
      <c r="A4723" t="inlineStr">
        <is>
          <t>附表9!S11</t>
        </is>
      </c>
      <c r="B4723" t="inlineStr">
        <is>
          <t>附表9!D35</t>
        </is>
      </c>
      <c r="C4723" t="inlineStr">
        <is>
          <t>excel_formula</t>
        </is>
      </c>
    </row>
    <row r="4724">
      <c r="A4724" t="inlineStr">
        <is>
          <t>附表9!T11</t>
        </is>
      </c>
      <c r="B4724" t="inlineStr">
        <is>
          <t>附表9!D36</t>
        </is>
      </c>
      <c r="C4724" t="inlineStr">
        <is>
          <t>excel_formula</t>
        </is>
      </c>
    </row>
    <row r="4725">
      <c r="A4725" t="inlineStr">
        <is>
          <t>附表9!U11</t>
        </is>
      </c>
      <c r="B4725" t="inlineStr">
        <is>
          <t>附表9!D37</t>
        </is>
      </c>
      <c r="C4725" t="inlineStr">
        <is>
          <t>excel_formula</t>
        </is>
      </c>
    </row>
    <row r="4726">
      <c r="A4726" t="inlineStr">
        <is>
          <t>附表9!V11</t>
        </is>
      </c>
      <c r="B4726" t="inlineStr">
        <is>
          <t>附表9!D38</t>
        </is>
      </c>
      <c r="C4726" t="inlineStr">
        <is>
          <t>excel_formula</t>
        </is>
      </c>
    </row>
    <row r="4727">
      <c r="A4727" t="inlineStr">
        <is>
          <t>附表9!W11</t>
        </is>
      </c>
      <c r="B4727" t="inlineStr">
        <is>
          <t>附表9!D39</t>
        </is>
      </c>
      <c r="C4727" t="inlineStr">
        <is>
          <t>excel_formula</t>
        </is>
      </c>
    </row>
    <row r="4728">
      <c r="A4728" t="inlineStr">
        <is>
          <t>附表9!X11</t>
        </is>
      </c>
      <c r="B4728" t="inlineStr">
        <is>
          <t>附表9!D40</t>
        </is>
      </c>
      <c r="C4728" t="inlineStr">
        <is>
          <t>excel_formula</t>
        </is>
      </c>
    </row>
    <row r="4729">
      <c r="A4729" t="inlineStr">
        <is>
          <t>附表9!Y11</t>
        </is>
      </c>
      <c r="B4729" t="inlineStr">
        <is>
          <t>附表9!D41</t>
        </is>
      </c>
      <c r="C4729" t="inlineStr">
        <is>
          <t>excel_formula</t>
        </is>
      </c>
    </row>
    <row r="4730">
      <c r="A4730" t="inlineStr">
        <is>
          <t>附表9!Z11</t>
        </is>
      </c>
      <c r="B4730" t="inlineStr">
        <is>
          <t>附表9!D42</t>
        </is>
      </c>
      <c r="C4730" t="inlineStr">
        <is>
          <t>excel_formula</t>
        </is>
      </c>
    </row>
    <row r="4731">
      <c r="A4731" t="inlineStr">
        <is>
          <t>附表9!AA11</t>
        </is>
      </c>
      <c r="B4731" t="inlineStr">
        <is>
          <t>附表9!D43</t>
        </is>
      </c>
      <c r="C4731" t="inlineStr">
        <is>
          <t>excel_formula</t>
        </is>
      </c>
    </row>
    <row r="4732">
      <c r="A4732" t="inlineStr">
        <is>
          <t>附表9!AB11</t>
        </is>
      </c>
      <c r="B4732" t="inlineStr">
        <is>
          <t>附表9!D44</t>
        </is>
      </c>
      <c r="C4732" t="inlineStr">
        <is>
          <t>excel_formula</t>
        </is>
      </c>
    </row>
    <row r="4733">
      <c r="A4733" t="inlineStr">
        <is>
          <t>附表9!D12</t>
        </is>
      </c>
      <c r="B4733" t="inlineStr">
        <is>
          <t>附表9!E20</t>
        </is>
      </c>
      <c r="C4733" t="inlineStr">
        <is>
          <t>excel_formula</t>
        </is>
      </c>
    </row>
    <row r="4734">
      <c r="A4734" t="inlineStr">
        <is>
          <t>附表9!E12</t>
        </is>
      </c>
      <c r="B4734" t="inlineStr">
        <is>
          <t>附表9!E21</t>
        </is>
      </c>
      <c r="C4734" t="inlineStr">
        <is>
          <t>excel_formula</t>
        </is>
      </c>
    </row>
    <row r="4735">
      <c r="A4735" t="inlineStr">
        <is>
          <t>附表9!F12</t>
        </is>
      </c>
      <c r="B4735" t="inlineStr">
        <is>
          <t>附表9!E22</t>
        </is>
      </c>
      <c r="C4735" t="inlineStr">
        <is>
          <t>excel_formula</t>
        </is>
      </c>
    </row>
    <row r="4736">
      <c r="A4736" t="inlineStr">
        <is>
          <t>附表9!G12</t>
        </is>
      </c>
      <c r="B4736" t="inlineStr">
        <is>
          <t>附表9!E23</t>
        </is>
      </c>
      <c r="C4736" t="inlineStr">
        <is>
          <t>excel_formula</t>
        </is>
      </c>
    </row>
    <row r="4737">
      <c r="A4737" t="inlineStr">
        <is>
          <t>附表9!H12</t>
        </is>
      </c>
      <c r="B4737" t="inlineStr">
        <is>
          <t>附表9!E24</t>
        </is>
      </c>
      <c r="C4737" t="inlineStr">
        <is>
          <t>excel_formula</t>
        </is>
      </c>
    </row>
    <row r="4738">
      <c r="A4738" t="inlineStr">
        <is>
          <t>附表9!I12</t>
        </is>
      </c>
      <c r="B4738" t="inlineStr">
        <is>
          <t>附表9!E25</t>
        </is>
      </c>
      <c r="C4738" t="inlineStr">
        <is>
          <t>excel_formula</t>
        </is>
      </c>
    </row>
    <row r="4739">
      <c r="A4739" t="inlineStr">
        <is>
          <t>附表9!J12</t>
        </is>
      </c>
      <c r="B4739" t="inlineStr">
        <is>
          <t>附表9!E26</t>
        </is>
      </c>
      <c r="C4739" t="inlineStr">
        <is>
          <t>excel_formula</t>
        </is>
      </c>
    </row>
    <row r="4740">
      <c r="A4740" t="inlineStr">
        <is>
          <t>附表9!K12</t>
        </is>
      </c>
      <c r="B4740" t="inlineStr">
        <is>
          <t>附表9!E27</t>
        </is>
      </c>
      <c r="C4740" t="inlineStr">
        <is>
          <t>excel_formula</t>
        </is>
      </c>
    </row>
    <row r="4741">
      <c r="A4741" t="inlineStr">
        <is>
          <t>附表9!L12</t>
        </is>
      </c>
      <c r="B4741" t="inlineStr">
        <is>
          <t>附表9!E28</t>
        </is>
      </c>
      <c r="C4741" t="inlineStr">
        <is>
          <t>excel_formula</t>
        </is>
      </c>
    </row>
    <row r="4742">
      <c r="A4742" t="inlineStr">
        <is>
          <t>附表9!M12</t>
        </is>
      </c>
      <c r="B4742" t="inlineStr">
        <is>
          <t>附表9!E29</t>
        </is>
      </c>
      <c r="C4742" t="inlineStr">
        <is>
          <t>excel_formula</t>
        </is>
      </c>
    </row>
    <row r="4743">
      <c r="A4743" t="inlineStr">
        <is>
          <t>附表9!N12</t>
        </is>
      </c>
      <c r="B4743" t="inlineStr">
        <is>
          <t>附表9!E30</t>
        </is>
      </c>
      <c r="C4743" t="inlineStr">
        <is>
          <t>excel_formula</t>
        </is>
      </c>
    </row>
    <row r="4744">
      <c r="A4744" t="inlineStr">
        <is>
          <t>附表9!O12</t>
        </is>
      </c>
      <c r="B4744" t="inlineStr">
        <is>
          <t>附表9!E31</t>
        </is>
      </c>
      <c r="C4744" t="inlineStr">
        <is>
          <t>excel_formula</t>
        </is>
      </c>
    </row>
    <row r="4745">
      <c r="A4745" t="inlineStr">
        <is>
          <t>附表9!P12</t>
        </is>
      </c>
      <c r="B4745" t="inlineStr">
        <is>
          <t>附表9!E32</t>
        </is>
      </c>
      <c r="C4745" t="inlineStr">
        <is>
          <t>excel_formula</t>
        </is>
      </c>
    </row>
    <row r="4746">
      <c r="A4746" t="inlineStr">
        <is>
          <t>附表9!Q12</t>
        </is>
      </c>
      <c r="B4746" t="inlineStr">
        <is>
          <t>附表9!E33</t>
        </is>
      </c>
      <c r="C4746" t="inlineStr">
        <is>
          <t>excel_formula</t>
        </is>
      </c>
    </row>
    <row r="4747">
      <c r="A4747" t="inlineStr">
        <is>
          <t>附表9!R12</t>
        </is>
      </c>
      <c r="B4747" t="inlineStr">
        <is>
          <t>附表9!E34</t>
        </is>
      </c>
      <c r="C4747" t="inlineStr">
        <is>
          <t>excel_formula</t>
        </is>
      </c>
    </row>
    <row r="4748">
      <c r="A4748" t="inlineStr">
        <is>
          <t>附表9!S12</t>
        </is>
      </c>
      <c r="B4748" t="inlineStr">
        <is>
          <t>附表9!E35</t>
        </is>
      </c>
      <c r="C4748" t="inlineStr">
        <is>
          <t>excel_formula</t>
        </is>
      </c>
    </row>
    <row r="4749">
      <c r="A4749" t="inlineStr">
        <is>
          <t>附表9!T12</t>
        </is>
      </c>
      <c r="B4749" t="inlineStr">
        <is>
          <t>附表9!E36</t>
        </is>
      </c>
      <c r="C4749" t="inlineStr">
        <is>
          <t>excel_formula</t>
        </is>
      </c>
    </row>
    <row r="4750">
      <c r="A4750" t="inlineStr">
        <is>
          <t>附表9!U12</t>
        </is>
      </c>
      <c r="B4750" t="inlineStr">
        <is>
          <t>附表9!E37</t>
        </is>
      </c>
      <c r="C4750" t="inlineStr">
        <is>
          <t>excel_formula</t>
        </is>
      </c>
    </row>
    <row r="4751">
      <c r="A4751" t="inlineStr">
        <is>
          <t>附表9!V12</t>
        </is>
      </c>
      <c r="B4751" t="inlineStr">
        <is>
          <t>附表9!E38</t>
        </is>
      </c>
      <c r="C4751" t="inlineStr">
        <is>
          <t>excel_formula</t>
        </is>
      </c>
    </row>
    <row r="4752">
      <c r="A4752" t="inlineStr">
        <is>
          <t>附表9!W12</t>
        </is>
      </c>
      <c r="B4752" t="inlineStr">
        <is>
          <t>附表9!E39</t>
        </is>
      </c>
      <c r="C4752" t="inlineStr">
        <is>
          <t>excel_formula</t>
        </is>
      </c>
    </row>
    <row r="4753">
      <c r="A4753" t="inlineStr">
        <is>
          <t>附表9!X12</t>
        </is>
      </c>
      <c r="B4753" t="inlineStr">
        <is>
          <t>附表9!E40</t>
        </is>
      </c>
      <c r="C4753" t="inlineStr">
        <is>
          <t>excel_formula</t>
        </is>
      </c>
    </row>
    <row r="4754">
      <c r="A4754" t="inlineStr">
        <is>
          <t>附表9!Y12</t>
        </is>
      </c>
      <c r="B4754" t="inlineStr">
        <is>
          <t>附表9!E41</t>
        </is>
      </c>
      <c r="C4754" t="inlineStr">
        <is>
          <t>excel_formula</t>
        </is>
      </c>
    </row>
    <row r="4755">
      <c r="A4755" t="inlineStr">
        <is>
          <t>附表9!Z12</t>
        </is>
      </c>
      <c r="B4755" t="inlineStr">
        <is>
          <t>附表9!E42</t>
        </is>
      </c>
      <c r="C4755" t="inlineStr">
        <is>
          <t>excel_formula</t>
        </is>
      </c>
    </row>
    <row r="4756">
      <c r="A4756" t="inlineStr">
        <is>
          <t>附表9!AA12</t>
        </is>
      </c>
      <c r="B4756" t="inlineStr">
        <is>
          <t>附表9!E43</t>
        </is>
      </c>
      <c r="C4756" t="inlineStr">
        <is>
          <t>excel_formula</t>
        </is>
      </c>
    </row>
    <row r="4757">
      <c r="A4757" t="inlineStr">
        <is>
          <t>附表9!AB12</t>
        </is>
      </c>
      <c r="B4757" t="inlineStr">
        <is>
          <t>附表9!E44</t>
        </is>
      </c>
      <c r="C4757" t="inlineStr">
        <is>
          <t>excel_formula</t>
        </is>
      </c>
    </row>
    <row r="4758">
      <c r="A4758" t="inlineStr">
        <is>
          <t>附表9!D13</t>
        </is>
      </c>
      <c r="B4758" t="inlineStr">
        <is>
          <t>附表9!F20</t>
        </is>
      </c>
      <c r="C4758" t="inlineStr">
        <is>
          <t>excel_formula</t>
        </is>
      </c>
    </row>
    <row r="4759">
      <c r="A4759" t="inlineStr">
        <is>
          <t>附表9!E13</t>
        </is>
      </c>
      <c r="B4759" t="inlineStr">
        <is>
          <t>附表9!F21</t>
        </is>
      </c>
      <c r="C4759" t="inlineStr">
        <is>
          <t>excel_formula</t>
        </is>
      </c>
    </row>
    <row r="4760">
      <c r="A4760" t="inlineStr">
        <is>
          <t>附表9!F13</t>
        </is>
      </c>
      <c r="B4760" t="inlineStr">
        <is>
          <t>附表9!F22</t>
        </is>
      </c>
      <c r="C4760" t="inlineStr">
        <is>
          <t>excel_formula</t>
        </is>
      </c>
    </row>
    <row r="4761">
      <c r="A4761" t="inlineStr">
        <is>
          <t>附表9!G13</t>
        </is>
      </c>
      <c r="B4761" t="inlineStr">
        <is>
          <t>附表9!F23</t>
        </is>
      </c>
      <c r="C4761" t="inlineStr">
        <is>
          <t>excel_formula</t>
        </is>
      </c>
    </row>
    <row r="4762">
      <c r="A4762" t="inlineStr">
        <is>
          <t>附表9!H13</t>
        </is>
      </c>
      <c r="B4762" t="inlineStr">
        <is>
          <t>附表9!F24</t>
        </is>
      </c>
      <c r="C4762" t="inlineStr">
        <is>
          <t>excel_formula</t>
        </is>
      </c>
    </row>
    <row r="4763">
      <c r="A4763" t="inlineStr">
        <is>
          <t>附表9!I13</t>
        </is>
      </c>
      <c r="B4763" t="inlineStr">
        <is>
          <t>附表9!F25</t>
        </is>
      </c>
      <c r="C4763" t="inlineStr">
        <is>
          <t>excel_formula</t>
        </is>
      </c>
    </row>
    <row r="4764">
      <c r="A4764" t="inlineStr">
        <is>
          <t>附表9!J13</t>
        </is>
      </c>
      <c r="B4764" t="inlineStr">
        <is>
          <t>附表9!F26</t>
        </is>
      </c>
      <c r="C4764" t="inlineStr">
        <is>
          <t>excel_formula</t>
        </is>
      </c>
    </row>
    <row r="4765">
      <c r="A4765" t="inlineStr">
        <is>
          <t>附表9!K13</t>
        </is>
      </c>
      <c r="B4765" t="inlineStr">
        <is>
          <t>附表9!F27</t>
        </is>
      </c>
      <c r="C4765" t="inlineStr">
        <is>
          <t>excel_formula</t>
        </is>
      </c>
    </row>
    <row r="4766">
      <c r="A4766" t="inlineStr">
        <is>
          <t>附表9!L13</t>
        </is>
      </c>
      <c r="B4766" t="inlineStr">
        <is>
          <t>附表9!F28</t>
        </is>
      </c>
      <c r="C4766" t="inlineStr">
        <is>
          <t>excel_formula</t>
        </is>
      </c>
    </row>
    <row r="4767">
      <c r="A4767" t="inlineStr">
        <is>
          <t>附表9!M13</t>
        </is>
      </c>
      <c r="B4767" t="inlineStr">
        <is>
          <t>附表9!F29</t>
        </is>
      </c>
      <c r="C4767" t="inlineStr">
        <is>
          <t>excel_formula</t>
        </is>
      </c>
    </row>
    <row r="4768">
      <c r="A4768" t="inlineStr">
        <is>
          <t>附表9!N13</t>
        </is>
      </c>
      <c r="B4768" t="inlineStr">
        <is>
          <t>附表9!F30</t>
        </is>
      </c>
      <c r="C4768" t="inlineStr">
        <is>
          <t>excel_formula</t>
        </is>
      </c>
    </row>
    <row r="4769">
      <c r="A4769" t="inlineStr">
        <is>
          <t>附表9!O13</t>
        </is>
      </c>
      <c r="B4769" t="inlineStr">
        <is>
          <t>附表9!F31</t>
        </is>
      </c>
      <c r="C4769" t="inlineStr">
        <is>
          <t>excel_formula</t>
        </is>
      </c>
    </row>
    <row r="4770">
      <c r="A4770" t="inlineStr">
        <is>
          <t>附表9!P13</t>
        </is>
      </c>
      <c r="B4770" t="inlineStr">
        <is>
          <t>附表9!F32</t>
        </is>
      </c>
      <c r="C4770" t="inlineStr">
        <is>
          <t>excel_formula</t>
        </is>
      </c>
    </row>
    <row r="4771">
      <c r="A4771" t="inlineStr">
        <is>
          <t>附表9!Q13</t>
        </is>
      </c>
      <c r="B4771" t="inlineStr">
        <is>
          <t>附表9!F33</t>
        </is>
      </c>
      <c r="C4771" t="inlineStr">
        <is>
          <t>excel_formula</t>
        </is>
      </c>
    </row>
    <row r="4772">
      <c r="A4772" t="inlineStr">
        <is>
          <t>附表9!R13</t>
        </is>
      </c>
      <c r="B4772" t="inlineStr">
        <is>
          <t>附表9!F34</t>
        </is>
      </c>
      <c r="C4772" t="inlineStr">
        <is>
          <t>excel_formula</t>
        </is>
      </c>
    </row>
    <row r="4773">
      <c r="A4773" t="inlineStr">
        <is>
          <t>附表9!S13</t>
        </is>
      </c>
      <c r="B4773" t="inlineStr">
        <is>
          <t>附表9!F35</t>
        </is>
      </c>
      <c r="C4773" t="inlineStr">
        <is>
          <t>excel_formula</t>
        </is>
      </c>
    </row>
    <row r="4774">
      <c r="A4774" t="inlineStr">
        <is>
          <t>附表9!T13</t>
        </is>
      </c>
      <c r="B4774" t="inlineStr">
        <is>
          <t>附表9!F36</t>
        </is>
      </c>
      <c r="C4774" t="inlineStr">
        <is>
          <t>excel_formula</t>
        </is>
      </c>
    </row>
    <row r="4775">
      <c r="A4775" t="inlineStr">
        <is>
          <t>附表9!U13</t>
        </is>
      </c>
      <c r="B4775" t="inlineStr">
        <is>
          <t>附表9!F37</t>
        </is>
      </c>
      <c r="C4775" t="inlineStr">
        <is>
          <t>excel_formula</t>
        </is>
      </c>
    </row>
    <row r="4776">
      <c r="A4776" t="inlineStr">
        <is>
          <t>附表9!V13</t>
        </is>
      </c>
      <c r="B4776" t="inlineStr">
        <is>
          <t>附表9!F38</t>
        </is>
      </c>
      <c r="C4776" t="inlineStr">
        <is>
          <t>excel_formula</t>
        </is>
      </c>
    </row>
    <row r="4777">
      <c r="A4777" t="inlineStr">
        <is>
          <t>附表9!W13</t>
        </is>
      </c>
      <c r="B4777" t="inlineStr">
        <is>
          <t>附表9!F39</t>
        </is>
      </c>
      <c r="C4777" t="inlineStr">
        <is>
          <t>excel_formula</t>
        </is>
      </c>
    </row>
    <row r="4778">
      <c r="A4778" t="inlineStr">
        <is>
          <t>附表9!X13</t>
        </is>
      </c>
      <c r="B4778" t="inlineStr">
        <is>
          <t>附表9!F40</t>
        </is>
      </c>
      <c r="C4778" t="inlineStr">
        <is>
          <t>excel_formula</t>
        </is>
      </c>
    </row>
    <row r="4779">
      <c r="A4779" t="inlineStr">
        <is>
          <t>附表9!Y13</t>
        </is>
      </c>
      <c r="B4779" t="inlineStr">
        <is>
          <t>附表9!F41</t>
        </is>
      </c>
      <c r="C4779" t="inlineStr">
        <is>
          <t>excel_formula</t>
        </is>
      </c>
    </row>
    <row r="4780">
      <c r="A4780" t="inlineStr">
        <is>
          <t>附表9!Z13</t>
        </is>
      </c>
      <c r="B4780" t="inlineStr">
        <is>
          <t>附表9!F42</t>
        </is>
      </c>
      <c r="C4780" t="inlineStr">
        <is>
          <t>excel_formula</t>
        </is>
      </c>
    </row>
    <row r="4781">
      <c r="A4781" t="inlineStr">
        <is>
          <t>附表9!AA13</t>
        </is>
      </c>
      <c r="B4781" t="inlineStr">
        <is>
          <t>附表9!F43</t>
        </is>
      </c>
      <c r="C4781" t="inlineStr">
        <is>
          <t>excel_formula</t>
        </is>
      </c>
    </row>
    <row r="4782">
      <c r="A4782" t="inlineStr">
        <is>
          <t>附表9!AB13</t>
        </is>
      </c>
      <c r="B4782" t="inlineStr">
        <is>
          <t>附表9!F44</t>
        </is>
      </c>
      <c r="C4782" t="inlineStr">
        <is>
          <t>excel_formula</t>
        </is>
      </c>
    </row>
    <row r="4783">
      <c r="A4783" t="inlineStr">
        <is>
          <t>附表9!D15</t>
        </is>
      </c>
      <c r="B4783" t="inlineStr">
        <is>
          <t>附表9!J20</t>
        </is>
      </c>
      <c r="C4783" t="inlineStr">
        <is>
          <t>excel_formula</t>
        </is>
      </c>
    </row>
    <row r="4784">
      <c r="A4784" t="inlineStr">
        <is>
          <t>附表9!E15</t>
        </is>
      </c>
      <c r="B4784" t="inlineStr">
        <is>
          <t>附表9!J21</t>
        </is>
      </c>
      <c r="C4784" t="inlineStr">
        <is>
          <t>excel_formula</t>
        </is>
      </c>
    </row>
    <row r="4785">
      <c r="A4785" t="inlineStr">
        <is>
          <t>附表9!F15</t>
        </is>
      </c>
      <c r="B4785" t="inlineStr">
        <is>
          <t>附表9!J22</t>
        </is>
      </c>
      <c r="C4785" t="inlineStr">
        <is>
          <t>excel_formula</t>
        </is>
      </c>
    </row>
    <row r="4786">
      <c r="A4786" t="inlineStr">
        <is>
          <t>附表9!G15</t>
        </is>
      </c>
      <c r="B4786" t="inlineStr">
        <is>
          <t>附表9!J23</t>
        </is>
      </c>
      <c r="C4786" t="inlineStr">
        <is>
          <t>excel_formula</t>
        </is>
      </c>
    </row>
    <row r="4787">
      <c r="A4787" t="inlineStr">
        <is>
          <t>附表9!H15</t>
        </is>
      </c>
      <c r="B4787" t="inlineStr">
        <is>
          <t>附表9!J24</t>
        </is>
      </c>
      <c r="C4787" t="inlineStr">
        <is>
          <t>excel_formula</t>
        </is>
      </c>
    </row>
    <row r="4788">
      <c r="A4788" t="inlineStr">
        <is>
          <t>附表9!I15</t>
        </is>
      </c>
      <c r="B4788" t="inlineStr">
        <is>
          <t>附表9!J25</t>
        </is>
      </c>
      <c r="C4788" t="inlineStr">
        <is>
          <t>excel_formula</t>
        </is>
      </c>
    </row>
    <row r="4789">
      <c r="A4789" t="inlineStr">
        <is>
          <t>附表9!J15</t>
        </is>
      </c>
      <c r="B4789" t="inlineStr">
        <is>
          <t>附表9!J26</t>
        </is>
      </c>
      <c r="C4789" t="inlineStr">
        <is>
          <t>excel_formula</t>
        </is>
      </c>
    </row>
    <row r="4790">
      <c r="A4790" t="inlineStr">
        <is>
          <t>附表9!K15</t>
        </is>
      </c>
      <c r="B4790" t="inlineStr">
        <is>
          <t>附表9!J27</t>
        </is>
      </c>
      <c r="C4790" t="inlineStr">
        <is>
          <t>excel_formula</t>
        </is>
      </c>
    </row>
    <row r="4791">
      <c r="A4791" t="inlineStr">
        <is>
          <t>附表9!L15</t>
        </is>
      </c>
      <c r="B4791" t="inlineStr">
        <is>
          <t>附表9!J28</t>
        </is>
      </c>
      <c r="C4791" t="inlineStr">
        <is>
          <t>excel_formula</t>
        </is>
      </c>
    </row>
    <row r="4792">
      <c r="A4792" t="inlineStr">
        <is>
          <t>附表9!M15</t>
        </is>
      </c>
      <c r="B4792" t="inlineStr">
        <is>
          <t>附表9!J29</t>
        </is>
      </c>
      <c r="C4792" t="inlineStr">
        <is>
          <t>excel_formula</t>
        </is>
      </c>
    </row>
    <row r="4793">
      <c r="A4793" t="inlineStr">
        <is>
          <t>附表9!N15</t>
        </is>
      </c>
      <c r="B4793" t="inlineStr">
        <is>
          <t>附表9!J30</t>
        </is>
      </c>
      <c r="C4793" t="inlineStr">
        <is>
          <t>excel_formula</t>
        </is>
      </c>
    </row>
    <row r="4794">
      <c r="A4794" t="inlineStr">
        <is>
          <t>附表9!O15</t>
        </is>
      </c>
      <c r="B4794" t="inlineStr">
        <is>
          <t>附表9!J31</t>
        </is>
      </c>
      <c r="C4794" t="inlineStr">
        <is>
          <t>excel_formula</t>
        </is>
      </c>
    </row>
    <row r="4795">
      <c r="A4795" t="inlineStr">
        <is>
          <t>附表9!P15</t>
        </is>
      </c>
      <c r="B4795" t="inlineStr">
        <is>
          <t>附表9!J32</t>
        </is>
      </c>
      <c r="C4795" t="inlineStr">
        <is>
          <t>excel_formula</t>
        </is>
      </c>
    </row>
    <row r="4796">
      <c r="A4796" t="inlineStr">
        <is>
          <t>附表9!Q15</t>
        </is>
      </c>
      <c r="B4796" t="inlineStr">
        <is>
          <t>附表9!J33</t>
        </is>
      </c>
      <c r="C4796" t="inlineStr">
        <is>
          <t>excel_formula</t>
        </is>
      </c>
    </row>
    <row r="4797">
      <c r="A4797" t="inlineStr">
        <is>
          <t>附表9!R15</t>
        </is>
      </c>
      <c r="B4797" t="inlineStr">
        <is>
          <t>附表9!J34</t>
        </is>
      </c>
      <c r="C4797" t="inlineStr">
        <is>
          <t>excel_formula</t>
        </is>
      </c>
    </row>
    <row r="4798">
      <c r="A4798" t="inlineStr">
        <is>
          <t>附表9!S15</t>
        </is>
      </c>
      <c r="B4798" t="inlineStr">
        <is>
          <t>附表9!J35</t>
        </is>
      </c>
      <c r="C4798" t="inlineStr">
        <is>
          <t>excel_formula</t>
        </is>
      </c>
    </row>
    <row r="4799">
      <c r="A4799" t="inlineStr">
        <is>
          <t>附表9!T15</t>
        </is>
      </c>
      <c r="B4799" t="inlineStr">
        <is>
          <t>附表9!J36</t>
        </is>
      </c>
      <c r="C4799" t="inlineStr">
        <is>
          <t>excel_formula</t>
        </is>
      </c>
    </row>
    <row r="4800">
      <c r="A4800" t="inlineStr">
        <is>
          <t>附表9!U15</t>
        </is>
      </c>
      <c r="B4800" t="inlineStr">
        <is>
          <t>附表9!J37</t>
        </is>
      </c>
      <c r="C4800" t="inlineStr">
        <is>
          <t>excel_formula</t>
        </is>
      </c>
    </row>
    <row r="4801">
      <c r="A4801" t="inlineStr">
        <is>
          <t>附表9!V15</t>
        </is>
      </c>
      <c r="B4801" t="inlineStr">
        <is>
          <t>附表9!J38</t>
        </is>
      </c>
      <c r="C4801" t="inlineStr">
        <is>
          <t>excel_formula</t>
        </is>
      </c>
    </row>
    <row r="4802">
      <c r="A4802" t="inlineStr">
        <is>
          <t>附表9!W15</t>
        </is>
      </c>
      <c r="B4802" t="inlineStr">
        <is>
          <t>附表9!J39</t>
        </is>
      </c>
      <c r="C4802" t="inlineStr">
        <is>
          <t>excel_formula</t>
        </is>
      </c>
    </row>
    <row r="4803">
      <c r="A4803" t="inlineStr">
        <is>
          <t>附表9!X15</t>
        </is>
      </c>
      <c r="B4803" t="inlineStr">
        <is>
          <t>附表9!J40</t>
        </is>
      </c>
      <c r="C4803" t="inlineStr">
        <is>
          <t>excel_formula</t>
        </is>
      </c>
    </row>
    <row r="4804">
      <c r="A4804" t="inlineStr">
        <is>
          <t>附表9!Y15</t>
        </is>
      </c>
      <c r="B4804" t="inlineStr">
        <is>
          <t>附表9!J41</t>
        </is>
      </c>
      <c r="C4804" t="inlineStr">
        <is>
          <t>excel_formula</t>
        </is>
      </c>
    </row>
    <row r="4805">
      <c r="A4805" t="inlineStr">
        <is>
          <t>附表9!Z15</t>
        </is>
      </c>
      <c r="B4805" t="inlineStr">
        <is>
          <t>附表9!J42</t>
        </is>
      </c>
      <c r="C4805" t="inlineStr">
        <is>
          <t>excel_formula</t>
        </is>
      </c>
    </row>
    <row r="4806">
      <c r="A4806" t="inlineStr">
        <is>
          <t>附表9!AA15</t>
        </is>
      </c>
      <c r="B4806" t="inlineStr">
        <is>
          <t>附表9!J43</t>
        </is>
      </c>
      <c r="C4806" t="inlineStr">
        <is>
          <t>excel_formula</t>
        </is>
      </c>
    </row>
    <row r="4807">
      <c r="A4807" t="inlineStr">
        <is>
          <t>附表9!AB15</t>
        </is>
      </c>
      <c r="B4807" t="inlineStr">
        <is>
          <t>附表9!J44</t>
        </is>
      </c>
      <c r="C4807" t="inlineStr">
        <is>
          <t>excel_formula</t>
        </is>
      </c>
    </row>
    <row r="4808">
      <c r="A4808" t="inlineStr">
        <is>
          <t>附表9!D16</t>
        </is>
      </c>
      <c r="B4808" t="inlineStr">
        <is>
          <t>附表9!K20</t>
        </is>
      </c>
      <c r="C4808" t="inlineStr">
        <is>
          <t>excel_formula</t>
        </is>
      </c>
    </row>
    <row r="4809">
      <c r="A4809" t="inlineStr">
        <is>
          <t>附表9!E16</t>
        </is>
      </c>
      <c r="B4809" t="inlineStr">
        <is>
          <t>附表9!K21</t>
        </is>
      </c>
      <c r="C4809" t="inlineStr">
        <is>
          <t>excel_formula</t>
        </is>
      </c>
    </row>
    <row r="4810">
      <c r="A4810" t="inlineStr">
        <is>
          <t>附表9!F16</t>
        </is>
      </c>
      <c r="B4810" t="inlineStr">
        <is>
          <t>附表9!K22</t>
        </is>
      </c>
      <c r="C4810" t="inlineStr">
        <is>
          <t>excel_formula</t>
        </is>
      </c>
    </row>
    <row r="4811">
      <c r="A4811" t="inlineStr">
        <is>
          <t>附表9!G16</t>
        </is>
      </c>
      <c r="B4811" t="inlineStr">
        <is>
          <t>附表9!K23</t>
        </is>
      </c>
      <c r="C4811" t="inlineStr">
        <is>
          <t>excel_formula</t>
        </is>
      </c>
    </row>
    <row r="4812">
      <c r="A4812" t="inlineStr">
        <is>
          <t>附表9!H16</t>
        </is>
      </c>
      <c r="B4812" t="inlineStr">
        <is>
          <t>附表9!K24</t>
        </is>
      </c>
      <c r="C4812" t="inlineStr">
        <is>
          <t>excel_formula</t>
        </is>
      </c>
    </row>
    <row r="4813">
      <c r="A4813" t="inlineStr">
        <is>
          <t>附表9!I16</t>
        </is>
      </c>
      <c r="B4813" t="inlineStr">
        <is>
          <t>附表9!K25</t>
        </is>
      </c>
      <c r="C4813" t="inlineStr">
        <is>
          <t>excel_formula</t>
        </is>
      </c>
    </row>
    <row r="4814">
      <c r="A4814" t="inlineStr">
        <is>
          <t>附表9!J16</t>
        </is>
      </c>
      <c r="B4814" t="inlineStr">
        <is>
          <t>附表9!K26</t>
        </is>
      </c>
      <c r="C4814" t="inlineStr">
        <is>
          <t>excel_formula</t>
        </is>
      </c>
    </row>
    <row r="4815">
      <c r="A4815" t="inlineStr">
        <is>
          <t>附表9!K16</t>
        </is>
      </c>
      <c r="B4815" t="inlineStr">
        <is>
          <t>附表9!K27</t>
        </is>
      </c>
      <c r="C4815" t="inlineStr">
        <is>
          <t>excel_formula</t>
        </is>
      </c>
    </row>
    <row r="4816">
      <c r="A4816" t="inlineStr">
        <is>
          <t>附表9!L16</t>
        </is>
      </c>
      <c r="B4816" t="inlineStr">
        <is>
          <t>附表9!K28</t>
        </is>
      </c>
      <c r="C4816" t="inlineStr">
        <is>
          <t>excel_formula</t>
        </is>
      </c>
    </row>
    <row r="4817">
      <c r="A4817" t="inlineStr">
        <is>
          <t>附表9!M16</t>
        </is>
      </c>
      <c r="B4817" t="inlineStr">
        <is>
          <t>附表9!K29</t>
        </is>
      </c>
      <c r="C4817" t="inlineStr">
        <is>
          <t>excel_formula</t>
        </is>
      </c>
    </row>
    <row r="4818">
      <c r="A4818" t="inlineStr">
        <is>
          <t>附表9!N16</t>
        </is>
      </c>
      <c r="B4818" t="inlineStr">
        <is>
          <t>附表9!K30</t>
        </is>
      </c>
      <c r="C4818" t="inlineStr">
        <is>
          <t>excel_formula</t>
        </is>
      </c>
    </row>
    <row r="4819">
      <c r="A4819" t="inlineStr">
        <is>
          <t>附表9!O16</t>
        </is>
      </c>
      <c r="B4819" t="inlineStr">
        <is>
          <t>附表9!K31</t>
        </is>
      </c>
      <c r="C4819" t="inlineStr">
        <is>
          <t>excel_formula</t>
        </is>
      </c>
    </row>
    <row r="4820">
      <c r="A4820" t="inlineStr">
        <is>
          <t>附表9!P16</t>
        </is>
      </c>
      <c r="B4820" t="inlineStr">
        <is>
          <t>附表9!K32</t>
        </is>
      </c>
      <c r="C4820" t="inlineStr">
        <is>
          <t>excel_formula</t>
        </is>
      </c>
    </row>
    <row r="4821">
      <c r="A4821" t="inlineStr">
        <is>
          <t>附表9!Q16</t>
        </is>
      </c>
      <c r="B4821" t="inlineStr">
        <is>
          <t>附表9!K33</t>
        </is>
      </c>
      <c r="C4821" t="inlineStr">
        <is>
          <t>excel_formula</t>
        </is>
      </c>
    </row>
    <row r="4822">
      <c r="A4822" t="inlineStr">
        <is>
          <t>附表9!R16</t>
        </is>
      </c>
      <c r="B4822" t="inlineStr">
        <is>
          <t>附表9!K34</t>
        </is>
      </c>
      <c r="C4822" t="inlineStr">
        <is>
          <t>excel_formula</t>
        </is>
      </c>
    </row>
    <row r="4823">
      <c r="A4823" t="inlineStr">
        <is>
          <t>附表9!S16</t>
        </is>
      </c>
      <c r="B4823" t="inlineStr">
        <is>
          <t>附表9!K35</t>
        </is>
      </c>
      <c r="C4823" t="inlineStr">
        <is>
          <t>excel_formula</t>
        </is>
      </c>
    </row>
    <row r="4824">
      <c r="A4824" t="inlineStr">
        <is>
          <t>附表9!T16</t>
        </is>
      </c>
      <c r="B4824" t="inlineStr">
        <is>
          <t>附表9!K36</t>
        </is>
      </c>
      <c r="C4824" t="inlineStr">
        <is>
          <t>excel_formula</t>
        </is>
      </c>
    </row>
    <row r="4825">
      <c r="A4825" t="inlineStr">
        <is>
          <t>附表9!U16</t>
        </is>
      </c>
      <c r="B4825" t="inlineStr">
        <is>
          <t>附表9!K37</t>
        </is>
      </c>
      <c r="C4825" t="inlineStr">
        <is>
          <t>excel_formula</t>
        </is>
      </c>
    </row>
    <row r="4826">
      <c r="A4826" t="inlineStr">
        <is>
          <t>附表9!V16</t>
        </is>
      </c>
      <c r="B4826" t="inlineStr">
        <is>
          <t>附表9!K38</t>
        </is>
      </c>
      <c r="C4826" t="inlineStr">
        <is>
          <t>excel_formula</t>
        </is>
      </c>
    </row>
    <row r="4827">
      <c r="A4827" t="inlineStr">
        <is>
          <t>附表9!W16</t>
        </is>
      </c>
      <c r="B4827" t="inlineStr">
        <is>
          <t>附表9!K39</t>
        </is>
      </c>
      <c r="C4827" t="inlineStr">
        <is>
          <t>excel_formula</t>
        </is>
      </c>
    </row>
    <row r="4828">
      <c r="A4828" t="inlineStr">
        <is>
          <t>附表9!X16</t>
        </is>
      </c>
      <c r="B4828" t="inlineStr">
        <is>
          <t>附表9!K40</t>
        </is>
      </c>
      <c r="C4828" t="inlineStr">
        <is>
          <t>excel_formula</t>
        </is>
      </c>
    </row>
    <row r="4829">
      <c r="A4829" t="inlineStr">
        <is>
          <t>附表9!Y16</t>
        </is>
      </c>
      <c r="B4829" t="inlineStr">
        <is>
          <t>附表9!K41</t>
        </is>
      </c>
      <c r="C4829" t="inlineStr">
        <is>
          <t>excel_formula</t>
        </is>
      </c>
    </row>
    <row r="4830">
      <c r="A4830" t="inlineStr">
        <is>
          <t>附表9!Z16</t>
        </is>
      </c>
      <c r="B4830" t="inlineStr">
        <is>
          <t>附表9!K42</t>
        </is>
      </c>
      <c r="C4830" t="inlineStr">
        <is>
          <t>excel_formula</t>
        </is>
      </c>
    </row>
    <row r="4831">
      <c r="A4831" t="inlineStr">
        <is>
          <t>附表9!AA16</t>
        </is>
      </c>
      <c r="B4831" t="inlineStr">
        <is>
          <t>附表9!K43</t>
        </is>
      </c>
      <c r="C4831" t="inlineStr">
        <is>
          <t>excel_formula</t>
        </is>
      </c>
    </row>
    <row r="4832">
      <c r="A4832" t="inlineStr">
        <is>
          <t>附表9!AB16</t>
        </is>
      </c>
      <c r="B4832" t="inlineStr">
        <is>
          <t>附表9!K44</t>
        </is>
      </c>
      <c r="C4832" t="inlineStr">
        <is>
          <t>excel_formula</t>
        </is>
      </c>
    </row>
    <row r="4833">
      <c r="A4833" t="inlineStr">
        <is>
          <t>附表10!D4</t>
        </is>
      </c>
      <c r="B4833" t="inlineStr">
        <is>
          <t>附表10!J20</t>
        </is>
      </c>
      <c r="C4833" t="inlineStr">
        <is>
          <t>excel_formula</t>
        </is>
      </c>
    </row>
    <row r="4834">
      <c r="A4834" t="inlineStr">
        <is>
          <t>附表10!E4</t>
        </is>
      </c>
      <c r="B4834" t="inlineStr">
        <is>
          <t>附表10!J21</t>
        </is>
      </c>
      <c r="C4834" t="inlineStr">
        <is>
          <t>excel_formula</t>
        </is>
      </c>
    </row>
    <row r="4835">
      <c r="A4835" t="inlineStr">
        <is>
          <t>附表10!F4</t>
        </is>
      </c>
      <c r="B4835" t="inlineStr">
        <is>
          <t>附表10!J22</t>
        </is>
      </c>
      <c r="C4835" t="inlineStr">
        <is>
          <t>excel_formula</t>
        </is>
      </c>
    </row>
    <row r="4836">
      <c r="A4836" t="inlineStr">
        <is>
          <t>附表10!G4</t>
        </is>
      </c>
      <c r="B4836" t="inlineStr">
        <is>
          <t>附表10!J23</t>
        </is>
      </c>
      <c r="C4836" t="inlineStr">
        <is>
          <t>excel_formula</t>
        </is>
      </c>
    </row>
    <row r="4837">
      <c r="A4837" t="inlineStr">
        <is>
          <t>附表10!H4</t>
        </is>
      </c>
      <c r="B4837" t="inlineStr">
        <is>
          <t>附表10!J24</t>
        </is>
      </c>
      <c r="C4837" t="inlineStr">
        <is>
          <t>excel_formula</t>
        </is>
      </c>
    </row>
    <row r="4838">
      <c r="A4838" t="inlineStr">
        <is>
          <t>附表10!I4</t>
        </is>
      </c>
      <c r="B4838" t="inlineStr">
        <is>
          <t>附表10!J25</t>
        </is>
      </c>
      <c r="C4838" t="inlineStr">
        <is>
          <t>excel_formula</t>
        </is>
      </c>
    </row>
    <row r="4839">
      <c r="A4839" t="inlineStr">
        <is>
          <t>附表10!J4</t>
        </is>
      </c>
      <c r="B4839" t="inlineStr">
        <is>
          <t>附表10!J26</t>
        </is>
      </c>
      <c r="C4839" t="inlineStr">
        <is>
          <t>excel_formula</t>
        </is>
      </c>
    </row>
    <row r="4840">
      <c r="A4840" t="inlineStr">
        <is>
          <t>附表10!K4</t>
        </is>
      </c>
      <c r="B4840" t="inlineStr">
        <is>
          <t>附表10!J27</t>
        </is>
      </c>
      <c r="C4840" t="inlineStr">
        <is>
          <t>excel_formula</t>
        </is>
      </c>
    </row>
    <row r="4841">
      <c r="A4841" t="inlineStr">
        <is>
          <t>附表10!L4</t>
        </is>
      </c>
      <c r="B4841" t="inlineStr">
        <is>
          <t>附表10!J28</t>
        </is>
      </c>
      <c r="C4841" t="inlineStr">
        <is>
          <t>excel_formula</t>
        </is>
      </c>
    </row>
    <row r="4842">
      <c r="A4842" t="inlineStr">
        <is>
          <t>附表10!M4</t>
        </is>
      </c>
      <c r="B4842" t="inlineStr">
        <is>
          <t>附表10!J29</t>
        </is>
      </c>
      <c r="C4842" t="inlineStr">
        <is>
          <t>excel_formula</t>
        </is>
      </c>
    </row>
    <row r="4843">
      <c r="A4843" t="inlineStr">
        <is>
          <t>附表10!N4</t>
        </is>
      </c>
      <c r="B4843" t="inlineStr">
        <is>
          <t>附表10!J30</t>
        </is>
      </c>
      <c r="C4843" t="inlineStr">
        <is>
          <t>excel_formula</t>
        </is>
      </c>
    </row>
    <row r="4844">
      <c r="A4844" t="inlineStr">
        <is>
          <t>附表10!O4</t>
        </is>
      </c>
      <c r="B4844" t="inlineStr">
        <is>
          <t>附表10!J31</t>
        </is>
      </c>
      <c r="C4844" t="inlineStr">
        <is>
          <t>excel_formula</t>
        </is>
      </c>
    </row>
    <row r="4845">
      <c r="A4845" t="inlineStr">
        <is>
          <t>附表10!P4</t>
        </is>
      </c>
      <c r="B4845" t="inlineStr">
        <is>
          <t>附表10!J32</t>
        </is>
      </c>
      <c r="C4845" t="inlineStr">
        <is>
          <t>excel_formula</t>
        </is>
      </c>
    </row>
    <row r="4846">
      <c r="A4846" t="inlineStr">
        <is>
          <t>附表10!Q4</t>
        </is>
      </c>
      <c r="B4846" t="inlineStr">
        <is>
          <t>附表10!J33</t>
        </is>
      </c>
      <c r="C4846" t="inlineStr">
        <is>
          <t>excel_formula</t>
        </is>
      </c>
    </row>
    <row r="4847">
      <c r="A4847" t="inlineStr">
        <is>
          <t>附表10!R4</t>
        </is>
      </c>
      <c r="B4847" t="inlineStr">
        <is>
          <t>附表10!J34</t>
        </is>
      </c>
      <c r="C4847" t="inlineStr">
        <is>
          <t>excel_formula</t>
        </is>
      </c>
    </row>
    <row r="4848">
      <c r="A4848" t="inlineStr">
        <is>
          <t>附表10!S4</t>
        </is>
      </c>
      <c r="B4848" t="inlineStr">
        <is>
          <t>附表10!J35</t>
        </is>
      </c>
      <c r="C4848" t="inlineStr">
        <is>
          <t>excel_formula</t>
        </is>
      </c>
    </row>
    <row r="4849">
      <c r="A4849" t="inlineStr">
        <is>
          <t>附表10!T4</t>
        </is>
      </c>
      <c r="B4849" t="inlineStr">
        <is>
          <t>附表10!J36</t>
        </is>
      </c>
      <c r="C4849" t="inlineStr">
        <is>
          <t>excel_formula</t>
        </is>
      </c>
    </row>
    <row r="4850">
      <c r="A4850" t="inlineStr">
        <is>
          <t>附表10!U4</t>
        </is>
      </c>
      <c r="B4850" t="inlineStr">
        <is>
          <t>附表10!J37</t>
        </is>
      </c>
      <c r="C4850" t="inlineStr">
        <is>
          <t>excel_formula</t>
        </is>
      </c>
    </row>
    <row r="4851">
      <c r="A4851" t="inlineStr">
        <is>
          <t>附表10!V4</t>
        </is>
      </c>
      <c r="B4851" t="inlineStr">
        <is>
          <t>附表10!J38</t>
        </is>
      </c>
      <c r="C4851" t="inlineStr">
        <is>
          <t>excel_formula</t>
        </is>
      </c>
    </row>
    <row r="4852">
      <c r="A4852" t="inlineStr">
        <is>
          <t>附表10!W4</t>
        </is>
      </c>
      <c r="B4852" t="inlineStr">
        <is>
          <t>附表10!J39</t>
        </is>
      </c>
      <c r="C4852" t="inlineStr">
        <is>
          <t>excel_formula</t>
        </is>
      </c>
    </row>
    <row r="4853">
      <c r="A4853" t="inlineStr">
        <is>
          <t>附表10!X4</t>
        </is>
      </c>
      <c r="B4853" t="inlineStr">
        <is>
          <t>附表10!J40</t>
        </is>
      </c>
      <c r="C4853" t="inlineStr">
        <is>
          <t>excel_formula</t>
        </is>
      </c>
    </row>
    <row r="4854">
      <c r="A4854" t="inlineStr">
        <is>
          <t>附表10!Y4</t>
        </is>
      </c>
      <c r="B4854" t="inlineStr">
        <is>
          <t>附表10!J41</t>
        </is>
      </c>
      <c r="C4854" t="inlineStr">
        <is>
          <t>excel_formula</t>
        </is>
      </c>
    </row>
    <row r="4855">
      <c r="A4855" t="inlineStr">
        <is>
          <t>附表10!Z4</t>
        </is>
      </c>
      <c r="B4855" t="inlineStr">
        <is>
          <t>附表10!J42</t>
        </is>
      </c>
      <c r="C4855" t="inlineStr">
        <is>
          <t>excel_formula</t>
        </is>
      </c>
    </row>
    <row r="4856">
      <c r="A4856" t="inlineStr">
        <is>
          <t>附表10!AA4</t>
        </is>
      </c>
      <c r="B4856" t="inlineStr">
        <is>
          <t>附表10!J43</t>
        </is>
      </c>
      <c r="C4856" t="inlineStr">
        <is>
          <t>excel_formula</t>
        </is>
      </c>
    </row>
    <row r="4857">
      <c r="A4857" t="inlineStr">
        <is>
          <t>附表10!AB4</t>
        </is>
      </c>
      <c r="B4857" t="inlineStr">
        <is>
          <t>附表10!J44</t>
        </is>
      </c>
      <c r="C4857" t="inlineStr">
        <is>
          <t>excel_formula</t>
        </is>
      </c>
    </row>
    <row r="4858">
      <c r="A4858" t="inlineStr">
        <is>
          <t>附表10!D5</t>
        </is>
      </c>
      <c r="B4858" t="inlineStr">
        <is>
          <t>附表10!D20</t>
        </is>
      </c>
      <c r="C4858" t="inlineStr">
        <is>
          <t>excel_formula</t>
        </is>
      </c>
    </row>
    <row r="4859">
      <c r="A4859" t="inlineStr">
        <is>
          <t>附表10!E5</t>
        </is>
      </c>
      <c r="B4859" t="inlineStr">
        <is>
          <t>附表10!D21</t>
        </is>
      </c>
      <c r="C4859" t="inlineStr">
        <is>
          <t>excel_formula</t>
        </is>
      </c>
    </row>
    <row r="4860">
      <c r="A4860" t="inlineStr">
        <is>
          <t>附表10!F5</t>
        </is>
      </c>
      <c r="B4860" t="inlineStr">
        <is>
          <t>附表10!D22</t>
        </is>
      </c>
      <c r="C4860" t="inlineStr">
        <is>
          <t>excel_formula</t>
        </is>
      </c>
    </row>
    <row r="4861">
      <c r="A4861" t="inlineStr">
        <is>
          <t>附表10!G5</t>
        </is>
      </c>
      <c r="B4861" t="inlineStr">
        <is>
          <t>附表10!D23</t>
        </is>
      </c>
      <c r="C4861" t="inlineStr">
        <is>
          <t>excel_formula</t>
        </is>
      </c>
    </row>
    <row r="4862">
      <c r="A4862" t="inlineStr">
        <is>
          <t>附表10!H5</t>
        </is>
      </c>
      <c r="B4862" t="inlineStr">
        <is>
          <t>附表10!D24</t>
        </is>
      </c>
      <c r="C4862" t="inlineStr">
        <is>
          <t>excel_formula</t>
        </is>
      </c>
    </row>
    <row r="4863">
      <c r="A4863" t="inlineStr">
        <is>
          <t>附表10!I5</t>
        </is>
      </c>
      <c r="B4863" t="inlineStr">
        <is>
          <t>附表10!D25</t>
        </is>
      </c>
      <c r="C4863" t="inlineStr">
        <is>
          <t>excel_formula</t>
        </is>
      </c>
    </row>
    <row r="4864">
      <c r="A4864" t="inlineStr">
        <is>
          <t>附表10!J5</t>
        </is>
      </c>
      <c r="B4864" t="inlineStr">
        <is>
          <t>附表10!D26</t>
        </is>
      </c>
      <c r="C4864" t="inlineStr">
        <is>
          <t>excel_formula</t>
        </is>
      </c>
    </row>
    <row r="4865">
      <c r="A4865" t="inlineStr">
        <is>
          <t>附表10!K5</t>
        </is>
      </c>
      <c r="B4865" t="inlineStr">
        <is>
          <t>附表10!D27</t>
        </is>
      </c>
      <c r="C4865" t="inlineStr">
        <is>
          <t>excel_formula</t>
        </is>
      </c>
    </row>
    <row r="4866">
      <c r="A4866" t="inlineStr">
        <is>
          <t>附表10!L5</t>
        </is>
      </c>
      <c r="B4866" t="inlineStr">
        <is>
          <t>附表10!D28</t>
        </is>
      </c>
      <c r="C4866" t="inlineStr">
        <is>
          <t>excel_formula</t>
        </is>
      </c>
    </row>
    <row r="4867">
      <c r="A4867" t="inlineStr">
        <is>
          <t>附表10!M5</t>
        </is>
      </c>
      <c r="B4867" t="inlineStr">
        <is>
          <t>附表10!D29</t>
        </is>
      </c>
      <c r="C4867" t="inlineStr">
        <is>
          <t>excel_formula</t>
        </is>
      </c>
    </row>
    <row r="4868">
      <c r="A4868" t="inlineStr">
        <is>
          <t>附表10!N5</t>
        </is>
      </c>
      <c r="B4868" t="inlineStr">
        <is>
          <t>附表10!D30</t>
        </is>
      </c>
      <c r="C4868" t="inlineStr">
        <is>
          <t>excel_formula</t>
        </is>
      </c>
    </row>
    <row r="4869">
      <c r="A4869" t="inlineStr">
        <is>
          <t>附表10!O5</t>
        </is>
      </c>
      <c r="B4869" t="inlineStr">
        <is>
          <t>附表10!D31</t>
        </is>
      </c>
      <c r="C4869" t="inlineStr">
        <is>
          <t>excel_formula</t>
        </is>
      </c>
    </row>
    <row r="4870">
      <c r="A4870" t="inlineStr">
        <is>
          <t>附表10!P5</t>
        </is>
      </c>
      <c r="B4870" t="inlineStr">
        <is>
          <t>附表10!D32</t>
        </is>
      </c>
      <c r="C4870" t="inlineStr">
        <is>
          <t>excel_formula</t>
        </is>
      </c>
    </row>
    <row r="4871">
      <c r="A4871" t="inlineStr">
        <is>
          <t>附表10!Q5</t>
        </is>
      </c>
      <c r="B4871" t="inlineStr">
        <is>
          <t>附表10!D33</t>
        </is>
      </c>
      <c r="C4871" t="inlineStr">
        <is>
          <t>excel_formula</t>
        </is>
      </c>
    </row>
    <row r="4872">
      <c r="A4872" t="inlineStr">
        <is>
          <t>附表10!R5</t>
        </is>
      </c>
      <c r="B4872" t="inlineStr">
        <is>
          <t>附表10!D34</t>
        </is>
      </c>
      <c r="C4872" t="inlineStr">
        <is>
          <t>excel_formula</t>
        </is>
      </c>
    </row>
    <row r="4873">
      <c r="A4873" t="inlineStr">
        <is>
          <t>附表10!S5</t>
        </is>
      </c>
      <c r="B4873" t="inlineStr">
        <is>
          <t>附表10!D35</t>
        </is>
      </c>
      <c r="C4873" t="inlineStr">
        <is>
          <t>excel_formula</t>
        </is>
      </c>
    </row>
    <row r="4874">
      <c r="A4874" t="inlineStr">
        <is>
          <t>附表10!T5</t>
        </is>
      </c>
      <c r="B4874" t="inlineStr">
        <is>
          <t>附表10!D36</t>
        </is>
      </c>
      <c r="C4874" t="inlineStr">
        <is>
          <t>excel_formula</t>
        </is>
      </c>
    </row>
    <row r="4875">
      <c r="A4875" t="inlineStr">
        <is>
          <t>附表10!U5</t>
        </is>
      </c>
      <c r="B4875" t="inlineStr">
        <is>
          <t>附表10!D37</t>
        </is>
      </c>
      <c r="C4875" t="inlineStr">
        <is>
          <t>excel_formula</t>
        </is>
      </c>
    </row>
    <row r="4876">
      <c r="A4876" t="inlineStr">
        <is>
          <t>附表10!V5</t>
        </is>
      </c>
      <c r="B4876" t="inlineStr">
        <is>
          <t>附表10!D38</t>
        </is>
      </c>
      <c r="C4876" t="inlineStr">
        <is>
          <t>excel_formula</t>
        </is>
      </c>
    </row>
    <row r="4877">
      <c r="A4877" t="inlineStr">
        <is>
          <t>附表10!W5</t>
        </is>
      </c>
      <c r="B4877" t="inlineStr">
        <is>
          <t>附表10!D39</t>
        </is>
      </c>
      <c r="C4877" t="inlineStr">
        <is>
          <t>excel_formula</t>
        </is>
      </c>
    </row>
    <row r="4878">
      <c r="A4878" t="inlineStr">
        <is>
          <t>附表10!X5</t>
        </is>
      </c>
      <c r="B4878" t="inlineStr">
        <is>
          <t>附表10!D40</t>
        </is>
      </c>
      <c r="C4878" t="inlineStr">
        <is>
          <t>excel_formula</t>
        </is>
      </c>
    </row>
    <row r="4879">
      <c r="A4879" t="inlineStr">
        <is>
          <t>附表10!Y5</t>
        </is>
      </c>
      <c r="B4879" t="inlineStr">
        <is>
          <t>附表10!D41</t>
        </is>
      </c>
      <c r="C4879" t="inlineStr">
        <is>
          <t>excel_formula</t>
        </is>
      </c>
    </row>
    <row r="4880">
      <c r="A4880" t="inlineStr">
        <is>
          <t>附表10!Z5</t>
        </is>
      </c>
      <c r="B4880" t="inlineStr">
        <is>
          <t>附表10!D42</t>
        </is>
      </c>
      <c r="C4880" t="inlineStr">
        <is>
          <t>excel_formula</t>
        </is>
      </c>
    </row>
    <row r="4881">
      <c r="A4881" t="inlineStr">
        <is>
          <t>附表10!AA5</t>
        </is>
      </c>
      <c r="B4881" t="inlineStr">
        <is>
          <t>附表10!D43</t>
        </is>
      </c>
      <c r="C4881" t="inlineStr">
        <is>
          <t>excel_formula</t>
        </is>
      </c>
    </row>
    <row r="4882">
      <c r="A4882" t="inlineStr">
        <is>
          <t>附表10!AB5</t>
        </is>
      </c>
      <c r="B4882" t="inlineStr">
        <is>
          <t>附表10!D44</t>
        </is>
      </c>
      <c r="C4882" t="inlineStr">
        <is>
          <t>excel_formula</t>
        </is>
      </c>
    </row>
    <row r="4883">
      <c r="A4883" t="inlineStr">
        <is>
          <t>附表10!D6</t>
        </is>
      </c>
      <c r="B4883" t="inlineStr">
        <is>
          <t>附表10!E20</t>
        </is>
      </c>
      <c r="C4883" t="inlineStr">
        <is>
          <t>excel_formula</t>
        </is>
      </c>
    </row>
    <row r="4884">
      <c r="A4884" t="inlineStr">
        <is>
          <t>附表10!E6</t>
        </is>
      </c>
      <c r="B4884" t="inlineStr">
        <is>
          <t>附表10!E21</t>
        </is>
      </c>
      <c r="C4884" t="inlineStr">
        <is>
          <t>excel_formula</t>
        </is>
      </c>
    </row>
    <row r="4885">
      <c r="A4885" t="inlineStr">
        <is>
          <t>附表10!F6</t>
        </is>
      </c>
      <c r="B4885" t="inlineStr">
        <is>
          <t>附表10!E22</t>
        </is>
      </c>
      <c r="C4885" t="inlineStr">
        <is>
          <t>excel_formula</t>
        </is>
      </c>
    </row>
    <row r="4886">
      <c r="A4886" t="inlineStr">
        <is>
          <t>附表10!G6</t>
        </is>
      </c>
      <c r="B4886" t="inlineStr">
        <is>
          <t>附表10!E23</t>
        </is>
      </c>
      <c r="C4886" t="inlineStr">
        <is>
          <t>excel_formula</t>
        </is>
      </c>
    </row>
    <row r="4887">
      <c r="A4887" t="inlineStr">
        <is>
          <t>附表10!H6</t>
        </is>
      </c>
      <c r="B4887" t="inlineStr">
        <is>
          <t>附表10!E24</t>
        </is>
      </c>
      <c r="C4887" t="inlineStr">
        <is>
          <t>excel_formula</t>
        </is>
      </c>
    </row>
    <row r="4888">
      <c r="A4888" t="inlineStr">
        <is>
          <t>附表10!I6</t>
        </is>
      </c>
      <c r="B4888" t="inlineStr">
        <is>
          <t>附表10!E25</t>
        </is>
      </c>
      <c r="C4888" t="inlineStr">
        <is>
          <t>excel_formula</t>
        </is>
      </c>
    </row>
    <row r="4889">
      <c r="A4889" t="inlineStr">
        <is>
          <t>附表10!J6</t>
        </is>
      </c>
      <c r="B4889" t="inlineStr">
        <is>
          <t>附表10!E26</t>
        </is>
      </c>
      <c r="C4889" t="inlineStr">
        <is>
          <t>excel_formula</t>
        </is>
      </c>
    </row>
    <row r="4890">
      <c r="A4890" t="inlineStr">
        <is>
          <t>附表10!K6</t>
        </is>
      </c>
      <c r="B4890" t="inlineStr">
        <is>
          <t>附表10!E27</t>
        </is>
      </c>
      <c r="C4890" t="inlineStr">
        <is>
          <t>excel_formula</t>
        </is>
      </c>
    </row>
    <row r="4891">
      <c r="A4891" t="inlineStr">
        <is>
          <t>附表10!L6</t>
        </is>
      </c>
      <c r="B4891" t="inlineStr">
        <is>
          <t>附表10!E28</t>
        </is>
      </c>
      <c r="C4891" t="inlineStr">
        <is>
          <t>excel_formula</t>
        </is>
      </c>
    </row>
    <row r="4892">
      <c r="A4892" t="inlineStr">
        <is>
          <t>附表10!M6</t>
        </is>
      </c>
      <c r="B4892" t="inlineStr">
        <is>
          <t>附表10!E29</t>
        </is>
      </c>
      <c r="C4892" t="inlineStr">
        <is>
          <t>excel_formula</t>
        </is>
      </c>
    </row>
    <row r="4893">
      <c r="A4893" t="inlineStr">
        <is>
          <t>附表10!N6</t>
        </is>
      </c>
      <c r="B4893" t="inlineStr">
        <is>
          <t>附表10!E30</t>
        </is>
      </c>
      <c r="C4893" t="inlineStr">
        <is>
          <t>excel_formula</t>
        </is>
      </c>
    </row>
    <row r="4894">
      <c r="A4894" t="inlineStr">
        <is>
          <t>附表10!O6</t>
        </is>
      </c>
      <c r="B4894" t="inlineStr">
        <is>
          <t>附表10!E31</t>
        </is>
      </c>
      <c r="C4894" t="inlineStr">
        <is>
          <t>excel_formula</t>
        </is>
      </c>
    </row>
    <row r="4895">
      <c r="A4895" t="inlineStr">
        <is>
          <t>附表10!P6</t>
        </is>
      </c>
      <c r="B4895" t="inlineStr">
        <is>
          <t>附表10!E32</t>
        </is>
      </c>
      <c r="C4895" t="inlineStr">
        <is>
          <t>excel_formula</t>
        </is>
      </c>
    </row>
    <row r="4896">
      <c r="A4896" t="inlineStr">
        <is>
          <t>附表10!Q6</t>
        </is>
      </c>
      <c r="B4896" t="inlineStr">
        <is>
          <t>附表10!E33</t>
        </is>
      </c>
      <c r="C4896" t="inlineStr">
        <is>
          <t>excel_formula</t>
        </is>
      </c>
    </row>
    <row r="4897">
      <c r="A4897" t="inlineStr">
        <is>
          <t>附表10!R6</t>
        </is>
      </c>
      <c r="B4897" t="inlineStr">
        <is>
          <t>附表10!E34</t>
        </is>
      </c>
      <c r="C4897" t="inlineStr">
        <is>
          <t>excel_formula</t>
        </is>
      </c>
    </row>
    <row r="4898">
      <c r="A4898" t="inlineStr">
        <is>
          <t>附表10!S6</t>
        </is>
      </c>
      <c r="B4898" t="inlineStr">
        <is>
          <t>附表10!E35</t>
        </is>
      </c>
      <c r="C4898" t="inlineStr">
        <is>
          <t>excel_formula</t>
        </is>
      </c>
    </row>
    <row r="4899">
      <c r="A4899" t="inlineStr">
        <is>
          <t>附表10!T6</t>
        </is>
      </c>
      <c r="B4899" t="inlineStr">
        <is>
          <t>附表10!E36</t>
        </is>
      </c>
      <c r="C4899" t="inlineStr">
        <is>
          <t>excel_formula</t>
        </is>
      </c>
    </row>
    <row r="4900">
      <c r="A4900" t="inlineStr">
        <is>
          <t>附表10!U6</t>
        </is>
      </c>
      <c r="B4900" t="inlineStr">
        <is>
          <t>附表10!E37</t>
        </is>
      </c>
      <c r="C4900" t="inlineStr">
        <is>
          <t>excel_formula</t>
        </is>
      </c>
    </row>
    <row r="4901">
      <c r="A4901" t="inlineStr">
        <is>
          <t>附表10!V6</t>
        </is>
      </c>
      <c r="B4901" t="inlineStr">
        <is>
          <t>附表10!E38</t>
        </is>
      </c>
      <c r="C4901" t="inlineStr">
        <is>
          <t>excel_formula</t>
        </is>
      </c>
    </row>
    <row r="4902">
      <c r="A4902" t="inlineStr">
        <is>
          <t>附表10!W6</t>
        </is>
      </c>
      <c r="B4902" t="inlineStr">
        <is>
          <t>附表10!E39</t>
        </is>
      </c>
      <c r="C4902" t="inlineStr">
        <is>
          <t>excel_formula</t>
        </is>
      </c>
    </row>
    <row r="4903">
      <c r="A4903" t="inlineStr">
        <is>
          <t>附表10!X6</t>
        </is>
      </c>
      <c r="B4903" t="inlineStr">
        <is>
          <t>附表10!E40</t>
        </is>
      </c>
      <c r="C4903" t="inlineStr">
        <is>
          <t>excel_formula</t>
        </is>
      </c>
    </row>
    <row r="4904">
      <c r="A4904" t="inlineStr">
        <is>
          <t>附表10!Y6</t>
        </is>
      </c>
      <c r="B4904" t="inlineStr">
        <is>
          <t>附表10!E41</t>
        </is>
      </c>
      <c r="C4904" t="inlineStr">
        <is>
          <t>excel_formula</t>
        </is>
      </c>
    </row>
    <row r="4905">
      <c r="A4905" t="inlineStr">
        <is>
          <t>附表10!Z6</t>
        </is>
      </c>
      <c r="B4905" t="inlineStr">
        <is>
          <t>附表10!E42</t>
        </is>
      </c>
      <c r="C4905" t="inlineStr">
        <is>
          <t>excel_formula</t>
        </is>
      </c>
    </row>
    <row r="4906">
      <c r="A4906" t="inlineStr">
        <is>
          <t>附表10!AA6</t>
        </is>
      </c>
      <c r="B4906" t="inlineStr">
        <is>
          <t>附表10!E43</t>
        </is>
      </c>
      <c r="C4906" t="inlineStr">
        <is>
          <t>excel_formula</t>
        </is>
      </c>
    </row>
    <row r="4907">
      <c r="A4907" t="inlineStr">
        <is>
          <t>附表10!AB6</t>
        </is>
      </c>
      <c r="B4907" t="inlineStr">
        <is>
          <t>附表10!E44</t>
        </is>
      </c>
      <c r="C4907" t="inlineStr">
        <is>
          <t>excel_formula</t>
        </is>
      </c>
    </row>
    <row r="4908">
      <c r="A4908" t="inlineStr">
        <is>
          <t>附表10!D7</t>
        </is>
      </c>
      <c r="B4908" t="inlineStr">
        <is>
          <t>附表10!F20</t>
        </is>
      </c>
      <c r="C4908" t="inlineStr">
        <is>
          <t>excel_formula</t>
        </is>
      </c>
    </row>
    <row r="4909">
      <c r="A4909" t="inlineStr">
        <is>
          <t>附表10!E7</t>
        </is>
      </c>
      <c r="B4909" t="inlineStr">
        <is>
          <t>附表10!F21</t>
        </is>
      </c>
      <c r="C4909" t="inlineStr">
        <is>
          <t>excel_formula</t>
        </is>
      </c>
    </row>
    <row r="4910">
      <c r="A4910" t="inlineStr">
        <is>
          <t>附表10!F7</t>
        </is>
      </c>
      <c r="B4910" t="inlineStr">
        <is>
          <t>附表10!F22</t>
        </is>
      </c>
      <c r="C4910" t="inlineStr">
        <is>
          <t>excel_formula</t>
        </is>
      </c>
    </row>
    <row r="4911">
      <c r="A4911" t="inlineStr">
        <is>
          <t>附表10!G7</t>
        </is>
      </c>
      <c r="B4911" t="inlineStr">
        <is>
          <t>附表10!F23</t>
        </is>
      </c>
      <c r="C4911" t="inlineStr">
        <is>
          <t>excel_formula</t>
        </is>
      </c>
    </row>
    <row r="4912">
      <c r="A4912" t="inlineStr">
        <is>
          <t>附表10!H7</t>
        </is>
      </c>
      <c r="B4912" t="inlineStr">
        <is>
          <t>附表10!F24</t>
        </is>
      </c>
      <c r="C4912" t="inlineStr">
        <is>
          <t>excel_formula</t>
        </is>
      </c>
    </row>
    <row r="4913">
      <c r="A4913" t="inlineStr">
        <is>
          <t>附表10!I7</t>
        </is>
      </c>
      <c r="B4913" t="inlineStr">
        <is>
          <t>附表10!F25</t>
        </is>
      </c>
      <c r="C4913" t="inlineStr">
        <is>
          <t>excel_formula</t>
        </is>
      </c>
    </row>
    <row r="4914">
      <c r="A4914" t="inlineStr">
        <is>
          <t>附表10!J7</t>
        </is>
      </c>
      <c r="B4914" t="inlineStr">
        <is>
          <t>附表10!F26</t>
        </is>
      </c>
      <c r="C4914" t="inlineStr">
        <is>
          <t>excel_formula</t>
        </is>
      </c>
    </row>
    <row r="4915">
      <c r="A4915" t="inlineStr">
        <is>
          <t>附表10!K7</t>
        </is>
      </c>
      <c r="B4915" t="inlineStr">
        <is>
          <t>附表10!F27</t>
        </is>
      </c>
      <c r="C4915" t="inlineStr">
        <is>
          <t>excel_formula</t>
        </is>
      </c>
    </row>
    <row r="4916">
      <c r="A4916" t="inlineStr">
        <is>
          <t>附表10!L7</t>
        </is>
      </c>
      <c r="B4916" t="inlineStr">
        <is>
          <t>附表10!F28</t>
        </is>
      </c>
      <c r="C4916" t="inlineStr">
        <is>
          <t>excel_formula</t>
        </is>
      </c>
    </row>
    <row r="4917">
      <c r="A4917" t="inlineStr">
        <is>
          <t>附表10!M7</t>
        </is>
      </c>
      <c r="B4917" t="inlineStr">
        <is>
          <t>附表10!F29</t>
        </is>
      </c>
      <c r="C4917" t="inlineStr">
        <is>
          <t>excel_formula</t>
        </is>
      </c>
    </row>
    <row r="4918">
      <c r="A4918" t="inlineStr">
        <is>
          <t>附表10!N7</t>
        </is>
      </c>
      <c r="B4918" t="inlineStr">
        <is>
          <t>附表10!F30</t>
        </is>
      </c>
      <c r="C4918" t="inlineStr">
        <is>
          <t>excel_formula</t>
        </is>
      </c>
    </row>
    <row r="4919">
      <c r="A4919" t="inlineStr">
        <is>
          <t>附表10!O7</t>
        </is>
      </c>
      <c r="B4919" t="inlineStr">
        <is>
          <t>附表10!F31</t>
        </is>
      </c>
      <c r="C4919" t="inlineStr">
        <is>
          <t>excel_formula</t>
        </is>
      </c>
    </row>
    <row r="4920">
      <c r="A4920" t="inlineStr">
        <is>
          <t>附表10!P7</t>
        </is>
      </c>
      <c r="B4920" t="inlineStr">
        <is>
          <t>附表10!F32</t>
        </is>
      </c>
      <c r="C4920" t="inlineStr">
        <is>
          <t>excel_formula</t>
        </is>
      </c>
    </row>
    <row r="4921">
      <c r="A4921" t="inlineStr">
        <is>
          <t>附表10!Q7</t>
        </is>
      </c>
      <c r="B4921" t="inlineStr">
        <is>
          <t>附表10!F33</t>
        </is>
      </c>
      <c r="C4921" t="inlineStr">
        <is>
          <t>excel_formula</t>
        </is>
      </c>
    </row>
    <row r="4922">
      <c r="A4922" t="inlineStr">
        <is>
          <t>附表10!R7</t>
        </is>
      </c>
      <c r="B4922" t="inlineStr">
        <is>
          <t>附表10!F34</t>
        </is>
      </c>
      <c r="C4922" t="inlineStr">
        <is>
          <t>excel_formula</t>
        </is>
      </c>
    </row>
    <row r="4923">
      <c r="A4923" t="inlineStr">
        <is>
          <t>附表10!S7</t>
        </is>
      </c>
      <c r="B4923" t="inlineStr">
        <is>
          <t>附表10!F35</t>
        </is>
      </c>
      <c r="C4923" t="inlineStr">
        <is>
          <t>excel_formula</t>
        </is>
      </c>
    </row>
    <row r="4924">
      <c r="A4924" t="inlineStr">
        <is>
          <t>附表10!T7</t>
        </is>
      </c>
      <c r="B4924" t="inlineStr">
        <is>
          <t>附表10!F36</t>
        </is>
      </c>
      <c r="C4924" t="inlineStr">
        <is>
          <t>excel_formula</t>
        </is>
      </c>
    </row>
    <row r="4925">
      <c r="A4925" t="inlineStr">
        <is>
          <t>附表10!U7</t>
        </is>
      </c>
      <c r="B4925" t="inlineStr">
        <is>
          <t>附表10!F37</t>
        </is>
      </c>
      <c r="C4925" t="inlineStr">
        <is>
          <t>excel_formula</t>
        </is>
      </c>
    </row>
    <row r="4926">
      <c r="A4926" t="inlineStr">
        <is>
          <t>附表10!V7</t>
        </is>
      </c>
      <c r="B4926" t="inlineStr">
        <is>
          <t>附表10!F38</t>
        </is>
      </c>
      <c r="C4926" t="inlineStr">
        <is>
          <t>excel_formula</t>
        </is>
      </c>
    </row>
    <row r="4927">
      <c r="A4927" t="inlineStr">
        <is>
          <t>附表10!W7</t>
        </is>
      </c>
      <c r="B4927" t="inlineStr">
        <is>
          <t>附表10!F39</t>
        </is>
      </c>
      <c r="C4927" t="inlineStr">
        <is>
          <t>excel_formula</t>
        </is>
      </c>
    </row>
    <row r="4928">
      <c r="A4928" t="inlineStr">
        <is>
          <t>附表10!X7</t>
        </is>
      </c>
      <c r="B4928" t="inlineStr">
        <is>
          <t>附表10!F40</t>
        </is>
      </c>
      <c r="C4928" t="inlineStr">
        <is>
          <t>excel_formula</t>
        </is>
      </c>
    </row>
    <row r="4929">
      <c r="A4929" t="inlineStr">
        <is>
          <t>附表10!Y7</t>
        </is>
      </c>
      <c r="B4929" t="inlineStr">
        <is>
          <t>附表10!F41</t>
        </is>
      </c>
      <c r="C4929" t="inlineStr">
        <is>
          <t>excel_formula</t>
        </is>
      </c>
    </row>
    <row r="4930">
      <c r="A4930" t="inlineStr">
        <is>
          <t>附表10!Z7</t>
        </is>
      </c>
      <c r="B4930" t="inlineStr">
        <is>
          <t>附表10!F42</t>
        </is>
      </c>
      <c r="C4930" t="inlineStr">
        <is>
          <t>excel_formula</t>
        </is>
      </c>
    </row>
    <row r="4931">
      <c r="A4931" t="inlineStr">
        <is>
          <t>附表10!AA7</t>
        </is>
      </c>
      <c r="B4931" t="inlineStr">
        <is>
          <t>附表10!F43</t>
        </is>
      </c>
      <c r="C4931" t="inlineStr">
        <is>
          <t>excel_formula</t>
        </is>
      </c>
    </row>
    <row r="4932">
      <c r="A4932" t="inlineStr">
        <is>
          <t>附表10!AB7</t>
        </is>
      </c>
      <c r="B4932" t="inlineStr">
        <is>
          <t>附表10!F44</t>
        </is>
      </c>
      <c r="C4932" t="inlineStr">
        <is>
          <t>excel_formula</t>
        </is>
      </c>
    </row>
    <row r="4933">
      <c r="A4933" t="inlineStr">
        <is>
          <t>附表10!D8</t>
        </is>
      </c>
      <c r="B4933" t="inlineStr">
        <is>
          <t>附表10!K20</t>
        </is>
      </c>
      <c r="C4933" t="inlineStr">
        <is>
          <t>excel_formula</t>
        </is>
      </c>
    </row>
    <row r="4934">
      <c r="A4934" t="inlineStr">
        <is>
          <t>附表10!E8</t>
        </is>
      </c>
      <c r="B4934" t="inlineStr">
        <is>
          <t>附表10!K21</t>
        </is>
      </c>
      <c r="C4934" t="inlineStr">
        <is>
          <t>excel_formula</t>
        </is>
      </c>
    </row>
    <row r="4935">
      <c r="A4935" t="inlineStr">
        <is>
          <t>附表10!F8</t>
        </is>
      </c>
      <c r="B4935" t="inlineStr">
        <is>
          <t>附表10!K22</t>
        </is>
      </c>
      <c r="C4935" t="inlineStr">
        <is>
          <t>excel_formula</t>
        </is>
      </c>
    </row>
    <row r="4936">
      <c r="A4936" t="inlineStr">
        <is>
          <t>附表10!G8</t>
        </is>
      </c>
      <c r="B4936" t="inlineStr">
        <is>
          <t>附表10!K23</t>
        </is>
      </c>
      <c r="C4936" t="inlineStr">
        <is>
          <t>excel_formula</t>
        </is>
      </c>
    </row>
    <row r="4937">
      <c r="A4937" t="inlineStr">
        <is>
          <t>附表10!H8</t>
        </is>
      </c>
      <c r="B4937" t="inlineStr">
        <is>
          <t>附表10!K24</t>
        </is>
      </c>
      <c r="C4937" t="inlineStr">
        <is>
          <t>excel_formula</t>
        </is>
      </c>
    </row>
    <row r="4938">
      <c r="A4938" t="inlineStr">
        <is>
          <t>附表10!I8</t>
        </is>
      </c>
      <c r="B4938" t="inlineStr">
        <is>
          <t>附表10!K25</t>
        </is>
      </c>
      <c r="C4938" t="inlineStr">
        <is>
          <t>excel_formula</t>
        </is>
      </c>
    </row>
    <row r="4939">
      <c r="A4939" t="inlineStr">
        <is>
          <t>附表10!J8</t>
        </is>
      </c>
      <c r="B4939" t="inlineStr">
        <is>
          <t>附表10!K26</t>
        </is>
      </c>
      <c r="C4939" t="inlineStr">
        <is>
          <t>excel_formula</t>
        </is>
      </c>
    </row>
    <row r="4940">
      <c r="A4940" t="inlineStr">
        <is>
          <t>附表10!K8</t>
        </is>
      </c>
      <c r="B4940" t="inlineStr">
        <is>
          <t>附表10!K27</t>
        </is>
      </c>
      <c r="C4940" t="inlineStr">
        <is>
          <t>excel_formula</t>
        </is>
      </c>
    </row>
    <row r="4941">
      <c r="A4941" t="inlineStr">
        <is>
          <t>附表10!L8</t>
        </is>
      </c>
      <c r="B4941" t="inlineStr">
        <is>
          <t>附表10!K28</t>
        </is>
      </c>
      <c r="C4941" t="inlineStr">
        <is>
          <t>excel_formula</t>
        </is>
      </c>
    </row>
    <row r="4942">
      <c r="A4942" t="inlineStr">
        <is>
          <t>附表10!M8</t>
        </is>
      </c>
      <c r="B4942" t="inlineStr">
        <is>
          <t>附表10!K29</t>
        </is>
      </c>
      <c r="C4942" t="inlineStr">
        <is>
          <t>excel_formula</t>
        </is>
      </c>
    </row>
    <row r="4943">
      <c r="A4943" t="inlineStr">
        <is>
          <t>附表10!N8</t>
        </is>
      </c>
      <c r="B4943" t="inlineStr">
        <is>
          <t>附表10!K30</t>
        </is>
      </c>
      <c r="C4943" t="inlineStr">
        <is>
          <t>excel_formula</t>
        </is>
      </c>
    </row>
    <row r="4944">
      <c r="A4944" t="inlineStr">
        <is>
          <t>附表10!O8</t>
        </is>
      </c>
      <c r="B4944" t="inlineStr">
        <is>
          <t>附表10!K31</t>
        </is>
      </c>
      <c r="C4944" t="inlineStr">
        <is>
          <t>excel_formula</t>
        </is>
      </c>
    </row>
    <row r="4945">
      <c r="A4945" t="inlineStr">
        <is>
          <t>附表10!P8</t>
        </is>
      </c>
      <c r="B4945" t="inlineStr">
        <is>
          <t>附表10!K32</t>
        </is>
      </c>
      <c r="C4945" t="inlineStr">
        <is>
          <t>excel_formula</t>
        </is>
      </c>
    </row>
    <row r="4946">
      <c r="A4946" t="inlineStr">
        <is>
          <t>附表10!Q8</t>
        </is>
      </c>
      <c r="B4946" t="inlineStr">
        <is>
          <t>附表10!K33</t>
        </is>
      </c>
      <c r="C4946" t="inlineStr">
        <is>
          <t>excel_formula</t>
        </is>
      </c>
    </row>
    <row r="4947">
      <c r="A4947" t="inlineStr">
        <is>
          <t>附表10!R8</t>
        </is>
      </c>
      <c r="B4947" t="inlineStr">
        <is>
          <t>附表10!K34</t>
        </is>
      </c>
      <c r="C4947" t="inlineStr">
        <is>
          <t>excel_formula</t>
        </is>
      </c>
    </row>
    <row r="4948">
      <c r="A4948" t="inlineStr">
        <is>
          <t>附表10!S8</t>
        </is>
      </c>
      <c r="B4948" t="inlineStr">
        <is>
          <t>附表10!K35</t>
        </is>
      </c>
      <c r="C4948" t="inlineStr">
        <is>
          <t>excel_formula</t>
        </is>
      </c>
    </row>
    <row r="4949">
      <c r="A4949" t="inlineStr">
        <is>
          <t>附表10!T8</t>
        </is>
      </c>
      <c r="B4949" t="inlineStr">
        <is>
          <t>附表10!K36</t>
        </is>
      </c>
      <c r="C4949" t="inlineStr">
        <is>
          <t>excel_formula</t>
        </is>
      </c>
    </row>
    <row r="4950">
      <c r="A4950" t="inlineStr">
        <is>
          <t>附表10!U8</t>
        </is>
      </c>
      <c r="B4950" t="inlineStr">
        <is>
          <t>附表10!K37</t>
        </is>
      </c>
      <c r="C4950" t="inlineStr">
        <is>
          <t>excel_formula</t>
        </is>
      </c>
    </row>
    <row r="4951">
      <c r="A4951" t="inlineStr">
        <is>
          <t>附表10!V8</t>
        </is>
      </c>
      <c r="B4951" t="inlineStr">
        <is>
          <t>附表10!K38</t>
        </is>
      </c>
      <c r="C4951" t="inlineStr">
        <is>
          <t>excel_formula</t>
        </is>
      </c>
    </row>
    <row r="4952">
      <c r="A4952" t="inlineStr">
        <is>
          <t>附表10!W8</t>
        </is>
      </c>
      <c r="B4952" t="inlineStr">
        <is>
          <t>附表10!K39</t>
        </is>
      </c>
      <c r="C4952" t="inlineStr">
        <is>
          <t>excel_formula</t>
        </is>
      </c>
    </row>
    <row r="4953">
      <c r="A4953" t="inlineStr">
        <is>
          <t>附表10!X8</t>
        </is>
      </c>
      <c r="B4953" t="inlineStr">
        <is>
          <t>附表10!K40</t>
        </is>
      </c>
      <c r="C4953" t="inlineStr">
        <is>
          <t>excel_formula</t>
        </is>
      </c>
    </row>
    <row r="4954">
      <c r="A4954" t="inlineStr">
        <is>
          <t>附表10!Y8</t>
        </is>
      </c>
      <c r="B4954" t="inlineStr">
        <is>
          <t>附表10!K41</t>
        </is>
      </c>
      <c r="C4954" t="inlineStr">
        <is>
          <t>excel_formula</t>
        </is>
      </c>
    </row>
    <row r="4955">
      <c r="A4955" t="inlineStr">
        <is>
          <t>附表10!Z8</t>
        </is>
      </c>
      <c r="B4955" t="inlineStr">
        <is>
          <t>附表10!K42</t>
        </is>
      </c>
      <c r="C4955" t="inlineStr">
        <is>
          <t>excel_formula</t>
        </is>
      </c>
    </row>
    <row r="4956">
      <c r="A4956" t="inlineStr">
        <is>
          <t>附表10!AA8</t>
        </is>
      </c>
      <c r="B4956" t="inlineStr">
        <is>
          <t>附表10!K43</t>
        </is>
      </c>
      <c r="C4956" t="inlineStr">
        <is>
          <t>excel_formula</t>
        </is>
      </c>
    </row>
    <row r="4957">
      <c r="A4957" t="inlineStr">
        <is>
          <t>附表10!AB8</t>
        </is>
      </c>
      <c r="B4957" t="inlineStr">
        <is>
          <t>附表10!K44</t>
        </is>
      </c>
      <c r="C4957" t="inlineStr">
        <is>
          <t>excel_formula</t>
        </is>
      </c>
    </row>
    <row r="4958">
      <c r="A4958" t="inlineStr">
        <is>
          <t>附表10!D9</t>
        </is>
      </c>
      <c r="B4958" t="inlineStr">
        <is>
          <t>附表10!C20</t>
        </is>
      </c>
      <c r="C4958" t="inlineStr">
        <is>
          <t>excel_formula</t>
        </is>
      </c>
    </row>
    <row r="4959">
      <c r="A4959" t="inlineStr">
        <is>
          <t>附表10!E9</t>
        </is>
      </c>
      <c r="B4959" t="inlineStr">
        <is>
          <t>附表10!C21</t>
        </is>
      </c>
      <c r="C4959" t="inlineStr">
        <is>
          <t>excel_formula</t>
        </is>
      </c>
    </row>
    <row r="4960">
      <c r="A4960" t="inlineStr">
        <is>
          <t>附表10!F9</t>
        </is>
      </c>
      <c r="B4960" t="inlineStr">
        <is>
          <t>附表10!C22</t>
        </is>
      </c>
      <c r="C4960" t="inlineStr">
        <is>
          <t>excel_formula</t>
        </is>
      </c>
    </row>
    <row r="4961">
      <c r="A4961" t="inlineStr">
        <is>
          <t>附表10!G9</t>
        </is>
      </c>
      <c r="B4961" t="inlineStr">
        <is>
          <t>附表10!C23</t>
        </is>
      </c>
      <c r="C4961" t="inlineStr">
        <is>
          <t>excel_formula</t>
        </is>
      </c>
    </row>
    <row r="4962">
      <c r="A4962" t="inlineStr">
        <is>
          <t>附表10!H9</t>
        </is>
      </c>
      <c r="B4962" t="inlineStr">
        <is>
          <t>附表10!C24</t>
        </is>
      </c>
      <c r="C4962" t="inlineStr">
        <is>
          <t>excel_formula</t>
        </is>
      </c>
    </row>
    <row r="4963">
      <c r="A4963" t="inlineStr">
        <is>
          <t>附表10!I9</t>
        </is>
      </c>
      <c r="B4963" t="inlineStr">
        <is>
          <t>附表10!C25</t>
        </is>
      </c>
      <c r="C4963" t="inlineStr">
        <is>
          <t>excel_formula</t>
        </is>
      </c>
    </row>
    <row r="4964">
      <c r="A4964" t="inlineStr">
        <is>
          <t>附表10!J9</t>
        </is>
      </c>
      <c r="B4964" t="inlineStr">
        <is>
          <t>附表10!C26</t>
        </is>
      </c>
      <c r="C4964" t="inlineStr">
        <is>
          <t>excel_formula</t>
        </is>
      </c>
    </row>
    <row r="4965">
      <c r="A4965" t="inlineStr">
        <is>
          <t>附表10!K9</t>
        </is>
      </c>
      <c r="B4965" t="inlineStr">
        <is>
          <t>附表10!C27</t>
        </is>
      </c>
      <c r="C4965" t="inlineStr">
        <is>
          <t>excel_formula</t>
        </is>
      </c>
    </row>
    <row r="4966">
      <c r="A4966" t="inlineStr">
        <is>
          <t>附表10!L9</t>
        </is>
      </c>
      <c r="B4966" t="inlineStr">
        <is>
          <t>附表10!C28</t>
        </is>
      </c>
      <c r="C4966" t="inlineStr">
        <is>
          <t>excel_formula</t>
        </is>
      </c>
    </row>
    <row r="4967">
      <c r="A4967" t="inlineStr">
        <is>
          <t>附表10!M9</t>
        </is>
      </c>
      <c r="B4967" t="inlineStr">
        <is>
          <t>附表10!C29</t>
        </is>
      </c>
      <c r="C4967" t="inlineStr">
        <is>
          <t>excel_formula</t>
        </is>
      </c>
    </row>
    <row r="4968">
      <c r="A4968" t="inlineStr">
        <is>
          <t>附表10!N9</t>
        </is>
      </c>
      <c r="B4968" t="inlineStr">
        <is>
          <t>附表10!C30</t>
        </is>
      </c>
      <c r="C4968" t="inlineStr">
        <is>
          <t>excel_formula</t>
        </is>
      </c>
    </row>
    <row r="4969">
      <c r="A4969" t="inlineStr">
        <is>
          <t>附表10!O9</t>
        </is>
      </c>
      <c r="B4969" t="inlineStr">
        <is>
          <t>附表10!C31</t>
        </is>
      </c>
      <c r="C4969" t="inlineStr">
        <is>
          <t>excel_formula</t>
        </is>
      </c>
    </row>
    <row r="4970">
      <c r="A4970" t="inlineStr">
        <is>
          <t>附表10!P9</t>
        </is>
      </c>
      <c r="B4970" t="inlineStr">
        <is>
          <t>附表10!C32</t>
        </is>
      </c>
      <c r="C4970" t="inlineStr">
        <is>
          <t>excel_formula</t>
        </is>
      </c>
    </row>
    <row r="4971">
      <c r="A4971" t="inlineStr">
        <is>
          <t>附表10!Q9</t>
        </is>
      </c>
      <c r="B4971" t="inlineStr">
        <is>
          <t>附表10!C33</t>
        </is>
      </c>
      <c r="C4971" t="inlineStr">
        <is>
          <t>excel_formula</t>
        </is>
      </c>
    </row>
    <row r="4972">
      <c r="A4972" t="inlineStr">
        <is>
          <t>附表10!R9</t>
        </is>
      </c>
      <c r="B4972" t="inlineStr">
        <is>
          <t>附表10!C34</t>
        </is>
      </c>
      <c r="C4972" t="inlineStr">
        <is>
          <t>excel_formula</t>
        </is>
      </c>
    </row>
    <row r="4973">
      <c r="A4973" t="inlineStr">
        <is>
          <t>附表10!S9</t>
        </is>
      </c>
      <c r="B4973" t="inlineStr">
        <is>
          <t>附表10!C35</t>
        </is>
      </c>
      <c r="C4973" t="inlineStr">
        <is>
          <t>excel_formula</t>
        </is>
      </c>
    </row>
    <row r="4974">
      <c r="A4974" t="inlineStr">
        <is>
          <t>附表10!T9</t>
        </is>
      </c>
      <c r="B4974" t="inlineStr">
        <is>
          <t>附表10!C36</t>
        </is>
      </c>
      <c r="C4974" t="inlineStr">
        <is>
          <t>excel_formula</t>
        </is>
      </c>
    </row>
    <row r="4975">
      <c r="A4975" t="inlineStr">
        <is>
          <t>附表10!U9</t>
        </is>
      </c>
      <c r="B4975" t="inlineStr">
        <is>
          <t>附表10!C37</t>
        </is>
      </c>
      <c r="C4975" t="inlineStr">
        <is>
          <t>excel_formula</t>
        </is>
      </c>
    </row>
    <row r="4976">
      <c r="A4976" t="inlineStr">
        <is>
          <t>附表10!V9</t>
        </is>
      </c>
      <c r="B4976" t="inlineStr">
        <is>
          <t>附表10!C38</t>
        </is>
      </c>
      <c r="C4976" t="inlineStr">
        <is>
          <t>excel_formula</t>
        </is>
      </c>
    </row>
    <row r="4977">
      <c r="A4977" t="inlineStr">
        <is>
          <t>附表10!W9</t>
        </is>
      </c>
      <c r="B4977" t="inlineStr">
        <is>
          <t>附表10!C39</t>
        </is>
      </c>
      <c r="C4977" t="inlineStr">
        <is>
          <t>excel_formula</t>
        </is>
      </c>
    </row>
    <row r="4978">
      <c r="A4978" t="inlineStr">
        <is>
          <t>附表10!X9</t>
        </is>
      </c>
      <c r="B4978" t="inlineStr">
        <is>
          <t>附表10!C40</t>
        </is>
      </c>
      <c r="C4978" t="inlineStr">
        <is>
          <t>excel_formula</t>
        </is>
      </c>
    </row>
    <row r="4979">
      <c r="A4979" t="inlineStr">
        <is>
          <t>附表10!Y9</t>
        </is>
      </c>
      <c r="B4979" t="inlineStr">
        <is>
          <t>附表10!C41</t>
        </is>
      </c>
      <c r="C4979" t="inlineStr">
        <is>
          <t>excel_formula</t>
        </is>
      </c>
    </row>
    <row r="4980">
      <c r="A4980" t="inlineStr">
        <is>
          <t>附表10!Z9</t>
        </is>
      </c>
      <c r="B4980" t="inlineStr">
        <is>
          <t>附表10!C42</t>
        </is>
      </c>
      <c r="C4980" t="inlineStr">
        <is>
          <t>excel_formula</t>
        </is>
      </c>
    </row>
    <row r="4981">
      <c r="A4981" t="inlineStr">
        <is>
          <t>附表10!AA9</t>
        </is>
      </c>
      <c r="B4981" t="inlineStr">
        <is>
          <t>附表10!C43</t>
        </is>
      </c>
      <c r="C4981" t="inlineStr">
        <is>
          <t>excel_formula</t>
        </is>
      </c>
    </row>
    <row r="4982">
      <c r="A4982" t="inlineStr">
        <is>
          <t>附表10!AB9</t>
        </is>
      </c>
      <c r="B4982" t="inlineStr">
        <is>
          <t>附表10!C44</t>
        </is>
      </c>
      <c r="C4982" t="inlineStr">
        <is>
          <t>excel_formula</t>
        </is>
      </c>
    </row>
    <row r="4983">
      <c r="A4983" t="inlineStr">
        <is>
          <t>附表10!D10</t>
        </is>
      </c>
      <c r="B4983" t="inlineStr">
        <is>
          <t>附表10!M20</t>
        </is>
      </c>
      <c r="C4983" t="inlineStr">
        <is>
          <t>excel_formula</t>
        </is>
      </c>
    </row>
    <row r="4984">
      <c r="A4984" t="inlineStr">
        <is>
          <t>附表10!E10</t>
        </is>
      </c>
      <c r="B4984" t="inlineStr">
        <is>
          <t>附表10!M21</t>
        </is>
      </c>
      <c r="C4984" t="inlineStr">
        <is>
          <t>excel_formula</t>
        </is>
      </c>
    </row>
    <row r="4985">
      <c r="A4985" t="inlineStr">
        <is>
          <t>附表10!F10</t>
        </is>
      </c>
      <c r="B4985" t="inlineStr">
        <is>
          <t>附表10!M22</t>
        </is>
      </c>
      <c r="C4985" t="inlineStr">
        <is>
          <t>excel_formula</t>
        </is>
      </c>
    </row>
    <row r="4986">
      <c r="A4986" t="inlineStr">
        <is>
          <t>附表10!G10</t>
        </is>
      </c>
      <c r="B4986" t="inlineStr">
        <is>
          <t>附表10!M23</t>
        </is>
      </c>
      <c r="C4986" t="inlineStr">
        <is>
          <t>excel_formula</t>
        </is>
      </c>
    </row>
    <row r="4987">
      <c r="A4987" t="inlineStr">
        <is>
          <t>附表10!H10</t>
        </is>
      </c>
      <c r="B4987" t="inlineStr">
        <is>
          <t>附表10!M24</t>
        </is>
      </c>
      <c r="C4987" t="inlineStr">
        <is>
          <t>excel_formula</t>
        </is>
      </c>
    </row>
    <row r="4988">
      <c r="A4988" t="inlineStr">
        <is>
          <t>附表10!I10</t>
        </is>
      </c>
      <c r="B4988" t="inlineStr">
        <is>
          <t>附表10!M25</t>
        </is>
      </c>
      <c r="C4988" t="inlineStr">
        <is>
          <t>excel_formula</t>
        </is>
      </c>
    </row>
    <row r="4989">
      <c r="A4989" t="inlineStr">
        <is>
          <t>附表10!J10</t>
        </is>
      </c>
      <c r="B4989" t="inlineStr">
        <is>
          <t>附表10!M26</t>
        </is>
      </c>
      <c r="C4989" t="inlineStr">
        <is>
          <t>excel_formula</t>
        </is>
      </c>
    </row>
    <row r="4990">
      <c r="A4990" t="inlineStr">
        <is>
          <t>附表10!K10</t>
        </is>
      </c>
      <c r="B4990" t="inlineStr">
        <is>
          <t>附表10!M27</t>
        </is>
      </c>
      <c r="C4990" t="inlineStr">
        <is>
          <t>excel_formula</t>
        </is>
      </c>
    </row>
    <row r="4991">
      <c r="A4991" t="inlineStr">
        <is>
          <t>附表10!L10</t>
        </is>
      </c>
      <c r="B4991" t="inlineStr">
        <is>
          <t>附表10!M28</t>
        </is>
      </c>
      <c r="C4991" t="inlineStr">
        <is>
          <t>excel_formula</t>
        </is>
      </c>
    </row>
    <row r="4992">
      <c r="A4992" t="inlineStr">
        <is>
          <t>附表10!M10</t>
        </is>
      </c>
      <c r="B4992" t="inlineStr">
        <is>
          <t>附表10!M29</t>
        </is>
      </c>
      <c r="C4992" t="inlineStr">
        <is>
          <t>excel_formula</t>
        </is>
      </c>
    </row>
    <row r="4993">
      <c r="A4993" t="inlineStr">
        <is>
          <t>附表10!N10</t>
        </is>
      </c>
      <c r="B4993" t="inlineStr">
        <is>
          <t>附表10!M30</t>
        </is>
      </c>
      <c r="C4993" t="inlineStr">
        <is>
          <t>excel_formula</t>
        </is>
      </c>
    </row>
    <row r="4994">
      <c r="A4994" t="inlineStr">
        <is>
          <t>附表10!O10</t>
        </is>
      </c>
      <c r="B4994" t="inlineStr">
        <is>
          <t>附表10!M31</t>
        </is>
      </c>
      <c r="C4994" t="inlineStr">
        <is>
          <t>excel_formula</t>
        </is>
      </c>
    </row>
    <row r="4995">
      <c r="A4995" t="inlineStr">
        <is>
          <t>附表10!P10</t>
        </is>
      </c>
      <c r="B4995" t="inlineStr">
        <is>
          <t>附表10!M32</t>
        </is>
      </c>
      <c r="C4995" t="inlineStr">
        <is>
          <t>excel_formula</t>
        </is>
      </c>
    </row>
    <row r="4996">
      <c r="A4996" t="inlineStr">
        <is>
          <t>附表10!Q10</t>
        </is>
      </c>
      <c r="B4996" t="inlineStr">
        <is>
          <t>附表10!M33</t>
        </is>
      </c>
      <c r="C4996" t="inlineStr">
        <is>
          <t>excel_formula</t>
        </is>
      </c>
    </row>
    <row r="4997">
      <c r="A4997" t="inlineStr">
        <is>
          <t>附表10!R10</t>
        </is>
      </c>
      <c r="B4997" t="inlineStr">
        <is>
          <t>附表10!M34</t>
        </is>
      </c>
      <c r="C4997" t="inlineStr">
        <is>
          <t>excel_formula</t>
        </is>
      </c>
    </row>
    <row r="4998">
      <c r="A4998" t="inlineStr">
        <is>
          <t>附表10!S10</t>
        </is>
      </c>
      <c r="B4998" t="inlineStr">
        <is>
          <t>附表10!M35</t>
        </is>
      </c>
      <c r="C4998" t="inlineStr">
        <is>
          <t>excel_formula</t>
        </is>
      </c>
    </row>
    <row r="4999">
      <c r="A4999" t="inlineStr">
        <is>
          <t>附表10!T10</t>
        </is>
      </c>
      <c r="B4999" t="inlineStr">
        <is>
          <t>附表10!M36</t>
        </is>
      </c>
      <c r="C4999" t="inlineStr">
        <is>
          <t>excel_formula</t>
        </is>
      </c>
    </row>
    <row r="5000">
      <c r="A5000" t="inlineStr">
        <is>
          <t>附表10!U10</t>
        </is>
      </c>
      <c r="B5000" t="inlineStr">
        <is>
          <t>附表10!M37</t>
        </is>
      </c>
      <c r="C5000" t="inlineStr">
        <is>
          <t>excel_formula</t>
        </is>
      </c>
    </row>
    <row r="5001">
      <c r="A5001" t="inlineStr">
        <is>
          <t>附表10!V10</t>
        </is>
      </c>
      <c r="B5001" t="inlineStr">
        <is>
          <t>附表10!M38</t>
        </is>
      </c>
      <c r="C5001" t="inlineStr">
        <is>
          <t>excel_formula</t>
        </is>
      </c>
    </row>
    <row r="5002">
      <c r="A5002" t="inlineStr">
        <is>
          <t>附表10!W10</t>
        </is>
      </c>
      <c r="B5002" t="inlineStr">
        <is>
          <t>附表10!M39</t>
        </is>
      </c>
      <c r="C5002" t="inlineStr">
        <is>
          <t>excel_formula</t>
        </is>
      </c>
    </row>
    <row r="5003">
      <c r="A5003" t="inlineStr">
        <is>
          <t>附表10!X10</t>
        </is>
      </c>
      <c r="B5003" t="inlineStr">
        <is>
          <t>附表10!M40</t>
        </is>
      </c>
      <c r="C5003" t="inlineStr">
        <is>
          <t>excel_formula</t>
        </is>
      </c>
    </row>
    <row r="5004">
      <c r="A5004" t="inlineStr">
        <is>
          <t>附表10!Y10</t>
        </is>
      </c>
      <c r="B5004" t="inlineStr">
        <is>
          <t>附表10!M41</t>
        </is>
      </c>
      <c r="C5004" t="inlineStr">
        <is>
          <t>excel_formula</t>
        </is>
      </c>
    </row>
    <row r="5005">
      <c r="A5005" t="inlineStr">
        <is>
          <t>附表10!Z10</t>
        </is>
      </c>
      <c r="B5005" t="inlineStr">
        <is>
          <t>附表10!M42</t>
        </is>
      </c>
      <c r="C5005" t="inlineStr">
        <is>
          <t>excel_formula</t>
        </is>
      </c>
    </row>
    <row r="5006">
      <c r="A5006" t="inlineStr">
        <is>
          <t>附表10!AA10</t>
        </is>
      </c>
      <c r="B5006" t="inlineStr">
        <is>
          <t>附表10!M43</t>
        </is>
      </c>
      <c r="C5006" t="inlineStr">
        <is>
          <t>excel_formula</t>
        </is>
      </c>
    </row>
    <row r="5007">
      <c r="A5007" t="inlineStr">
        <is>
          <t>附表10!AB10</t>
        </is>
      </c>
      <c r="B5007" t="inlineStr">
        <is>
          <t>附表10!M44</t>
        </is>
      </c>
      <c r="C5007" t="inlineStr">
        <is>
          <t>excel_formula</t>
        </is>
      </c>
    </row>
    <row r="5008">
      <c r="A5008" t="inlineStr">
        <is>
          <t>附表10!D11</t>
        </is>
      </c>
      <c r="B5008" t="inlineStr">
        <is>
          <t>附表10!N20</t>
        </is>
      </c>
      <c r="C5008" t="inlineStr">
        <is>
          <t>excel_formula</t>
        </is>
      </c>
    </row>
    <row r="5009">
      <c r="A5009" t="inlineStr">
        <is>
          <t>附表10!E11</t>
        </is>
      </c>
      <c r="B5009" t="inlineStr">
        <is>
          <t>附表10!N21</t>
        </is>
      </c>
      <c r="C5009" t="inlineStr">
        <is>
          <t>excel_formula</t>
        </is>
      </c>
    </row>
    <row r="5010">
      <c r="A5010" t="inlineStr">
        <is>
          <t>附表10!F11</t>
        </is>
      </c>
      <c r="B5010" t="inlineStr">
        <is>
          <t>附表10!N22</t>
        </is>
      </c>
      <c r="C5010" t="inlineStr">
        <is>
          <t>excel_formula</t>
        </is>
      </c>
    </row>
    <row r="5011">
      <c r="A5011" t="inlineStr">
        <is>
          <t>附表10!G11</t>
        </is>
      </c>
      <c r="B5011" t="inlineStr">
        <is>
          <t>附表10!N23</t>
        </is>
      </c>
      <c r="C5011" t="inlineStr">
        <is>
          <t>excel_formula</t>
        </is>
      </c>
    </row>
    <row r="5012">
      <c r="A5012" t="inlineStr">
        <is>
          <t>附表10!H11</t>
        </is>
      </c>
      <c r="B5012" t="inlineStr">
        <is>
          <t>附表10!N24</t>
        </is>
      </c>
      <c r="C5012" t="inlineStr">
        <is>
          <t>excel_formula</t>
        </is>
      </c>
    </row>
    <row r="5013">
      <c r="A5013" t="inlineStr">
        <is>
          <t>附表10!I11</t>
        </is>
      </c>
      <c r="B5013" t="inlineStr">
        <is>
          <t>附表10!N25</t>
        </is>
      </c>
      <c r="C5013" t="inlineStr">
        <is>
          <t>excel_formula</t>
        </is>
      </c>
    </row>
    <row r="5014">
      <c r="A5014" t="inlineStr">
        <is>
          <t>附表10!J11</t>
        </is>
      </c>
      <c r="B5014" t="inlineStr">
        <is>
          <t>附表10!N26</t>
        </is>
      </c>
      <c r="C5014" t="inlineStr">
        <is>
          <t>excel_formula</t>
        </is>
      </c>
    </row>
    <row r="5015">
      <c r="A5015" t="inlineStr">
        <is>
          <t>附表10!K11</t>
        </is>
      </c>
      <c r="B5015" t="inlineStr">
        <is>
          <t>附表10!N27</t>
        </is>
      </c>
      <c r="C5015" t="inlineStr">
        <is>
          <t>excel_formula</t>
        </is>
      </c>
    </row>
    <row r="5016">
      <c r="A5016" t="inlineStr">
        <is>
          <t>附表10!L11</t>
        </is>
      </c>
      <c r="B5016" t="inlineStr">
        <is>
          <t>附表10!N28</t>
        </is>
      </c>
      <c r="C5016" t="inlineStr">
        <is>
          <t>excel_formula</t>
        </is>
      </c>
    </row>
    <row r="5017">
      <c r="A5017" t="inlineStr">
        <is>
          <t>附表10!M11</t>
        </is>
      </c>
      <c r="B5017" t="inlineStr">
        <is>
          <t>附表10!N29</t>
        </is>
      </c>
      <c r="C5017" t="inlineStr">
        <is>
          <t>excel_formula</t>
        </is>
      </c>
    </row>
    <row r="5018">
      <c r="A5018" t="inlineStr">
        <is>
          <t>附表10!N11</t>
        </is>
      </c>
      <c r="B5018" t="inlineStr">
        <is>
          <t>附表10!N30</t>
        </is>
      </c>
      <c r="C5018" t="inlineStr">
        <is>
          <t>excel_formula</t>
        </is>
      </c>
    </row>
    <row r="5019">
      <c r="A5019" t="inlineStr">
        <is>
          <t>附表10!O11</t>
        </is>
      </c>
      <c r="B5019" t="inlineStr">
        <is>
          <t>附表10!N31</t>
        </is>
      </c>
      <c r="C5019" t="inlineStr">
        <is>
          <t>excel_formula</t>
        </is>
      </c>
    </row>
    <row r="5020">
      <c r="A5020" t="inlineStr">
        <is>
          <t>附表10!P11</t>
        </is>
      </c>
      <c r="B5020" t="inlineStr">
        <is>
          <t>附表10!N32</t>
        </is>
      </c>
      <c r="C5020" t="inlineStr">
        <is>
          <t>excel_formula</t>
        </is>
      </c>
    </row>
    <row r="5021">
      <c r="A5021" t="inlineStr">
        <is>
          <t>附表10!Q11</t>
        </is>
      </c>
      <c r="B5021" t="inlineStr">
        <is>
          <t>附表10!N33</t>
        </is>
      </c>
      <c r="C5021" t="inlineStr">
        <is>
          <t>excel_formula</t>
        </is>
      </c>
    </row>
    <row r="5022">
      <c r="A5022" t="inlineStr">
        <is>
          <t>附表10!R11</t>
        </is>
      </c>
      <c r="B5022" t="inlineStr">
        <is>
          <t>附表10!N34</t>
        </is>
      </c>
      <c r="C5022" t="inlineStr">
        <is>
          <t>excel_formula</t>
        </is>
      </c>
    </row>
    <row r="5023">
      <c r="A5023" t="inlineStr">
        <is>
          <t>附表10!S11</t>
        </is>
      </c>
      <c r="B5023" t="inlineStr">
        <is>
          <t>附表10!N35</t>
        </is>
      </c>
      <c r="C5023" t="inlineStr">
        <is>
          <t>excel_formula</t>
        </is>
      </c>
    </row>
    <row r="5024">
      <c r="A5024" t="inlineStr">
        <is>
          <t>附表10!T11</t>
        </is>
      </c>
      <c r="B5024" t="inlineStr">
        <is>
          <t>附表10!N36</t>
        </is>
      </c>
      <c r="C5024" t="inlineStr">
        <is>
          <t>excel_formula</t>
        </is>
      </c>
    </row>
    <row r="5025">
      <c r="A5025" t="inlineStr">
        <is>
          <t>附表10!U11</t>
        </is>
      </c>
      <c r="B5025" t="inlineStr">
        <is>
          <t>附表10!N37</t>
        </is>
      </c>
      <c r="C5025" t="inlineStr">
        <is>
          <t>excel_formula</t>
        </is>
      </c>
    </row>
    <row r="5026">
      <c r="A5026" t="inlineStr">
        <is>
          <t>附表10!V11</t>
        </is>
      </c>
      <c r="B5026" t="inlineStr">
        <is>
          <t>附表10!N38</t>
        </is>
      </c>
      <c r="C5026" t="inlineStr">
        <is>
          <t>excel_formula</t>
        </is>
      </c>
    </row>
    <row r="5027">
      <c r="A5027" t="inlineStr">
        <is>
          <t>附表10!W11</t>
        </is>
      </c>
      <c r="B5027" t="inlineStr">
        <is>
          <t>附表10!N39</t>
        </is>
      </c>
      <c r="C5027" t="inlineStr">
        <is>
          <t>excel_formula</t>
        </is>
      </c>
    </row>
    <row r="5028">
      <c r="A5028" t="inlineStr">
        <is>
          <t>附表10!X11</t>
        </is>
      </c>
      <c r="B5028" t="inlineStr">
        <is>
          <t>附表10!N40</t>
        </is>
      </c>
      <c r="C5028" t="inlineStr">
        <is>
          <t>excel_formula</t>
        </is>
      </c>
    </row>
    <row r="5029">
      <c r="A5029" t="inlineStr">
        <is>
          <t>附表10!Y11</t>
        </is>
      </c>
      <c r="B5029" t="inlineStr">
        <is>
          <t>附表10!N41</t>
        </is>
      </c>
      <c r="C5029" t="inlineStr">
        <is>
          <t>excel_formula</t>
        </is>
      </c>
    </row>
    <row r="5030">
      <c r="A5030" t="inlineStr">
        <is>
          <t>附表10!Z11</t>
        </is>
      </c>
      <c r="B5030" t="inlineStr">
        <is>
          <t>附表10!N42</t>
        </is>
      </c>
      <c r="C5030" t="inlineStr">
        <is>
          <t>excel_formula</t>
        </is>
      </c>
    </row>
    <row r="5031">
      <c r="A5031" t="inlineStr">
        <is>
          <t>附表10!AA11</t>
        </is>
      </c>
      <c r="B5031" t="inlineStr">
        <is>
          <t>附表10!N43</t>
        </is>
      </c>
      <c r="C5031" t="inlineStr">
        <is>
          <t>excel_formula</t>
        </is>
      </c>
    </row>
    <row r="5032">
      <c r="A5032" t="inlineStr">
        <is>
          <t>附表10!AB11</t>
        </is>
      </c>
      <c r="B5032" t="inlineStr">
        <is>
          <t>附表10!N44</t>
        </is>
      </c>
      <c r="C5032" t="inlineStr">
        <is>
          <t>excel_formula</t>
        </is>
      </c>
    </row>
    <row r="5033">
      <c r="A5033" t="inlineStr">
        <is>
          <t>附表10!D12</t>
        </is>
      </c>
      <c r="B5033" t="inlineStr">
        <is>
          <t>附表10!G20</t>
        </is>
      </c>
      <c r="C5033" t="inlineStr">
        <is>
          <t>excel_formula</t>
        </is>
      </c>
    </row>
    <row r="5034">
      <c r="A5034" t="inlineStr">
        <is>
          <t>附表10!E12</t>
        </is>
      </c>
      <c r="B5034" t="inlineStr">
        <is>
          <t>附表10!G21</t>
        </is>
      </c>
      <c r="C5034" t="inlineStr">
        <is>
          <t>excel_formula</t>
        </is>
      </c>
    </row>
    <row r="5035">
      <c r="A5035" t="inlineStr">
        <is>
          <t>附表10!F12</t>
        </is>
      </c>
      <c r="B5035" t="inlineStr">
        <is>
          <t>附表10!G22</t>
        </is>
      </c>
      <c r="C5035" t="inlineStr">
        <is>
          <t>excel_formula</t>
        </is>
      </c>
    </row>
    <row r="5036">
      <c r="A5036" t="inlineStr">
        <is>
          <t>附表10!G12</t>
        </is>
      </c>
      <c r="B5036" t="inlineStr">
        <is>
          <t>附表10!G23</t>
        </is>
      </c>
      <c r="C5036" t="inlineStr">
        <is>
          <t>excel_formula</t>
        </is>
      </c>
    </row>
    <row r="5037">
      <c r="A5037" t="inlineStr">
        <is>
          <t>附表10!H12</t>
        </is>
      </c>
      <c r="B5037" t="inlineStr">
        <is>
          <t>附表10!G24</t>
        </is>
      </c>
      <c r="C5037" t="inlineStr">
        <is>
          <t>excel_formula</t>
        </is>
      </c>
    </row>
    <row r="5038">
      <c r="A5038" t="inlineStr">
        <is>
          <t>附表10!I12</t>
        </is>
      </c>
      <c r="B5038" t="inlineStr">
        <is>
          <t>附表10!G25</t>
        </is>
      </c>
      <c r="C5038" t="inlineStr">
        <is>
          <t>excel_formula</t>
        </is>
      </c>
    </row>
    <row r="5039">
      <c r="A5039" t="inlineStr">
        <is>
          <t>附表10!J12</t>
        </is>
      </c>
      <c r="B5039" t="inlineStr">
        <is>
          <t>附表10!G26</t>
        </is>
      </c>
      <c r="C5039" t="inlineStr">
        <is>
          <t>excel_formula</t>
        </is>
      </c>
    </row>
    <row r="5040">
      <c r="A5040" t="inlineStr">
        <is>
          <t>附表10!K12</t>
        </is>
      </c>
      <c r="B5040" t="inlineStr">
        <is>
          <t>附表10!G27</t>
        </is>
      </c>
      <c r="C5040" t="inlineStr">
        <is>
          <t>excel_formula</t>
        </is>
      </c>
    </row>
    <row r="5041">
      <c r="A5041" t="inlineStr">
        <is>
          <t>附表10!L12</t>
        </is>
      </c>
      <c r="B5041" t="inlineStr">
        <is>
          <t>附表10!G28</t>
        </is>
      </c>
      <c r="C5041" t="inlineStr">
        <is>
          <t>excel_formula</t>
        </is>
      </c>
    </row>
    <row r="5042">
      <c r="A5042" t="inlineStr">
        <is>
          <t>附表10!M12</t>
        </is>
      </c>
      <c r="B5042" t="inlineStr">
        <is>
          <t>附表10!G29</t>
        </is>
      </c>
      <c r="C5042" t="inlineStr">
        <is>
          <t>excel_formula</t>
        </is>
      </c>
    </row>
    <row r="5043">
      <c r="A5043" t="inlineStr">
        <is>
          <t>附表10!N12</t>
        </is>
      </c>
      <c r="B5043" t="inlineStr">
        <is>
          <t>附表10!G30</t>
        </is>
      </c>
      <c r="C5043" t="inlineStr">
        <is>
          <t>excel_formula</t>
        </is>
      </c>
    </row>
    <row r="5044">
      <c r="A5044" t="inlineStr">
        <is>
          <t>附表10!O12</t>
        </is>
      </c>
      <c r="B5044" t="inlineStr">
        <is>
          <t>附表10!G31</t>
        </is>
      </c>
      <c r="C5044" t="inlineStr">
        <is>
          <t>excel_formula</t>
        </is>
      </c>
    </row>
    <row r="5045">
      <c r="A5045" t="inlineStr">
        <is>
          <t>附表10!P12</t>
        </is>
      </c>
      <c r="B5045" t="inlineStr">
        <is>
          <t>附表10!G32</t>
        </is>
      </c>
      <c r="C5045" t="inlineStr">
        <is>
          <t>excel_formula</t>
        </is>
      </c>
    </row>
    <row r="5046">
      <c r="A5046" t="inlineStr">
        <is>
          <t>附表10!Q12</t>
        </is>
      </c>
      <c r="B5046" t="inlineStr">
        <is>
          <t>附表10!G33</t>
        </is>
      </c>
      <c r="C5046" t="inlineStr">
        <is>
          <t>excel_formula</t>
        </is>
      </c>
    </row>
    <row r="5047">
      <c r="A5047" t="inlineStr">
        <is>
          <t>附表10!R12</t>
        </is>
      </c>
      <c r="B5047" t="inlineStr">
        <is>
          <t>附表10!G34</t>
        </is>
      </c>
      <c r="C5047" t="inlineStr">
        <is>
          <t>excel_formula</t>
        </is>
      </c>
    </row>
    <row r="5048">
      <c r="A5048" t="inlineStr">
        <is>
          <t>附表10!S12</t>
        </is>
      </c>
      <c r="B5048" t="inlineStr">
        <is>
          <t>附表10!G35</t>
        </is>
      </c>
      <c r="C5048" t="inlineStr">
        <is>
          <t>excel_formula</t>
        </is>
      </c>
    </row>
    <row r="5049">
      <c r="A5049" t="inlineStr">
        <is>
          <t>附表10!T12</t>
        </is>
      </c>
      <c r="B5049" t="inlineStr">
        <is>
          <t>附表10!G36</t>
        </is>
      </c>
      <c r="C5049" t="inlineStr">
        <is>
          <t>excel_formula</t>
        </is>
      </c>
    </row>
    <row r="5050">
      <c r="A5050" t="inlineStr">
        <is>
          <t>附表10!U12</t>
        </is>
      </c>
      <c r="B5050" t="inlineStr">
        <is>
          <t>附表10!G37</t>
        </is>
      </c>
      <c r="C5050" t="inlineStr">
        <is>
          <t>excel_formula</t>
        </is>
      </c>
    </row>
    <row r="5051">
      <c r="A5051" t="inlineStr">
        <is>
          <t>附表10!V12</t>
        </is>
      </c>
      <c r="B5051" t="inlineStr">
        <is>
          <t>附表10!G38</t>
        </is>
      </c>
      <c r="C5051" t="inlineStr">
        <is>
          <t>excel_formula</t>
        </is>
      </c>
    </row>
    <row r="5052">
      <c r="A5052" t="inlineStr">
        <is>
          <t>附表10!W12</t>
        </is>
      </c>
      <c r="B5052" t="inlineStr">
        <is>
          <t>附表10!G39</t>
        </is>
      </c>
      <c r="C5052" t="inlineStr">
        <is>
          <t>excel_formula</t>
        </is>
      </c>
    </row>
    <row r="5053">
      <c r="A5053" t="inlineStr">
        <is>
          <t>附表10!X12</t>
        </is>
      </c>
      <c r="B5053" t="inlineStr">
        <is>
          <t>附表10!G40</t>
        </is>
      </c>
      <c r="C5053" t="inlineStr">
        <is>
          <t>excel_formula</t>
        </is>
      </c>
    </row>
    <row r="5054">
      <c r="A5054" t="inlineStr">
        <is>
          <t>附表10!Y12</t>
        </is>
      </c>
      <c r="B5054" t="inlineStr">
        <is>
          <t>附表10!G41</t>
        </is>
      </c>
      <c r="C5054" t="inlineStr">
        <is>
          <t>excel_formula</t>
        </is>
      </c>
    </row>
    <row r="5055">
      <c r="A5055" t="inlineStr">
        <is>
          <t>附表10!Z12</t>
        </is>
      </c>
      <c r="B5055" t="inlineStr">
        <is>
          <t>附表10!G42</t>
        </is>
      </c>
      <c r="C5055" t="inlineStr">
        <is>
          <t>excel_formula</t>
        </is>
      </c>
    </row>
    <row r="5056">
      <c r="A5056" t="inlineStr">
        <is>
          <t>附表10!AA12</t>
        </is>
      </c>
      <c r="B5056" t="inlineStr">
        <is>
          <t>附表10!G43</t>
        </is>
      </c>
      <c r="C5056" t="inlineStr">
        <is>
          <t>excel_formula</t>
        </is>
      </c>
    </row>
    <row r="5057">
      <c r="A5057" t="inlineStr">
        <is>
          <t>附表10!AB12</t>
        </is>
      </c>
      <c r="B5057" t="inlineStr">
        <is>
          <t>附表10!G44</t>
        </is>
      </c>
      <c r="C5057" t="inlineStr">
        <is>
          <t>excel_formula</t>
        </is>
      </c>
    </row>
    <row r="5058">
      <c r="A5058" t="inlineStr">
        <is>
          <t>附表10!D13</t>
        </is>
      </c>
      <c r="B5058" t="inlineStr">
        <is>
          <t>附表10!H20</t>
        </is>
      </c>
      <c r="C5058" t="inlineStr">
        <is>
          <t>excel_formula</t>
        </is>
      </c>
    </row>
    <row r="5059">
      <c r="A5059" t="inlineStr">
        <is>
          <t>附表10!E13</t>
        </is>
      </c>
      <c r="B5059" t="inlineStr">
        <is>
          <t>附表10!H21</t>
        </is>
      </c>
      <c r="C5059" t="inlineStr">
        <is>
          <t>excel_formula</t>
        </is>
      </c>
    </row>
    <row r="5060">
      <c r="A5060" t="inlineStr">
        <is>
          <t>附表10!F13</t>
        </is>
      </c>
      <c r="B5060" t="inlineStr">
        <is>
          <t>附表10!H22</t>
        </is>
      </c>
      <c r="C5060" t="inlineStr">
        <is>
          <t>excel_formula</t>
        </is>
      </c>
    </row>
    <row r="5061">
      <c r="A5061" t="inlineStr">
        <is>
          <t>附表10!G13</t>
        </is>
      </c>
      <c r="B5061" t="inlineStr">
        <is>
          <t>附表10!H23</t>
        </is>
      </c>
      <c r="C5061" t="inlineStr">
        <is>
          <t>excel_formula</t>
        </is>
      </c>
    </row>
    <row r="5062">
      <c r="A5062" t="inlineStr">
        <is>
          <t>附表10!H13</t>
        </is>
      </c>
      <c r="B5062" t="inlineStr">
        <is>
          <t>附表10!H24</t>
        </is>
      </c>
      <c r="C5062" t="inlineStr">
        <is>
          <t>excel_formula</t>
        </is>
      </c>
    </row>
    <row r="5063">
      <c r="A5063" t="inlineStr">
        <is>
          <t>附表10!I13</t>
        </is>
      </c>
      <c r="B5063" t="inlineStr">
        <is>
          <t>附表10!H25</t>
        </is>
      </c>
      <c r="C5063" t="inlineStr">
        <is>
          <t>excel_formula</t>
        </is>
      </c>
    </row>
    <row r="5064">
      <c r="A5064" t="inlineStr">
        <is>
          <t>附表10!J13</t>
        </is>
      </c>
      <c r="B5064" t="inlineStr">
        <is>
          <t>附表10!H26</t>
        </is>
      </c>
      <c r="C5064" t="inlineStr">
        <is>
          <t>excel_formula</t>
        </is>
      </c>
    </row>
    <row r="5065">
      <c r="A5065" t="inlineStr">
        <is>
          <t>附表10!K13</t>
        </is>
      </c>
      <c r="B5065" t="inlineStr">
        <is>
          <t>附表10!H27</t>
        </is>
      </c>
      <c r="C5065" t="inlineStr">
        <is>
          <t>excel_formula</t>
        </is>
      </c>
    </row>
    <row r="5066">
      <c r="A5066" t="inlineStr">
        <is>
          <t>附表10!L13</t>
        </is>
      </c>
      <c r="B5066" t="inlineStr">
        <is>
          <t>附表10!H28</t>
        </is>
      </c>
      <c r="C5066" t="inlineStr">
        <is>
          <t>excel_formula</t>
        </is>
      </c>
    </row>
    <row r="5067">
      <c r="A5067" t="inlineStr">
        <is>
          <t>附表10!M13</t>
        </is>
      </c>
      <c r="B5067" t="inlineStr">
        <is>
          <t>附表10!H29</t>
        </is>
      </c>
      <c r="C5067" t="inlineStr">
        <is>
          <t>excel_formula</t>
        </is>
      </c>
    </row>
    <row r="5068">
      <c r="A5068" t="inlineStr">
        <is>
          <t>附表10!N13</t>
        </is>
      </c>
      <c r="B5068" t="inlineStr">
        <is>
          <t>附表10!H30</t>
        </is>
      </c>
      <c r="C5068" t="inlineStr">
        <is>
          <t>excel_formula</t>
        </is>
      </c>
    </row>
    <row r="5069">
      <c r="A5069" t="inlineStr">
        <is>
          <t>附表10!O13</t>
        </is>
      </c>
      <c r="B5069" t="inlineStr">
        <is>
          <t>附表10!H31</t>
        </is>
      </c>
      <c r="C5069" t="inlineStr">
        <is>
          <t>excel_formula</t>
        </is>
      </c>
    </row>
    <row r="5070">
      <c r="A5070" t="inlineStr">
        <is>
          <t>附表10!P13</t>
        </is>
      </c>
      <c r="B5070" t="inlineStr">
        <is>
          <t>附表10!H32</t>
        </is>
      </c>
      <c r="C5070" t="inlineStr">
        <is>
          <t>excel_formula</t>
        </is>
      </c>
    </row>
    <row r="5071">
      <c r="A5071" t="inlineStr">
        <is>
          <t>附表10!Q13</t>
        </is>
      </c>
      <c r="B5071" t="inlineStr">
        <is>
          <t>附表10!H33</t>
        </is>
      </c>
      <c r="C5071" t="inlineStr">
        <is>
          <t>excel_formula</t>
        </is>
      </c>
    </row>
    <row r="5072">
      <c r="A5072" t="inlineStr">
        <is>
          <t>附表10!R13</t>
        </is>
      </c>
      <c r="B5072" t="inlineStr">
        <is>
          <t>附表10!H34</t>
        </is>
      </c>
      <c r="C5072" t="inlineStr">
        <is>
          <t>excel_formula</t>
        </is>
      </c>
    </row>
    <row r="5073">
      <c r="A5073" t="inlineStr">
        <is>
          <t>附表10!S13</t>
        </is>
      </c>
      <c r="B5073" t="inlineStr">
        <is>
          <t>附表10!H35</t>
        </is>
      </c>
      <c r="C5073" t="inlineStr">
        <is>
          <t>excel_formula</t>
        </is>
      </c>
    </row>
    <row r="5074">
      <c r="A5074" t="inlineStr">
        <is>
          <t>附表10!T13</t>
        </is>
      </c>
      <c r="B5074" t="inlineStr">
        <is>
          <t>附表10!H36</t>
        </is>
      </c>
      <c r="C5074" t="inlineStr">
        <is>
          <t>excel_formula</t>
        </is>
      </c>
    </row>
    <row r="5075">
      <c r="A5075" t="inlineStr">
        <is>
          <t>附表10!U13</t>
        </is>
      </c>
      <c r="B5075" t="inlineStr">
        <is>
          <t>附表10!H37</t>
        </is>
      </c>
      <c r="C5075" t="inlineStr">
        <is>
          <t>excel_formula</t>
        </is>
      </c>
    </row>
    <row r="5076">
      <c r="A5076" t="inlineStr">
        <is>
          <t>附表10!V13</t>
        </is>
      </c>
      <c r="B5076" t="inlineStr">
        <is>
          <t>附表10!H38</t>
        </is>
      </c>
      <c r="C5076" t="inlineStr">
        <is>
          <t>excel_formula</t>
        </is>
      </c>
    </row>
    <row r="5077">
      <c r="A5077" t="inlineStr">
        <is>
          <t>附表10!W13</t>
        </is>
      </c>
      <c r="B5077" t="inlineStr">
        <is>
          <t>附表10!H39</t>
        </is>
      </c>
      <c r="C5077" t="inlineStr">
        <is>
          <t>excel_formula</t>
        </is>
      </c>
    </row>
    <row r="5078">
      <c r="A5078" t="inlineStr">
        <is>
          <t>附表10!X13</t>
        </is>
      </c>
      <c r="B5078" t="inlineStr">
        <is>
          <t>附表10!H40</t>
        </is>
      </c>
      <c r="C5078" t="inlineStr">
        <is>
          <t>excel_formula</t>
        </is>
      </c>
    </row>
    <row r="5079">
      <c r="A5079" t="inlineStr">
        <is>
          <t>附表10!Y13</t>
        </is>
      </c>
      <c r="B5079" t="inlineStr">
        <is>
          <t>附表10!H41</t>
        </is>
      </c>
      <c r="C5079" t="inlineStr">
        <is>
          <t>excel_formula</t>
        </is>
      </c>
    </row>
    <row r="5080">
      <c r="A5080" t="inlineStr">
        <is>
          <t>附表10!Z13</t>
        </is>
      </c>
      <c r="B5080" t="inlineStr">
        <is>
          <t>附表10!H42</t>
        </is>
      </c>
      <c r="C5080" t="inlineStr">
        <is>
          <t>excel_formula</t>
        </is>
      </c>
    </row>
    <row r="5081">
      <c r="A5081" t="inlineStr">
        <is>
          <t>附表10!AA13</t>
        </is>
      </c>
      <c r="B5081" t="inlineStr">
        <is>
          <t>附表10!H43</t>
        </is>
      </c>
      <c r="C5081" t="inlineStr">
        <is>
          <t>excel_formula</t>
        </is>
      </c>
    </row>
    <row r="5082">
      <c r="A5082" t="inlineStr">
        <is>
          <t>附表10!AB13</t>
        </is>
      </c>
      <c r="B5082" t="inlineStr">
        <is>
          <t>附表10!H44</t>
        </is>
      </c>
      <c r="C5082" t="inlineStr">
        <is>
          <t>excel_formula</t>
        </is>
      </c>
    </row>
    <row r="5083">
      <c r="A5083" t="inlineStr">
        <is>
          <t>附表10!D14</t>
        </is>
      </c>
      <c r="B5083" t="inlineStr">
        <is>
          <t>附表10!I20</t>
        </is>
      </c>
      <c r="C5083" t="inlineStr">
        <is>
          <t>excel_formula</t>
        </is>
      </c>
    </row>
    <row r="5084">
      <c r="A5084" t="inlineStr">
        <is>
          <t>附表10!E14</t>
        </is>
      </c>
      <c r="B5084" t="inlineStr">
        <is>
          <t>附表10!I21</t>
        </is>
      </c>
      <c r="C5084" t="inlineStr">
        <is>
          <t>excel_formula</t>
        </is>
      </c>
    </row>
    <row r="5085">
      <c r="A5085" t="inlineStr">
        <is>
          <t>附表10!F14</t>
        </is>
      </c>
      <c r="B5085" t="inlineStr">
        <is>
          <t>附表10!I22</t>
        </is>
      </c>
      <c r="C5085" t="inlineStr">
        <is>
          <t>excel_formula</t>
        </is>
      </c>
    </row>
    <row r="5086">
      <c r="A5086" t="inlineStr">
        <is>
          <t>附表10!G14</t>
        </is>
      </c>
      <c r="B5086" t="inlineStr">
        <is>
          <t>附表10!I23</t>
        </is>
      </c>
      <c r="C5086" t="inlineStr">
        <is>
          <t>excel_formula</t>
        </is>
      </c>
    </row>
    <row r="5087">
      <c r="A5087" t="inlineStr">
        <is>
          <t>附表10!H14</t>
        </is>
      </c>
      <c r="B5087" t="inlineStr">
        <is>
          <t>附表10!I24</t>
        </is>
      </c>
      <c r="C5087" t="inlineStr">
        <is>
          <t>excel_formula</t>
        </is>
      </c>
    </row>
    <row r="5088">
      <c r="A5088" t="inlineStr">
        <is>
          <t>附表10!I14</t>
        </is>
      </c>
      <c r="B5088" t="inlineStr">
        <is>
          <t>附表10!I25</t>
        </is>
      </c>
      <c r="C5088" t="inlineStr">
        <is>
          <t>excel_formula</t>
        </is>
      </c>
    </row>
    <row r="5089">
      <c r="A5089" t="inlineStr">
        <is>
          <t>附表10!J14</t>
        </is>
      </c>
      <c r="B5089" t="inlineStr">
        <is>
          <t>附表10!I26</t>
        </is>
      </c>
      <c r="C5089" t="inlineStr">
        <is>
          <t>excel_formula</t>
        </is>
      </c>
    </row>
    <row r="5090">
      <c r="A5090" t="inlineStr">
        <is>
          <t>附表10!K14</t>
        </is>
      </c>
      <c r="B5090" t="inlineStr">
        <is>
          <t>附表10!I27</t>
        </is>
      </c>
      <c r="C5090" t="inlineStr">
        <is>
          <t>excel_formula</t>
        </is>
      </c>
    </row>
    <row r="5091">
      <c r="A5091" t="inlineStr">
        <is>
          <t>附表10!L14</t>
        </is>
      </c>
      <c r="B5091" t="inlineStr">
        <is>
          <t>附表10!I28</t>
        </is>
      </c>
      <c r="C5091" t="inlineStr">
        <is>
          <t>excel_formula</t>
        </is>
      </c>
    </row>
    <row r="5092">
      <c r="A5092" t="inlineStr">
        <is>
          <t>附表10!M14</t>
        </is>
      </c>
      <c r="B5092" t="inlineStr">
        <is>
          <t>附表10!I29</t>
        </is>
      </c>
      <c r="C5092" t="inlineStr">
        <is>
          <t>excel_formula</t>
        </is>
      </c>
    </row>
    <row r="5093">
      <c r="A5093" t="inlineStr">
        <is>
          <t>附表10!N14</t>
        </is>
      </c>
      <c r="B5093" t="inlineStr">
        <is>
          <t>附表10!I30</t>
        </is>
      </c>
      <c r="C5093" t="inlineStr">
        <is>
          <t>excel_formula</t>
        </is>
      </c>
    </row>
    <row r="5094">
      <c r="A5094" t="inlineStr">
        <is>
          <t>附表10!O14</t>
        </is>
      </c>
      <c r="B5094" t="inlineStr">
        <is>
          <t>附表10!I31</t>
        </is>
      </c>
      <c r="C5094" t="inlineStr">
        <is>
          <t>excel_formula</t>
        </is>
      </c>
    </row>
    <row r="5095">
      <c r="A5095" t="inlineStr">
        <is>
          <t>附表10!P14</t>
        </is>
      </c>
      <c r="B5095" t="inlineStr">
        <is>
          <t>附表10!I32</t>
        </is>
      </c>
      <c r="C5095" t="inlineStr">
        <is>
          <t>excel_formula</t>
        </is>
      </c>
    </row>
    <row r="5096">
      <c r="A5096" t="inlineStr">
        <is>
          <t>附表10!Q14</t>
        </is>
      </c>
      <c r="B5096" t="inlineStr">
        <is>
          <t>附表10!I33</t>
        </is>
      </c>
      <c r="C5096" t="inlineStr">
        <is>
          <t>excel_formula</t>
        </is>
      </c>
    </row>
    <row r="5097">
      <c r="A5097" t="inlineStr">
        <is>
          <t>附表10!R14</t>
        </is>
      </c>
      <c r="B5097" t="inlineStr">
        <is>
          <t>附表10!I34</t>
        </is>
      </c>
      <c r="C5097" t="inlineStr">
        <is>
          <t>excel_formula</t>
        </is>
      </c>
    </row>
    <row r="5098">
      <c r="A5098" t="inlineStr">
        <is>
          <t>附表10!S14</t>
        </is>
      </c>
      <c r="B5098" t="inlineStr">
        <is>
          <t>附表10!I35</t>
        </is>
      </c>
      <c r="C5098" t="inlineStr">
        <is>
          <t>excel_formula</t>
        </is>
      </c>
    </row>
    <row r="5099">
      <c r="A5099" t="inlineStr">
        <is>
          <t>附表10!T14</t>
        </is>
      </c>
      <c r="B5099" t="inlineStr">
        <is>
          <t>附表10!I36</t>
        </is>
      </c>
      <c r="C5099" t="inlineStr">
        <is>
          <t>excel_formula</t>
        </is>
      </c>
    </row>
    <row r="5100">
      <c r="A5100" t="inlineStr">
        <is>
          <t>附表10!U14</t>
        </is>
      </c>
      <c r="B5100" t="inlineStr">
        <is>
          <t>附表10!I37</t>
        </is>
      </c>
      <c r="C5100" t="inlineStr">
        <is>
          <t>excel_formula</t>
        </is>
      </c>
    </row>
    <row r="5101">
      <c r="A5101" t="inlineStr">
        <is>
          <t>附表10!V14</t>
        </is>
      </c>
      <c r="B5101" t="inlineStr">
        <is>
          <t>附表10!I38</t>
        </is>
      </c>
      <c r="C5101" t="inlineStr">
        <is>
          <t>excel_formula</t>
        </is>
      </c>
    </row>
    <row r="5102">
      <c r="A5102" t="inlineStr">
        <is>
          <t>附表10!W14</t>
        </is>
      </c>
      <c r="B5102" t="inlineStr">
        <is>
          <t>附表10!I39</t>
        </is>
      </c>
      <c r="C5102" t="inlineStr">
        <is>
          <t>excel_formula</t>
        </is>
      </c>
    </row>
    <row r="5103">
      <c r="A5103" t="inlineStr">
        <is>
          <t>附表10!X14</t>
        </is>
      </c>
      <c r="B5103" t="inlineStr">
        <is>
          <t>附表10!I40</t>
        </is>
      </c>
      <c r="C5103" t="inlineStr">
        <is>
          <t>excel_formula</t>
        </is>
      </c>
    </row>
    <row r="5104">
      <c r="A5104" t="inlineStr">
        <is>
          <t>附表10!Y14</t>
        </is>
      </c>
      <c r="B5104" t="inlineStr">
        <is>
          <t>附表10!I41</t>
        </is>
      </c>
      <c r="C5104" t="inlineStr">
        <is>
          <t>excel_formula</t>
        </is>
      </c>
    </row>
    <row r="5105">
      <c r="A5105" t="inlineStr">
        <is>
          <t>附表10!Z14</t>
        </is>
      </c>
      <c r="B5105" t="inlineStr">
        <is>
          <t>附表10!I42</t>
        </is>
      </c>
      <c r="C5105" t="inlineStr">
        <is>
          <t>excel_formula</t>
        </is>
      </c>
    </row>
    <row r="5106">
      <c r="A5106" t="inlineStr">
        <is>
          <t>附表10!AA14</t>
        </is>
      </c>
      <c r="B5106" t="inlineStr">
        <is>
          <t>附表10!I43</t>
        </is>
      </c>
      <c r="C5106" t="inlineStr">
        <is>
          <t>excel_formula</t>
        </is>
      </c>
    </row>
    <row r="5107">
      <c r="A5107" t="inlineStr">
        <is>
          <t>附表10!AB14</t>
        </is>
      </c>
      <c r="B5107" t="inlineStr">
        <is>
          <t>附表10!I44</t>
        </is>
      </c>
      <c r="C5107" t="inlineStr">
        <is>
          <t>excel_formula</t>
        </is>
      </c>
    </row>
    <row r="5108">
      <c r="A5108" t="inlineStr">
        <is>
          <t>附表10!D15</t>
        </is>
      </c>
      <c r="B5108" t="inlineStr">
        <is>
          <t>附表10!O20</t>
        </is>
      </c>
      <c r="C5108" t="inlineStr">
        <is>
          <t>excel_formula</t>
        </is>
      </c>
    </row>
    <row r="5109">
      <c r="A5109" t="inlineStr">
        <is>
          <t>附表10!E15</t>
        </is>
      </c>
      <c r="B5109" t="inlineStr">
        <is>
          <t>附表10!O21</t>
        </is>
      </c>
      <c r="C5109" t="inlineStr">
        <is>
          <t>excel_formula</t>
        </is>
      </c>
    </row>
    <row r="5110">
      <c r="A5110" t="inlineStr">
        <is>
          <t>附表10!F15</t>
        </is>
      </c>
      <c r="B5110" t="inlineStr">
        <is>
          <t>附表10!O22</t>
        </is>
      </c>
      <c r="C5110" t="inlineStr">
        <is>
          <t>excel_formula</t>
        </is>
      </c>
    </row>
    <row r="5111">
      <c r="A5111" t="inlineStr">
        <is>
          <t>附表10!G15</t>
        </is>
      </c>
      <c r="B5111" t="inlineStr">
        <is>
          <t>附表10!O23</t>
        </is>
      </c>
      <c r="C5111" t="inlineStr">
        <is>
          <t>excel_formula</t>
        </is>
      </c>
    </row>
    <row r="5112">
      <c r="A5112" t="inlineStr">
        <is>
          <t>附表10!H15</t>
        </is>
      </c>
      <c r="B5112" t="inlineStr">
        <is>
          <t>附表10!O24</t>
        </is>
      </c>
      <c r="C5112" t="inlineStr">
        <is>
          <t>excel_formula</t>
        </is>
      </c>
    </row>
    <row r="5113">
      <c r="A5113" t="inlineStr">
        <is>
          <t>附表10!I15</t>
        </is>
      </c>
      <c r="B5113" t="inlineStr">
        <is>
          <t>附表10!O25</t>
        </is>
      </c>
      <c r="C5113" t="inlineStr">
        <is>
          <t>excel_formula</t>
        </is>
      </c>
    </row>
    <row r="5114">
      <c r="A5114" t="inlineStr">
        <is>
          <t>附表10!J15</t>
        </is>
      </c>
      <c r="B5114" t="inlineStr">
        <is>
          <t>附表10!O26</t>
        </is>
      </c>
      <c r="C5114" t="inlineStr">
        <is>
          <t>excel_formula</t>
        </is>
      </c>
    </row>
    <row r="5115">
      <c r="A5115" t="inlineStr">
        <is>
          <t>附表10!K15</t>
        </is>
      </c>
      <c r="B5115" t="inlineStr">
        <is>
          <t>附表10!O27</t>
        </is>
      </c>
      <c r="C5115" t="inlineStr">
        <is>
          <t>excel_formula</t>
        </is>
      </c>
    </row>
    <row r="5116">
      <c r="A5116" t="inlineStr">
        <is>
          <t>附表10!L15</t>
        </is>
      </c>
      <c r="B5116" t="inlineStr">
        <is>
          <t>附表10!O28</t>
        </is>
      </c>
      <c r="C5116" t="inlineStr">
        <is>
          <t>excel_formula</t>
        </is>
      </c>
    </row>
    <row r="5117">
      <c r="A5117" t="inlineStr">
        <is>
          <t>附表10!M15</t>
        </is>
      </c>
      <c r="B5117" t="inlineStr">
        <is>
          <t>附表10!O29</t>
        </is>
      </c>
      <c r="C5117" t="inlineStr">
        <is>
          <t>excel_formula</t>
        </is>
      </c>
    </row>
    <row r="5118">
      <c r="A5118" t="inlineStr">
        <is>
          <t>附表10!N15</t>
        </is>
      </c>
      <c r="B5118" t="inlineStr">
        <is>
          <t>附表10!O30</t>
        </is>
      </c>
      <c r="C5118" t="inlineStr">
        <is>
          <t>excel_formula</t>
        </is>
      </c>
    </row>
    <row r="5119">
      <c r="A5119" t="inlineStr">
        <is>
          <t>附表10!O15</t>
        </is>
      </c>
      <c r="B5119" t="inlineStr">
        <is>
          <t>附表10!O31</t>
        </is>
      </c>
      <c r="C5119" t="inlineStr">
        <is>
          <t>excel_formula</t>
        </is>
      </c>
    </row>
    <row r="5120">
      <c r="A5120" t="inlineStr">
        <is>
          <t>附表10!P15</t>
        </is>
      </c>
      <c r="B5120" t="inlineStr">
        <is>
          <t>附表10!O32</t>
        </is>
      </c>
      <c r="C5120" t="inlineStr">
        <is>
          <t>excel_formula</t>
        </is>
      </c>
    </row>
    <row r="5121">
      <c r="A5121" t="inlineStr">
        <is>
          <t>附表10!Q15</t>
        </is>
      </c>
      <c r="B5121" t="inlineStr">
        <is>
          <t>附表10!O33</t>
        </is>
      </c>
      <c r="C5121" t="inlineStr">
        <is>
          <t>excel_formula</t>
        </is>
      </c>
    </row>
    <row r="5122">
      <c r="A5122" t="inlineStr">
        <is>
          <t>附表10!R15</t>
        </is>
      </c>
      <c r="B5122" t="inlineStr">
        <is>
          <t>附表10!O34</t>
        </is>
      </c>
      <c r="C5122" t="inlineStr">
        <is>
          <t>excel_formula</t>
        </is>
      </c>
    </row>
    <row r="5123">
      <c r="A5123" t="inlineStr">
        <is>
          <t>附表10!S15</t>
        </is>
      </c>
      <c r="B5123" t="inlineStr">
        <is>
          <t>附表10!O35</t>
        </is>
      </c>
      <c r="C5123" t="inlineStr">
        <is>
          <t>excel_formula</t>
        </is>
      </c>
    </row>
    <row r="5124">
      <c r="A5124" t="inlineStr">
        <is>
          <t>附表10!T15</t>
        </is>
      </c>
      <c r="B5124" t="inlineStr">
        <is>
          <t>附表10!O36</t>
        </is>
      </c>
      <c r="C5124" t="inlineStr">
        <is>
          <t>excel_formula</t>
        </is>
      </c>
    </row>
    <row r="5125">
      <c r="A5125" t="inlineStr">
        <is>
          <t>附表10!U15</t>
        </is>
      </c>
      <c r="B5125" t="inlineStr">
        <is>
          <t>附表10!O37</t>
        </is>
      </c>
      <c r="C5125" t="inlineStr">
        <is>
          <t>excel_formula</t>
        </is>
      </c>
    </row>
    <row r="5126">
      <c r="A5126" t="inlineStr">
        <is>
          <t>附表10!V15</t>
        </is>
      </c>
      <c r="B5126" t="inlineStr">
        <is>
          <t>附表10!O38</t>
        </is>
      </c>
      <c r="C5126" t="inlineStr">
        <is>
          <t>excel_formula</t>
        </is>
      </c>
    </row>
    <row r="5127">
      <c r="A5127" t="inlineStr">
        <is>
          <t>附表10!W15</t>
        </is>
      </c>
      <c r="B5127" t="inlineStr">
        <is>
          <t>附表10!O39</t>
        </is>
      </c>
      <c r="C5127" t="inlineStr">
        <is>
          <t>excel_formula</t>
        </is>
      </c>
    </row>
    <row r="5128">
      <c r="A5128" t="inlineStr">
        <is>
          <t>附表10!X15</t>
        </is>
      </c>
      <c r="B5128" t="inlineStr">
        <is>
          <t>附表10!O40</t>
        </is>
      </c>
      <c r="C5128" t="inlineStr">
        <is>
          <t>excel_formula</t>
        </is>
      </c>
    </row>
    <row r="5129">
      <c r="A5129" t="inlineStr">
        <is>
          <t>附表10!Y15</t>
        </is>
      </c>
      <c r="B5129" t="inlineStr">
        <is>
          <t>附表10!O41</t>
        </is>
      </c>
      <c r="C5129" t="inlineStr">
        <is>
          <t>excel_formula</t>
        </is>
      </c>
    </row>
    <row r="5130">
      <c r="A5130" t="inlineStr">
        <is>
          <t>附表10!Z15</t>
        </is>
      </c>
      <c r="B5130" t="inlineStr">
        <is>
          <t>附表10!O42</t>
        </is>
      </c>
      <c r="C5130" t="inlineStr">
        <is>
          <t>excel_formula</t>
        </is>
      </c>
    </row>
    <row r="5131">
      <c r="A5131" t="inlineStr">
        <is>
          <t>附表10!AA15</t>
        </is>
      </c>
      <c r="B5131" t="inlineStr">
        <is>
          <t>附表10!O43</t>
        </is>
      </c>
      <c r="C5131" t="inlineStr">
        <is>
          <t>excel_formula</t>
        </is>
      </c>
    </row>
    <row r="5132">
      <c r="A5132" t="inlineStr">
        <is>
          <t>附表10!AB15</t>
        </is>
      </c>
      <c r="B5132" t="inlineStr">
        <is>
          <t>附表10!O44</t>
        </is>
      </c>
      <c r="C5132" t="inlineStr">
        <is>
          <t>excel_formula</t>
        </is>
      </c>
    </row>
    <row r="5133">
      <c r="A5133" t="inlineStr">
        <is>
          <t>附表3!B7</t>
        </is>
      </c>
      <c r="B5133" t="inlineStr">
        <is>
          <t>'附表6'!A16</t>
        </is>
      </c>
      <c r="C5133" t="inlineStr">
        <is>
          <t>excel_formula</t>
        </is>
      </c>
    </row>
    <row r="5134">
      <c r="A5134" t="inlineStr">
        <is>
          <t>附表4!B14</t>
        </is>
      </c>
      <c r="B5134" t="inlineStr">
        <is>
          <t>'附表1'!J4</t>
        </is>
      </c>
      <c r="C5134" t="inlineStr">
        <is>
          <t>excel_formula</t>
        </is>
      </c>
    </row>
    <row r="5135">
      <c r="A5135" t="inlineStr">
        <is>
          <t>附表4!B15</t>
        </is>
      </c>
      <c r="B5135" t="inlineStr">
        <is>
          <t>'附表3'!B4</t>
        </is>
      </c>
      <c r="C5135" t="inlineStr">
        <is>
          <t>excel_formula</t>
        </is>
      </c>
    </row>
    <row r="5136">
      <c r="A5136" t="inlineStr">
        <is>
          <t>附表5!B42</t>
        </is>
      </c>
      <c r="B5136" t="inlineStr">
        <is>
          <t>'附表6'!A16</t>
        </is>
      </c>
      <c r="C5136" t="inlineStr">
        <is>
          <t>excel_formula</t>
        </is>
      </c>
    </row>
    <row r="5137">
      <c r="A5137" t="inlineStr">
        <is>
          <t>附表6!B42</t>
        </is>
      </c>
      <c r="B5137" t="inlineStr">
        <is>
          <t>'附表4'!C4</t>
        </is>
      </c>
      <c r="C5137" t="inlineStr">
        <is>
          <t>excel_formula</t>
        </is>
      </c>
    </row>
    <row r="5138">
      <c r="A5138" t="inlineStr">
        <is>
          <t>附表6!B43</t>
        </is>
      </c>
      <c r="B5138" t="inlineStr">
        <is>
          <t>'附表5'!A16</t>
        </is>
      </c>
      <c r="C5138" t="inlineStr">
        <is>
          <t>excel_formula</t>
        </is>
      </c>
    </row>
    <row r="5139">
      <c r="A5139" t="inlineStr">
        <is>
          <t>附表6!B44</t>
        </is>
      </c>
      <c r="B5139" t="inlineStr">
        <is>
          <t>'附表6-1'!A11</t>
        </is>
      </c>
      <c r="C5139" t="inlineStr">
        <is>
          <t>excel_formula</t>
        </is>
      </c>
    </row>
    <row r="5140">
      <c r="A5140" t="inlineStr">
        <is>
          <t>附表6!B45</t>
        </is>
      </c>
      <c r="B5140" t="inlineStr">
        <is>
          <t>'附表6-2'!A8</t>
        </is>
      </c>
      <c r="C5140" t="inlineStr">
        <is>
          <t>excel_formula</t>
        </is>
      </c>
    </row>
    <row r="5141">
      <c r="A5141" t="inlineStr">
        <is>
          <t>附表6!B46</t>
        </is>
      </c>
      <c r="B5141" t="inlineStr">
        <is>
          <t>'附表6-3'!A8</t>
        </is>
      </c>
      <c r="C5141" t="inlineStr">
        <is>
          <t>excel_formula</t>
        </is>
      </c>
    </row>
    <row r="5142">
      <c r="A5142" t="inlineStr">
        <is>
          <t>附表6!B47</t>
        </is>
      </c>
      <c r="B5142" t="inlineStr">
        <is>
          <t>'附表8'!A24</t>
        </is>
      </c>
      <c r="C5142" t="inlineStr">
        <is>
          <t>excel_formula</t>
        </is>
      </c>
    </row>
    <row r="5143">
      <c r="A5143" t="inlineStr">
        <is>
          <t>附表6-2!B34</t>
        </is>
      </c>
      <c r="B5143" t="inlineStr">
        <is>
          <t>'附表1'!J4</t>
        </is>
      </c>
      <c r="C5143" t="inlineStr">
        <is>
          <t>excel_formula</t>
        </is>
      </c>
    </row>
    <row r="5144">
      <c r="A5144" t="inlineStr">
        <is>
          <t>附表6-3!B32</t>
        </is>
      </c>
      <c r="B5144" t="inlineStr">
        <is>
          <t>'附表1'!J4</t>
        </is>
      </c>
      <c r="C5144" t="inlineStr">
        <is>
          <t>excel_formula</t>
        </is>
      </c>
    </row>
    <row r="5145">
      <c r="A5145" t="inlineStr">
        <is>
          <t>附表7!B49</t>
        </is>
      </c>
      <c r="B5145" t="inlineStr">
        <is>
          <t>'附表5'!A16</t>
        </is>
      </c>
      <c r="C5145" t="inlineStr">
        <is>
          <t>excel_formula</t>
        </is>
      </c>
    </row>
    <row r="5146">
      <c r="A5146" t="inlineStr">
        <is>
          <t>附表7!B50</t>
        </is>
      </c>
      <c r="B5146" t="inlineStr">
        <is>
          <t>'附表6'!A16</t>
        </is>
      </c>
      <c r="C5146" t="inlineStr">
        <is>
          <t>excel_formula</t>
        </is>
      </c>
    </row>
    <row r="5147">
      <c r="A5147" t="inlineStr">
        <is>
          <t>附表7!B51</t>
        </is>
      </c>
      <c r="B5147" t="inlineStr">
        <is>
          <t>'附表6-2'!A8</t>
        </is>
      </c>
      <c r="C5147" t="inlineStr">
        <is>
          <t>excel_formula</t>
        </is>
      </c>
    </row>
    <row r="5148">
      <c r="A5148" t="inlineStr">
        <is>
          <t>附表7!B52</t>
        </is>
      </c>
      <c r="B5148" t="inlineStr">
        <is>
          <t>'附表6-3'!A8</t>
        </is>
      </c>
      <c r="C5148" t="inlineStr">
        <is>
          <t>excel_formula</t>
        </is>
      </c>
    </row>
    <row r="5149">
      <c r="A5149" t="inlineStr">
        <is>
          <t>附表8!B49</t>
        </is>
      </c>
      <c r="B5149" t="inlineStr">
        <is>
          <t>'附表2'!A14</t>
        </is>
      </c>
      <c r="C5149" t="inlineStr">
        <is>
          <t>excel_formula</t>
        </is>
      </c>
    </row>
    <row r="5150">
      <c r="A5150" t="inlineStr">
        <is>
          <t>附表8!B50</t>
        </is>
      </c>
      <c r="B5150" t="inlineStr">
        <is>
          <t>'附表6'!A16</t>
        </is>
      </c>
      <c r="C5150" t="inlineStr">
        <is>
          <t>excel_formula</t>
        </is>
      </c>
    </row>
    <row r="5151">
      <c r="A5151" t="inlineStr">
        <is>
          <t>附表8!B51</t>
        </is>
      </c>
      <c r="B5151" t="inlineStr">
        <is>
          <t>'附表7'!A24</t>
        </is>
      </c>
      <c r="C5151" t="inlineStr">
        <is>
          <t>excel_formula</t>
        </is>
      </c>
    </row>
    <row r="5152">
      <c r="A5152" t="inlineStr">
        <is>
          <t>附表9!B62</t>
        </is>
      </c>
      <c r="B5152" t="inlineStr">
        <is>
          <t>'附表1'!J4</t>
        </is>
      </c>
      <c r="C5152" t="inlineStr">
        <is>
          <t>excel_formula</t>
        </is>
      </c>
    </row>
    <row r="5153">
      <c r="A5153" t="inlineStr">
        <is>
          <t>附表9!B63</t>
        </is>
      </c>
      <c r="B5153" t="inlineStr">
        <is>
          <t>'附表3'!B4</t>
        </is>
      </c>
      <c r="C5153" t="inlineStr">
        <is>
          <t>excel_formula</t>
        </is>
      </c>
    </row>
    <row r="5154">
      <c r="A5154" t="inlineStr">
        <is>
          <t>附表9!B64</t>
        </is>
      </c>
      <c r="B5154" t="inlineStr">
        <is>
          <t>'附表5'!A16</t>
        </is>
      </c>
      <c r="C5154" t="inlineStr">
        <is>
          <t>excel_formula</t>
        </is>
      </c>
    </row>
    <row r="5155">
      <c r="A5155" t="inlineStr">
        <is>
          <t>附表9!B65</t>
        </is>
      </c>
      <c r="B5155" t="inlineStr">
        <is>
          <t>'附表6'!A16</t>
        </is>
      </c>
      <c r="C5155" t="inlineStr">
        <is>
          <t>excel_formula</t>
        </is>
      </c>
    </row>
    <row r="5156">
      <c r="A5156" t="inlineStr">
        <is>
          <t>附表9!B66</t>
        </is>
      </c>
      <c r="B5156" t="inlineStr">
        <is>
          <t>'附表6-2'!A8</t>
        </is>
      </c>
      <c r="C5156" t="inlineStr">
        <is>
          <t>excel_formula</t>
        </is>
      </c>
    </row>
    <row r="5157">
      <c r="A5157" t="inlineStr">
        <is>
          <t>附表9!B67</t>
        </is>
      </c>
      <c r="B5157" t="inlineStr">
        <is>
          <t>'附表7'!A24</t>
        </is>
      </c>
      <c r="C5157" t="inlineStr">
        <is>
          <t>excel_formula</t>
        </is>
      </c>
    </row>
    <row r="5158">
      <c r="A5158" t="inlineStr">
        <is>
          <t>附表10!B64</t>
        </is>
      </c>
      <c r="B5158" t="inlineStr">
        <is>
          <t>'附表3'!B4</t>
        </is>
      </c>
      <c r="C5158" t="inlineStr">
        <is>
          <t>excel_formula</t>
        </is>
      </c>
    </row>
    <row r="5159">
      <c r="A5159" t="inlineStr">
        <is>
          <t>附表10!B65</t>
        </is>
      </c>
      <c r="B5159" t="inlineStr">
        <is>
          <t>'附表4'!C4</t>
        </is>
      </c>
      <c r="C5159" t="inlineStr">
        <is>
          <t>excel_formula</t>
        </is>
      </c>
    </row>
    <row r="5160">
      <c r="A5160" t="inlineStr">
        <is>
          <t>附表10!B66</t>
        </is>
      </c>
      <c r="B5160" t="inlineStr">
        <is>
          <t>'附表5'!A16</t>
        </is>
      </c>
      <c r="C5160" t="inlineStr">
        <is>
          <t>excel_formula</t>
        </is>
      </c>
    </row>
    <row r="5161">
      <c r="A5161" t="inlineStr">
        <is>
          <t>附表10!B67</t>
        </is>
      </c>
      <c r="B5161" t="inlineStr">
        <is>
          <t>'附表6'!A16</t>
        </is>
      </c>
      <c r="C5161" t="inlineStr">
        <is>
          <t>excel_formula</t>
        </is>
      </c>
    </row>
    <row r="5162">
      <c r="A5162" t="inlineStr">
        <is>
          <t>附表10!B68</t>
        </is>
      </c>
      <c r="B5162" t="inlineStr">
        <is>
          <t>'附表6-2'!A8</t>
        </is>
      </c>
      <c r="C5162" t="inlineStr">
        <is>
          <t>excel_formula</t>
        </is>
      </c>
    </row>
    <row r="5163">
      <c r="A5163" t="inlineStr">
        <is>
          <t>附表10!B69</t>
        </is>
      </c>
      <c r="B5163" t="inlineStr">
        <is>
          <t>'附表7'!A24</t>
        </is>
      </c>
      <c r="C5163" t="inlineStr">
        <is>
          <t>excel_formula</t>
        </is>
      </c>
    </row>
    <row r="5164">
      <c r="A5164" t="inlineStr">
        <is>
          <t>附表10!B70</t>
        </is>
      </c>
      <c r="B5164" t="inlineStr">
        <is>
          <t>'附表8'!A24</t>
        </is>
      </c>
      <c r="C5164" t="inlineStr">
        <is>
          <t>excel_formula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grade</t>
        </is>
      </c>
      <c r="C1" t="inlineStr">
        <is>
          <t>effective</t>
        </is>
      </c>
      <c r="D1" t="inlineStr">
        <is>
          <t>missing_fields</t>
        </is>
      </c>
      <c r="E1" t="inlineStr">
        <is>
          <t>reference_schema</t>
        </is>
      </c>
    </row>
    <row r="2">
      <c r="A2" t="inlineStr">
        <is>
          <t>附表1</t>
        </is>
      </c>
      <c r="B2" t="inlineStr">
        <is>
          <t>summary</t>
        </is>
      </c>
      <c r="C2" t="b">
        <v>1</v>
      </c>
      <c r="D2" t="inlineStr">
        <is>
          <t>construction_items 工程量×估算指标明细（≥3 项；仅有分类金额不算 reference）；construction_items 明细（需≥3 项工程量×指标）；工程明细不足（需≥3项，当前0）；工程量×估算指标成对不足（需≥3，当前0）</t>
        </is>
      </c>
      <c r="E2" t="inlineStr">
        <is>
          <t>docs/reference_table_schema.json</t>
        </is>
      </c>
    </row>
    <row r="3">
      <c r="A3" t="inlineStr">
        <is>
          <t>附表2</t>
        </is>
      </c>
      <c r="B3" t="inlineStr">
        <is>
          <t>reference</t>
        </is>
      </c>
      <c r="C3" t="b">
        <v>1</v>
      </c>
      <c r="D3" t="inlineStr"/>
      <c r="E3" t="inlineStr">
        <is>
          <t>docs/reference_table_schema.json</t>
        </is>
      </c>
    </row>
    <row r="4">
      <c r="A4" t="inlineStr">
        <is>
          <t>附表3</t>
        </is>
      </c>
      <c r="B4" t="inlineStr">
        <is>
          <t>not_applicable</t>
        </is>
      </c>
      <c r="C4" t="b">
        <v>0</v>
      </c>
      <c r="D4" t="inlineStr"/>
      <c r="E4" t="inlineStr">
        <is>
          <t>docs/reference_table_schema.json</t>
        </is>
      </c>
    </row>
    <row r="5">
      <c r="A5" t="inlineStr">
        <is>
          <t>附表4</t>
        </is>
      </c>
      <c r="B5" t="inlineStr">
        <is>
          <t>summary</t>
        </is>
      </c>
      <c r="C5" t="b">
        <v>1</v>
      </c>
      <c r="D5" t="inlineStr">
        <is>
          <t>资金计划为比例摊分回退，非事实包分年真源</t>
        </is>
      </c>
      <c r="E5" t="inlineStr">
        <is>
          <t>docs/reference_table_schema.json</t>
        </is>
      </c>
    </row>
    <row r="6">
      <c r="A6" t="inlineStr">
        <is>
          <t>附表5</t>
        </is>
      </c>
      <c r="B6" t="inlineStr">
        <is>
          <t>summary</t>
        </is>
      </c>
      <c r="C6" t="b">
        <v>1</v>
      </c>
      <c r="D6" t="inlineStr">
        <is>
          <t>正式级收入明细（flat 单点收入仅可作摘要）；行业变体未冻结(variant=flat_estimate, model=flat)；缺参考行组 price（单价）；缺参考行组 quantity（数量）；缺分产品量价 product_tree；产品爬坡/去化序列不足（仅单点）；城建税/教育费附加/地方教育附加缺明确政策口径</t>
        </is>
      </c>
      <c r="E6" t="inlineStr">
        <is>
          <t>docs/reference_table_schema.json</t>
        </is>
      </c>
    </row>
    <row r="7">
      <c r="A7" t="inlineStr">
        <is>
          <t>附表6</t>
        </is>
      </c>
      <c r="B7" t="inlineStr">
        <is>
          <t>summary</t>
        </is>
      </c>
      <c r="C7" t="b">
        <v>1</v>
      </c>
      <c r="D7" t="inlineStr">
        <is>
          <t>cost_items 成本明细树（≥3 项；默认总成本率不算 reference）；行业变体未冻结(variant=flat_estimate, model=flat)；缺参考行组 raw（外购原材料费）；缺参考行组 fuel（外购燃料及动力费/外购燃料和动力费）；缺参考行组 wage（工资及福利费）；缺参考行组 repair（修理费）；缺 cost_items 成本明细树（≥3 项）；固定/变动成本分类未确认（cost_behavior）；名称猜测仅估算，不得升 reference</t>
        </is>
      </c>
      <c r="E7" t="inlineStr">
        <is>
          <t>docs/reference_table_schema.json</t>
        </is>
      </c>
    </row>
    <row r="8">
      <c r="A8" t="inlineStr">
        <is>
          <t>附表6-1</t>
        </is>
      </c>
      <c r="B8" t="inlineStr">
        <is>
          <t>summary</t>
        </is>
      </c>
      <c r="C8" t="b">
        <v>1</v>
      </c>
      <c r="D8" t="inlineStr">
        <is>
          <t>staff_detail 劳动定员（人数×人均年工资，可多类）；行业变体未冻结(variant=flat_estimate, model=flat)；工资表缺可复算的人员类别×人数×人均年工资</t>
        </is>
      </c>
      <c r="E8" t="inlineStr">
        <is>
          <t>docs/reference_table_schema.json</t>
        </is>
      </c>
    </row>
    <row r="9">
      <c r="A9" t="inlineStr">
        <is>
          <t>附表6-2</t>
        </is>
      </c>
      <c r="B9" t="inlineStr">
        <is>
          <t>summary</t>
        </is>
      </c>
      <c r="C9" t="b">
        <v>1</v>
      </c>
      <c r="D9" t="inlineStr">
        <is>
          <t>asset_classes 资产类别原值与折旧年限（≥2 类）；行业变体未冻结(variant=flat_estimate, model=flat)；缺参考行组 building（房屋、建筑物/房屋建筑物）；缺参考行组 equipment（机器设备）；缺参考行组 original（原值）；缺参考行组 depreciation（当期折旧费）；缺参考行组 net（净值）；缺资产类别折旧（房屋/设备等），综合原值合计不算 reference；缺累计折旧/净值滚动列；折旧表缺至少 2 类资产的原值×年限明细</t>
        </is>
      </c>
      <c r="E9" t="inlineStr">
        <is>
          <t>docs/reference_table_schema.json</t>
        </is>
      </c>
    </row>
    <row r="10">
      <c r="A10" t="inlineStr">
        <is>
          <t>附表6-3</t>
        </is>
      </c>
      <c r="B10" t="inlineStr">
        <is>
          <t>not_applicable</t>
        </is>
      </c>
      <c r="C10" t="b">
        <v>0</v>
      </c>
      <c r="D10" t="inlineStr"/>
      <c r="E10" t="inlineStr">
        <is>
          <t>docs/reference_table_schema.json</t>
        </is>
      </c>
    </row>
    <row r="11">
      <c r="A11" t="inlineStr">
        <is>
          <t>附表7</t>
        </is>
      </c>
      <c r="B11" t="inlineStr">
        <is>
          <t>summary</t>
        </is>
      </c>
      <c r="C11" t="b">
        <v>1</v>
      </c>
      <c r="D11" t="inlineStr">
        <is>
          <t>行业变体未冻结(variant=flat_estimate, model=flat)</t>
        </is>
      </c>
      <c r="E11" t="inlineStr">
        <is>
          <t>docs/reference_table_schema.json</t>
        </is>
      </c>
    </row>
    <row r="12">
      <c r="A12" t="inlineStr">
        <is>
          <t>附表8</t>
        </is>
      </c>
      <c r="B12" t="inlineStr">
        <is>
          <t>summary</t>
        </is>
      </c>
      <c r="C12" t="b">
        <v>1</v>
      </c>
      <c r="D12" t="inlineStr">
        <is>
          <t>偿债资金来源未绑定 confirmed fact_pack/已批准明细；禁止默认 75% 伪造；偿债资金来源的利润/折旧/摊销年度金额不完整；可用偿债资金合计不足以覆盖各年还本付息额；偿债来源父子不勾稽：可用/实际/剩余三组父子恒等式失败</t>
        </is>
      </c>
      <c r="E12" t="inlineStr">
        <is>
          <t>docs/reference_table_schema.json</t>
        </is>
      </c>
    </row>
    <row r="13">
      <c r="A13" t="inlineStr">
        <is>
          <t>附表9</t>
        </is>
      </c>
      <c r="B13" t="inlineStr">
        <is>
          <t>summary</t>
        </is>
      </c>
      <c r="C13" t="b">
        <v>1</v>
      </c>
      <c r="D13" t="inlineStr">
        <is>
          <t>行业变体未冻结(variant=flat_estimate, model=flat)</t>
        </is>
      </c>
      <c r="E13" t="inlineStr">
        <is>
          <t>docs/reference_table_schema.json</t>
        </is>
      </c>
    </row>
    <row r="14">
      <c r="A14" t="inlineStr">
        <is>
          <t>附表10</t>
        </is>
      </c>
      <c r="B14" t="inlineStr">
        <is>
          <t>summary</t>
        </is>
      </c>
      <c r="C14" t="b">
        <v>1</v>
      </c>
      <c r="D14" t="inlineStr">
        <is>
          <t>行业变体未冻结(variant=flat_estimate, model=flat)</t>
        </is>
      </c>
      <c r="E14" t="inlineStr">
        <is>
          <t>docs/reference_table_schema.json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required_formula_families</t>
        </is>
      </c>
      <c r="C1" t="inlineStr">
        <is>
          <t>actual_formula_families</t>
        </is>
      </c>
      <c r="D1" t="inlineStr">
        <is>
          <t>coverage</t>
        </is>
      </c>
    </row>
    <row r="2">
      <c r="A2" t="inlineStr">
        <is>
          <t>investment</t>
        </is>
      </c>
      <c r="B2" t="inlineStr">
        <is>
          <t>quantity_indicator</t>
        </is>
      </c>
      <c r="C2" t="inlineStr">
        <is>
          <t>quantity_indicator</t>
        </is>
      </c>
      <c r="D2" t="n">
        <v>1</v>
      </c>
    </row>
    <row r="3">
      <c r="A3" t="inlineStr">
        <is>
          <t>interest-during-construction</t>
        </is>
      </c>
      <c r="B3" t="inlineStr">
        <is>
          <t>interest_rollforward</t>
        </is>
      </c>
      <c r="C3" t="inlineStr">
        <is>
          <t>interest_rollforward</t>
        </is>
      </c>
      <c r="D3" t="n">
        <v>1</v>
      </c>
    </row>
    <row r="4">
      <c r="A4" t="inlineStr">
        <is>
          <t>working-capital</t>
        </is>
      </c>
      <c r="B4" t="inlineStr"/>
      <c r="C4" t="inlineStr"/>
    </row>
    <row r="5">
      <c r="A5" t="inlineStr">
        <is>
          <t>funding</t>
        </is>
      </c>
      <c r="B5" t="inlineStr">
        <is>
          <t>funding_uses_sources</t>
        </is>
      </c>
      <c r="C5" t="inlineStr">
        <is>
          <t>funding_uses_sources,investment_link</t>
        </is>
      </c>
      <c r="D5" t="n">
        <v>1</v>
      </c>
    </row>
    <row r="6">
      <c r="A6" t="inlineStr">
        <is>
          <t>income-statement</t>
        </is>
      </c>
      <c r="B6" t="inlineStr">
        <is>
          <t>product_revenue,vat_breakdown</t>
        </is>
      </c>
      <c r="C6" t="inlineStr"/>
      <c r="D6" t="n">
        <v>0</v>
      </c>
    </row>
    <row r="7">
      <c r="A7" t="inlineStr">
        <is>
          <t>total-cost</t>
        </is>
      </c>
      <c r="B7" t="inlineStr">
        <is>
          <t>cost_item_sum,total_cost_sum</t>
        </is>
      </c>
      <c r="C7" t="inlineStr">
        <is>
          <t>total_cost_sum</t>
        </is>
      </c>
      <c r="D7" t="n">
        <v>0.5</v>
      </c>
    </row>
    <row r="8">
      <c r="A8" t="inlineStr">
        <is>
          <t>wage</t>
        </is>
      </c>
      <c r="B8" t="inlineStr">
        <is>
          <t>staff_wage,wage_total</t>
        </is>
      </c>
      <c r="C8" t="inlineStr">
        <is>
          <t>wage_total</t>
        </is>
      </c>
      <c r="D8" t="n">
        <v>0.5</v>
      </c>
    </row>
    <row r="9">
      <c r="A9" t="inlineStr">
        <is>
          <t>depreciation</t>
        </is>
      </c>
      <c r="B9" t="inlineStr">
        <is>
          <t>asset_class_depreciation,rollforward</t>
        </is>
      </c>
      <c r="C9" t="inlineStr">
        <is>
          <t>rollforward</t>
        </is>
      </c>
      <c r="D9" t="n">
        <v>0.5</v>
      </c>
    </row>
    <row r="10">
      <c r="A10" t="inlineStr">
        <is>
          <t>amortization</t>
        </is>
      </c>
      <c r="B10" t="inlineStr"/>
      <c r="C10" t="inlineStr"/>
    </row>
    <row r="11">
      <c r="A11" t="inlineStr">
        <is>
          <t>profit-distribution</t>
        </is>
      </c>
      <c r="B11" t="inlineStr">
        <is>
          <t>profit_distribution</t>
        </is>
      </c>
      <c r="C11" t="inlineStr">
        <is>
          <t>profit_distribution,upstream_links</t>
        </is>
      </c>
      <c r="D11" t="n">
        <v>1</v>
      </c>
    </row>
    <row r="12">
      <c r="A12" t="inlineStr">
        <is>
          <t>debt-service</t>
        </is>
      </c>
      <c r="B12" t="inlineStr">
        <is>
          <t>debt_rollforward,repayment_coverage</t>
        </is>
      </c>
      <c r="C12" t="inlineStr">
        <is>
          <t>debt_rollforward,repayment_coverage</t>
        </is>
      </c>
      <c r="D12" t="n">
        <v>1</v>
      </c>
    </row>
    <row r="13">
      <c r="A13" t="inlineStr">
        <is>
          <t>cashflow</t>
        </is>
      </c>
      <c r="B13" t="inlineStr">
        <is>
          <t>net_cashflow</t>
        </is>
      </c>
      <c r="C13" t="inlineStr">
        <is>
          <t>net_cashflow,upstream_links</t>
        </is>
      </c>
      <c r="D13" t="n">
        <v>1</v>
      </c>
    </row>
    <row r="14">
      <c r="A14" t="inlineStr">
        <is>
          <t>capital-cashflow</t>
        </is>
      </c>
      <c r="B14" t="inlineStr">
        <is>
          <t>capital_cashflow_atomic,net_cashflow</t>
        </is>
      </c>
      <c r="C14" t="inlineStr">
        <is>
          <t>capital_cashflow_atomic,debt_links,net_cashflow</t>
        </is>
      </c>
      <c r="D14" t="n">
        <v>1</v>
      </c>
    </row>
    <row r="16">
      <c r="A16" t="inlineStr">
        <is>
          <t>sheet</t>
        </is>
      </c>
      <c r="B16" t="inlineStr">
        <is>
          <t>cell</t>
        </is>
      </c>
      <c r="C16" t="inlineStr">
        <is>
          <t>normalized_ast</t>
        </is>
      </c>
      <c r="D16" t="inlineStr">
        <is>
          <t>ast_sha256</t>
        </is>
      </c>
    </row>
    <row r="17">
      <c r="A17" t="inlineStr">
        <is>
          <t>附表1</t>
        </is>
      </c>
      <c r="B17" t="inlineStr">
        <is>
          <t>F5</t>
        </is>
      </c>
      <c r="C17" t="inlineStr">
        <is>
          <t>'=J5</t>
        </is>
      </c>
      <c r="D17" t="inlineStr">
        <is>
          <t>d743a462989cbda66dfec74ac2bb5ffb69b6af3714b2d7342de449b4a9758e02</t>
        </is>
      </c>
    </row>
    <row r="18">
      <c r="A18" t="inlineStr">
        <is>
          <t>附表1</t>
        </is>
      </c>
      <c r="B18" t="inlineStr">
        <is>
          <t>J5</t>
        </is>
      </c>
      <c r="C18" t="inlineStr">
        <is>
          <t>'=D5*E5/10000</t>
        </is>
      </c>
      <c r="D18" t="inlineStr">
        <is>
          <t>0db534b2bcc41d73215d4fd024e30f6e355ecd4a7f389ba0b9da0bbadb2c3b1c</t>
        </is>
      </c>
    </row>
    <row r="19">
      <c r="A19" t="inlineStr">
        <is>
          <t>附表1</t>
        </is>
      </c>
      <c r="B19" t="inlineStr">
        <is>
          <t>K5</t>
        </is>
      </c>
      <c r="C19" t="inlineStr">
        <is>
          <t>'=J5/J15*100</t>
        </is>
      </c>
      <c r="D19" t="inlineStr">
        <is>
          <t>96692e5b4088aa172d884ec3920349cee5ae1ea07360ce8686c1fe048276f039</t>
        </is>
      </c>
    </row>
    <row r="20">
      <c r="A20" t="inlineStr">
        <is>
          <t>附表1</t>
        </is>
      </c>
      <c r="B20" t="inlineStr">
        <is>
          <t>G6</t>
        </is>
      </c>
      <c r="C20" t="inlineStr">
        <is>
          <t>'=J6</t>
        </is>
      </c>
      <c r="D20" t="inlineStr">
        <is>
          <t>01cd13fe9d3e2c8bf2f110a051b75dd17d70fe7deca12d7cdbbf48aa05af82c3</t>
        </is>
      </c>
    </row>
    <row r="21">
      <c r="A21" t="inlineStr">
        <is>
          <t>附表1</t>
        </is>
      </c>
      <c r="B21" t="inlineStr">
        <is>
          <t>J6</t>
        </is>
      </c>
      <c r="C21" t="inlineStr">
        <is>
          <t>'=D6*E6/10000</t>
        </is>
      </c>
      <c r="D21" t="inlineStr">
        <is>
          <t>6ad69819bb2ad9755b90a884111b742ed37476d97ee4f2d75507140161d42325</t>
        </is>
      </c>
    </row>
    <row r="22">
      <c r="A22" t="inlineStr">
        <is>
          <t>附表1</t>
        </is>
      </c>
      <c r="B22" t="inlineStr">
        <is>
          <t>K6</t>
        </is>
      </c>
      <c r="C22" t="inlineStr">
        <is>
          <t>'=J6/J15*100</t>
        </is>
      </c>
      <c r="D22" t="inlineStr">
        <is>
          <t>309418224254cf03be9873f7c124d9cc3908418c98290614af2a2b29ce95e112</t>
        </is>
      </c>
    </row>
    <row r="23">
      <c r="A23" t="inlineStr">
        <is>
          <t>附表1</t>
        </is>
      </c>
      <c r="B23" t="inlineStr">
        <is>
          <t>H7</t>
        </is>
      </c>
      <c r="C23" t="inlineStr">
        <is>
          <t>'=J7</t>
        </is>
      </c>
      <c r="D23" t="inlineStr">
        <is>
          <t>a56290c07a3892192c273cd5651cf0d7f95488656c55d0acd45d981bd52fe4f3</t>
        </is>
      </c>
    </row>
    <row r="24">
      <c r="A24" t="inlineStr">
        <is>
          <t>附表1</t>
        </is>
      </c>
      <c r="B24" t="inlineStr">
        <is>
          <t>J7</t>
        </is>
      </c>
      <c r="C24" t="inlineStr">
        <is>
          <t>'=D7*E7/10000</t>
        </is>
      </c>
      <c r="D24" t="inlineStr">
        <is>
          <t>843b4572b445db1a7677afbf9aef2e535df78fbed00f42ed79582c11e99477db</t>
        </is>
      </c>
    </row>
    <row r="25">
      <c r="A25" t="inlineStr">
        <is>
          <t>附表1</t>
        </is>
      </c>
      <c r="B25" t="inlineStr">
        <is>
          <t>K7</t>
        </is>
      </c>
      <c r="C25" t="inlineStr">
        <is>
          <t>'=J7/J15*100</t>
        </is>
      </c>
      <c r="D25" t="inlineStr">
        <is>
          <t>c6829d3761854cd9efe74945e3f4a8e865d3ca17a51ff6b17baf7009818f233b</t>
        </is>
      </c>
    </row>
    <row r="26">
      <c r="A26" t="inlineStr">
        <is>
          <t>附表1</t>
        </is>
      </c>
      <c r="B26" t="inlineStr">
        <is>
          <t>I10</t>
        </is>
      </c>
      <c r="C26" t="inlineStr">
        <is>
          <t>'=J10</t>
        </is>
      </c>
      <c r="D26" t="inlineStr">
        <is>
          <t>0c929f4ee0bc309af522245c7c07593632ebf578e708888e7ff0aca47e8d4b38</t>
        </is>
      </c>
    </row>
    <row r="27">
      <c r="A27" t="inlineStr">
        <is>
          <t>附表1</t>
        </is>
      </c>
      <c r="B27" t="inlineStr">
        <is>
          <t>J10</t>
        </is>
      </c>
      <c r="C27" t="inlineStr">
        <is>
          <t>'=D10*E10/10000</t>
        </is>
      </c>
      <c r="D27" t="inlineStr">
        <is>
          <t>953e295a8ea2adef59c6b1b3f68414b72ba4864d1a6a33759ed935c0179e3b50</t>
        </is>
      </c>
    </row>
    <row r="28">
      <c r="A28" t="inlineStr">
        <is>
          <t>附表1</t>
        </is>
      </c>
      <c r="B28" t="inlineStr">
        <is>
          <t>K10</t>
        </is>
      </c>
      <c r="C28" t="inlineStr">
        <is>
          <t>'=J10/J15*100</t>
        </is>
      </c>
      <c r="D28" t="inlineStr">
        <is>
          <t>7d5e25c30317c796daa8ad2816b9db18a24761782e51ec691ed2971151bbe84b</t>
        </is>
      </c>
    </row>
    <row r="29">
      <c r="A29" t="inlineStr">
        <is>
          <t>附表2</t>
        </is>
      </c>
      <c r="B29" t="inlineStr">
        <is>
          <t>C4</t>
        </is>
      </c>
      <c r="C29" t="inlineStr">
        <is>
          <t>'=D4</t>
        </is>
      </c>
      <c r="D29" t="inlineStr">
        <is>
          <t>2b190a4c52179112d1908d6f4a5ddb50b15cbfe820aac2570d022cce26242e3d</t>
        </is>
      </c>
    </row>
    <row r="30">
      <c r="A30" t="inlineStr">
        <is>
          <t>附表2</t>
        </is>
      </c>
      <c r="B30" t="inlineStr">
        <is>
          <t>D4</t>
        </is>
      </c>
      <c r="C30" t="inlineStr">
        <is>
          <t>'=B14</t>
        </is>
      </c>
      <c r="D30" t="inlineStr">
        <is>
          <t>1dfe7993e1bb8d917796f7ddca17e1f54a7051743b52c8dcf1f5feeddf1466e3</t>
        </is>
      </c>
    </row>
    <row r="31">
      <c r="A31" t="inlineStr">
        <is>
          <t>附表2</t>
        </is>
      </c>
      <c r="B31" t="inlineStr">
        <is>
          <t>C5</t>
        </is>
      </c>
      <c r="C31" t="inlineStr">
        <is>
          <t>'=SUM(D5)</t>
        </is>
      </c>
      <c r="D31" t="inlineStr">
        <is>
          <t>8c15a862b7f1bedc0b09b4917ef5a309c9feb4f28318f174f3d76600893b5127</t>
        </is>
      </c>
    </row>
    <row r="32">
      <c r="A32" t="inlineStr">
        <is>
          <t>附表2</t>
        </is>
      </c>
      <c r="B32" t="inlineStr">
        <is>
          <t>D5</t>
        </is>
      </c>
      <c r="C32" t="inlineStr">
        <is>
          <t>'=C14</t>
        </is>
      </c>
      <c r="D32" t="inlineStr">
        <is>
          <t>99daac6288748c0d35a7bcae338f86bf5738d7bb2e82b19b3df550c5adfa95a2</t>
        </is>
      </c>
    </row>
    <row r="33">
      <c r="A33" t="inlineStr">
        <is>
          <t>附表2</t>
        </is>
      </c>
      <c r="B33" t="inlineStr">
        <is>
          <t>C7</t>
        </is>
      </c>
      <c r="C33" t="inlineStr">
        <is>
          <t>'=SUM(D7)</t>
        </is>
      </c>
      <c r="D33" t="inlineStr">
        <is>
          <t>6aaba1c60e9ead59ec2484286d9c7c075be971dc61f16372a5cd8bce88e92670</t>
        </is>
      </c>
    </row>
    <row r="34">
      <c r="A34" t="inlineStr">
        <is>
          <t>附表2</t>
        </is>
      </c>
      <c r="B34" t="inlineStr">
        <is>
          <t>D7</t>
        </is>
      </c>
      <c r="C34" t="inlineStr">
        <is>
          <t>'=E14</t>
        </is>
      </c>
      <c r="D34" t="inlineStr">
        <is>
          <t>0b38b8070e568336e2f2d9eae744caf11e7e2fcbb6c8a12d8faf5de290d16f88</t>
        </is>
      </c>
    </row>
    <row r="35">
      <c r="A35" t="inlineStr">
        <is>
          <t>附表2</t>
        </is>
      </c>
      <c r="B35" t="inlineStr">
        <is>
          <t>C8</t>
        </is>
      </c>
      <c r="C35" t="inlineStr">
        <is>
          <t>'=D8</t>
        </is>
      </c>
      <c r="D35" t="inlineStr">
        <is>
          <t>146ea7fe6cb8a61648d95a53e564c4b4b44d9447191211db22d0bcb3bcff2cf5</t>
        </is>
      </c>
    </row>
    <row r="36">
      <c r="A36" t="inlineStr">
        <is>
          <t>附表2</t>
        </is>
      </c>
      <c r="B36" t="inlineStr">
        <is>
          <t>D8</t>
        </is>
      </c>
      <c r="C36" t="inlineStr">
        <is>
          <t>'=F14</t>
        </is>
      </c>
      <c r="D36" t="inlineStr">
        <is>
          <t>ebb24b3e7b57bbbacf3ecc4c96fab0ec01845cebb110effba63537e549f42c2f</t>
        </is>
      </c>
    </row>
    <row r="37">
      <c r="A37" t="inlineStr">
        <is>
          <t>附表2</t>
        </is>
      </c>
      <c r="B37" t="inlineStr">
        <is>
          <t>C10</t>
        </is>
      </c>
      <c r="C37" t="inlineStr">
        <is>
          <t>'=SUM(D10)</t>
        </is>
      </c>
      <c r="D37" t="inlineStr">
        <is>
          <t>1b285f1481b0460316b1a4ae82cdefecb6085223bd0f2e717fdcd800b6b826bc</t>
        </is>
      </c>
    </row>
    <row r="38">
      <c r="A38" t="inlineStr">
        <is>
          <t>附表2</t>
        </is>
      </c>
      <c r="B38" t="inlineStr">
        <is>
          <t>D10</t>
        </is>
      </c>
      <c r="C38" t="inlineStr">
        <is>
          <t>'=E14</t>
        </is>
      </c>
      <c r="D38" t="inlineStr">
        <is>
          <t>0b38b8070e568336e2f2d9eae744caf11e7e2fcbb6c8a12d8faf5de290d16f88</t>
        </is>
      </c>
    </row>
    <row r="39">
      <c r="A39" t="inlineStr">
        <is>
          <t>附表2</t>
        </is>
      </c>
      <c r="B39" t="inlineStr">
        <is>
          <t>E14</t>
        </is>
      </c>
      <c r="C39" t="inlineStr">
        <is>
          <t>'=(B14+C14/2)*D14</t>
        </is>
      </c>
      <c r="D39" t="inlineStr">
        <is>
          <t>1459469aba1100126404fa185784298fa4260fb8f2f05eec5411e0cce4054621</t>
        </is>
      </c>
    </row>
    <row r="40">
      <c r="A40" t="inlineStr">
        <is>
          <t>附表2</t>
        </is>
      </c>
      <c r="B40" t="inlineStr">
        <is>
          <t>F14</t>
        </is>
      </c>
      <c r="C40" t="inlineStr">
        <is>
          <t>'=B14+C14</t>
        </is>
      </c>
      <c r="D40" t="inlineStr">
        <is>
          <t>108d29a60cdde809b112a236349f348dcea4789c99dd9a6e71aeedb97e3fa0d8</t>
        </is>
      </c>
    </row>
    <row r="41">
      <c r="A41" t="inlineStr">
        <is>
          <t>附表3</t>
        </is>
      </c>
      <c r="B41" t="inlineStr">
        <is>
          <t>B7</t>
        </is>
      </c>
      <c r="C41" t="inlineStr">
        <is>
          <t>'='附表6'!A16</t>
        </is>
      </c>
      <c r="D41" t="inlineStr">
        <is>
          <t>e9224cbc17779d2d0759671efd869586f98efc1a61ce19a04a9aac1d75372c12</t>
        </is>
      </c>
    </row>
    <row r="42">
      <c r="A42" t="inlineStr">
        <is>
          <t>附表4</t>
        </is>
      </c>
      <c r="B42" t="inlineStr">
        <is>
          <t>C4</t>
        </is>
      </c>
      <c r="C42" t="inlineStr">
        <is>
          <t>'=SUM(C5,C6,C7)</t>
        </is>
      </c>
      <c r="D42" t="inlineStr">
        <is>
          <t>66092116c0bf67cc8e32295a0f84dcbd94df843b6b08a104d311202069fab6f5</t>
        </is>
      </c>
    </row>
    <row r="43">
      <c r="A43" t="inlineStr">
        <is>
          <t>附表4</t>
        </is>
      </c>
      <c r="B43" t="inlineStr">
        <is>
          <t>D4</t>
        </is>
      </c>
      <c r="C43" t="inlineStr">
        <is>
          <t>'='附表1'!J15</t>
        </is>
      </c>
      <c r="D43" t="inlineStr">
        <is>
          <t>d966492307b0e530c8347d938d08f62d2c6202119f1b0c41c63e03e198f9654c</t>
        </is>
      </c>
    </row>
    <row r="44">
      <c r="A44" t="inlineStr">
        <is>
          <t>附表4</t>
        </is>
      </c>
      <c r="B44" t="inlineStr">
        <is>
          <t>C8</t>
        </is>
      </c>
      <c r="C44" t="inlineStr">
        <is>
          <t>'=SUM(C9,C11)</t>
        </is>
      </c>
      <c r="D44" t="inlineStr">
        <is>
          <t>66d7dc5d04cd433a6df9043169a79991c9c895589a9d73c39ee321330324e7c8</t>
        </is>
      </c>
    </row>
    <row r="45">
      <c r="A45" t="inlineStr">
        <is>
          <t>附表4</t>
        </is>
      </c>
      <c r="B45" t="inlineStr">
        <is>
          <t>D8</t>
        </is>
      </c>
      <c r="C45" t="inlineStr">
        <is>
          <t>'='附表1'!J15</t>
        </is>
      </c>
      <c r="D45" t="inlineStr">
        <is>
          <t>d966492307b0e530c8347d938d08f62d2c6202119f1b0c41c63e03e198f9654c</t>
        </is>
      </c>
    </row>
    <row r="46">
      <c r="A46" t="inlineStr">
        <is>
          <t>附表4</t>
        </is>
      </c>
      <c r="B46" t="inlineStr">
        <is>
          <t>B14</t>
        </is>
      </c>
      <c r="C46" t="inlineStr">
        <is>
          <t>'='附表1'!J4</t>
        </is>
      </c>
      <c r="D46" t="inlineStr">
        <is>
          <t>db396c3d07a9391ec3638d3e4afb22c417e87b0dba67099357132d099c44d455</t>
        </is>
      </c>
    </row>
    <row r="47">
      <c r="A47" t="inlineStr">
        <is>
          <t>附表4</t>
        </is>
      </c>
      <c r="B47" t="inlineStr">
        <is>
          <t>B15</t>
        </is>
      </c>
      <c r="C47" t="inlineStr">
        <is>
          <t>'='附表3'!B4</t>
        </is>
      </c>
      <c r="D47" t="inlineStr">
        <is>
          <t>72db971452a6813faf06d9af8420dd9bcdc7b2ac1eb1186518bfeddfc213ec42</t>
        </is>
      </c>
    </row>
    <row r="48">
      <c r="A48" t="inlineStr">
        <is>
          <t>附表5</t>
        </is>
      </c>
      <c r="B48" t="inlineStr">
        <is>
          <t>D4</t>
        </is>
      </c>
      <c r="C48" t="inlineStr">
        <is>
          <t>'=SUM(E4,F4,G4,H4,I4,J4,K4,L4,M4,N4,O4,P4,Q4,R4,S4,T4,U4,V4,W4,X4,Y4,Z4,AA4,AB4)</t>
        </is>
      </c>
      <c r="D48" t="inlineStr">
        <is>
          <t>ce08352246041e2ee0bbe23a944ab523053fac0d98397e05cde5a02aec10c3bd</t>
        </is>
      </c>
    </row>
    <row r="49">
      <c r="A49" t="inlineStr">
        <is>
          <t>附表5</t>
        </is>
      </c>
      <c r="B49" t="inlineStr">
        <is>
          <t>E4</t>
        </is>
      </c>
      <c r="C49" t="inlineStr">
        <is>
          <t>'=B16</t>
        </is>
      </c>
      <c r="D49" t="inlineStr">
        <is>
          <t>d0857ed5402c2011ed19228a0c3765ae92f82ab289f87483dc4862d42dbd907c</t>
        </is>
      </c>
    </row>
    <row r="50">
      <c r="A50" t="inlineStr">
        <is>
          <t>附表5</t>
        </is>
      </c>
      <c r="B50" t="inlineStr">
        <is>
          <t>F4</t>
        </is>
      </c>
      <c r="C50" t="inlineStr">
        <is>
          <t>'=B17</t>
        </is>
      </c>
      <c r="D50" t="inlineStr">
        <is>
          <t>02a9454271dbb7a8285f366e0e7b06e9ef9a43b4d8c0efd177b48badc97a6c30</t>
        </is>
      </c>
    </row>
    <row r="51">
      <c r="A51" t="inlineStr">
        <is>
          <t>附表5</t>
        </is>
      </c>
      <c r="B51" t="inlineStr">
        <is>
          <t>G4</t>
        </is>
      </c>
      <c r="C51" t="inlineStr">
        <is>
          <t>'=B18</t>
        </is>
      </c>
      <c r="D51" t="inlineStr">
        <is>
          <t>cfd77b300bfc858339f0558a805e8322e95e8a2719f02c3c985bbcfd156e27ef</t>
        </is>
      </c>
    </row>
    <row r="52">
      <c r="A52" t="inlineStr">
        <is>
          <t>附表5</t>
        </is>
      </c>
      <c r="B52" t="inlineStr">
        <is>
          <t>H4</t>
        </is>
      </c>
      <c r="C52" t="inlineStr">
        <is>
          <t>'=B19</t>
        </is>
      </c>
      <c r="D52" t="inlineStr">
        <is>
          <t>3e2ae012073edd4a07e54a8fdb2710ff10c134de84abfb8de6844b154dd8a3b9</t>
        </is>
      </c>
    </row>
    <row r="53">
      <c r="A53" t="inlineStr">
        <is>
          <t>附表5</t>
        </is>
      </c>
      <c r="B53" t="inlineStr">
        <is>
          <t>I4</t>
        </is>
      </c>
      <c r="C53" t="inlineStr">
        <is>
          <t>'=B20</t>
        </is>
      </c>
      <c r="D53" t="inlineStr">
        <is>
          <t>a1fa19e9a6ee38ef5da4fd2ce60e31d82093c91aba8b5382f3eaf6c647fda908</t>
        </is>
      </c>
    </row>
    <row r="54">
      <c r="A54" t="inlineStr">
        <is>
          <t>附表5</t>
        </is>
      </c>
      <c r="B54" t="inlineStr">
        <is>
          <t>J4</t>
        </is>
      </c>
      <c r="C54" t="inlineStr">
        <is>
          <t>'=B21</t>
        </is>
      </c>
      <c r="D54" t="inlineStr">
        <is>
          <t>2334565805e22a2e57c89495083e0dfecabce53afceb7dab4e2a7a295b5e482a</t>
        </is>
      </c>
    </row>
    <row r="55">
      <c r="A55" t="inlineStr">
        <is>
          <t>附表5</t>
        </is>
      </c>
      <c r="B55" t="inlineStr">
        <is>
          <t>K4</t>
        </is>
      </c>
      <c r="C55" t="inlineStr">
        <is>
          <t>'=B22</t>
        </is>
      </c>
      <c r="D55" t="inlineStr">
        <is>
          <t>bd55956b52c5699d827d55ed878fb4555be7e127e0fc9166eddba521ca32cf20</t>
        </is>
      </c>
    </row>
    <row r="56">
      <c r="A56" t="inlineStr">
        <is>
          <t>附表5</t>
        </is>
      </c>
      <c r="B56" t="inlineStr">
        <is>
          <t>L4</t>
        </is>
      </c>
      <c r="C56" t="inlineStr">
        <is>
          <t>'=B23</t>
        </is>
      </c>
      <c r="D56" t="inlineStr">
        <is>
          <t>5158e88df38b56e53b2fcc616f157d4ebcbaf9f5cf28ff781d2282e26fc56d12</t>
        </is>
      </c>
    </row>
    <row r="57">
      <c r="A57" t="inlineStr">
        <is>
          <t>附表5</t>
        </is>
      </c>
      <c r="B57" t="inlineStr">
        <is>
          <t>M4</t>
        </is>
      </c>
      <c r="C57" t="inlineStr">
        <is>
          <t>'=B24</t>
        </is>
      </c>
      <c r="D57" t="inlineStr">
        <is>
          <t>730ae340688638a1a27e70cd6c0feac2f8dfddd026da6b70f7a92767282ac1a7</t>
        </is>
      </c>
    </row>
    <row r="58">
      <c r="A58" t="inlineStr">
        <is>
          <t>附表5</t>
        </is>
      </c>
      <c r="B58" t="inlineStr">
        <is>
          <t>N4</t>
        </is>
      </c>
      <c r="C58" t="inlineStr">
        <is>
          <t>'=B25</t>
        </is>
      </c>
      <c r="D58" t="inlineStr">
        <is>
          <t>c21ed6eaeeaff854fbfc0606c99b43d86641bfc3849e8a054136c1cac2d287f9</t>
        </is>
      </c>
    </row>
    <row r="59">
      <c r="A59" t="inlineStr">
        <is>
          <t>附表5</t>
        </is>
      </c>
      <c r="B59" t="inlineStr">
        <is>
          <t>O4</t>
        </is>
      </c>
      <c r="C59" t="inlineStr">
        <is>
          <t>'=B26</t>
        </is>
      </c>
      <c r="D59" t="inlineStr">
        <is>
          <t>4decc89728bfcc1c2aa9917cc46d876371a0ea32aaf679167d722770a80bc615</t>
        </is>
      </c>
    </row>
    <row r="60">
      <c r="A60" t="inlineStr">
        <is>
          <t>附表5</t>
        </is>
      </c>
      <c r="B60" t="inlineStr">
        <is>
          <t>P4</t>
        </is>
      </c>
      <c r="C60" t="inlineStr">
        <is>
          <t>'=B27</t>
        </is>
      </c>
      <c r="D60" t="inlineStr">
        <is>
          <t>35edf781c8cfa2cfa5acda1a912d588d3cc55565144e9c1be4d5d8e1231d8c14</t>
        </is>
      </c>
    </row>
    <row r="61">
      <c r="A61" t="inlineStr">
        <is>
          <t>附表5</t>
        </is>
      </c>
      <c r="B61" t="inlineStr">
        <is>
          <t>Q4</t>
        </is>
      </c>
      <c r="C61" t="inlineStr">
        <is>
          <t>'=B28</t>
        </is>
      </c>
      <c r="D61" t="inlineStr">
        <is>
          <t>8213bbad3ef16d77a645a6d4b8f67525a2d9d7686c52bf681588f0708915cd16</t>
        </is>
      </c>
    </row>
    <row r="62">
      <c r="A62" t="inlineStr">
        <is>
          <t>附表5</t>
        </is>
      </c>
      <c r="B62" t="inlineStr">
        <is>
          <t>R4</t>
        </is>
      </c>
      <c r="C62" t="inlineStr">
        <is>
          <t>'=B29</t>
        </is>
      </c>
      <c r="D62" t="inlineStr">
        <is>
          <t>18a599c3727733e7da2c2ce7ef2bfcd7db41fbe9b2440bf38d8a966076790399</t>
        </is>
      </c>
    </row>
    <row r="63">
      <c r="A63" t="inlineStr">
        <is>
          <t>附表5</t>
        </is>
      </c>
      <c r="B63" t="inlineStr">
        <is>
          <t>S4</t>
        </is>
      </c>
      <c r="C63" t="inlineStr">
        <is>
          <t>'=B30</t>
        </is>
      </c>
      <c r="D63" t="inlineStr">
        <is>
          <t>7d60414b56386b27d6ca510adb8e9b97c26c7028a90da9ead19ee06dc4718ec3</t>
        </is>
      </c>
    </row>
    <row r="64">
      <c r="A64" t="inlineStr">
        <is>
          <t>附表5</t>
        </is>
      </c>
      <c r="B64" t="inlineStr">
        <is>
          <t>T4</t>
        </is>
      </c>
      <c r="C64" t="inlineStr">
        <is>
          <t>'=B31</t>
        </is>
      </c>
      <c r="D64" t="inlineStr">
        <is>
          <t>abccdd472cd69b2c7da65d1710eec828869b6e65bd053ebc6edd9a0ccd6fd8ae</t>
        </is>
      </c>
    </row>
    <row r="65">
      <c r="A65" t="inlineStr">
        <is>
          <t>附表5</t>
        </is>
      </c>
      <c r="B65" t="inlineStr">
        <is>
          <t>U4</t>
        </is>
      </c>
      <c r="C65" t="inlineStr">
        <is>
          <t>'=B32</t>
        </is>
      </c>
      <c r="D65" t="inlineStr">
        <is>
          <t>3077aa330b73350bcce41e9dadebfd0fcb7b7c5b85503121270d7b0d96d17f93</t>
        </is>
      </c>
    </row>
    <row r="66">
      <c r="A66" t="inlineStr">
        <is>
          <t>附表5</t>
        </is>
      </c>
      <c r="B66" t="inlineStr">
        <is>
          <t>V4</t>
        </is>
      </c>
      <c r="C66" t="inlineStr">
        <is>
          <t>'=B33</t>
        </is>
      </c>
      <c r="D66" t="inlineStr">
        <is>
          <t>c1ba1c9812a1b4b9224eb3ded96378cd1be4d6dd4b8113c5a63fdefd419de1a5</t>
        </is>
      </c>
    </row>
    <row r="67">
      <c r="A67" t="inlineStr">
        <is>
          <t>附表5</t>
        </is>
      </c>
      <c r="B67" t="inlineStr">
        <is>
          <t>W4</t>
        </is>
      </c>
      <c r="C67" t="inlineStr">
        <is>
          <t>'=B34</t>
        </is>
      </c>
      <c r="D67" t="inlineStr">
        <is>
          <t>59c2543dbd59c4cb098c37ec6ba4ff0573708c937fb318b3fc2efebf1e849171</t>
        </is>
      </c>
    </row>
    <row r="68">
      <c r="A68" t="inlineStr">
        <is>
          <t>附表5</t>
        </is>
      </c>
      <c r="B68" t="inlineStr">
        <is>
          <t>X4</t>
        </is>
      </c>
      <c r="C68" t="inlineStr">
        <is>
          <t>'=B35</t>
        </is>
      </c>
      <c r="D68" t="inlineStr">
        <is>
          <t>b510efda07cced1658ffc3ba167329bbf2e1a3e67eeff3064c1e313940ccd558</t>
        </is>
      </c>
    </row>
    <row r="69">
      <c r="A69" t="inlineStr">
        <is>
          <t>附表5</t>
        </is>
      </c>
      <c r="B69" t="inlineStr">
        <is>
          <t>Y4</t>
        </is>
      </c>
      <c r="C69" t="inlineStr">
        <is>
          <t>'=B36</t>
        </is>
      </c>
      <c r="D69" t="inlineStr">
        <is>
          <t>9cc4653054b3b00a4899449a791405dd1f3f20d6bea0298c5d35e49c6ceabd30</t>
        </is>
      </c>
    </row>
    <row r="70">
      <c r="A70" t="inlineStr">
        <is>
          <t>附表5</t>
        </is>
      </c>
      <c r="B70" t="inlineStr">
        <is>
          <t>Z4</t>
        </is>
      </c>
      <c r="C70" t="inlineStr">
        <is>
          <t>'=B37</t>
        </is>
      </c>
      <c r="D70" t="inlineStr">
        <is>
          <t>b49709eb7129425f298b72beace6f4f071554e76db3592ac289d7d48b6c2cdbb</t>
        </is>
      </c>
    </row>
    <row r="71">
      <c r="A71" t="inlineStr">
        <is>
          <t>附表5</t>
        </is>
      </c>
      <c r="B71" t="inlineStr">
        <is>
          <t>AA4</t>
        </is>
      </c>
      <c r="C71" t="inlineStr">
        <is>
          <t>'=B38</t>
        </is>
      </c>
      <c r="D71" t="inlineStr">
        <is>
          <t>ca6fb43762cb4a9675bf3cc6c00130b70563b37c1717fee363fa5ca0b7ae3e15</t>
        </is>
      </c>
    </row>
    <row r="72">
      <c r="A72" t="inlineStr">
        <is>
          <t>附表5</t>
        </is>
      </c>
      <c r="B72" t="inlineStr">
        <is>
          <t>AB4</t>
        </is>
      </c>
      <c r="C72" t="inlineStr">
        <is>
          <t>'=B39</t>
        </is>
      </c>
      <c r="D72" t="inlineStr">
        <is>
          <t>4443f76d6fe7712dd63282662e3fffc237f1d3b5d376e569fe662ca15da98f13</t>
        </is>
      </c>
    </row>
    <row r="73">
      <c r="A73" t="inlineStr">
        <is>
          <t>附表5</t>
        </is>
      </c>
      <c r="B73" t="inlineStr">
        <is>
          <t>D5</t>
        </is>
      </c>
      <c r="C73" t="inlineStr">
        <is>
          <t>'=SUM(E5,F5,G5,H5,I5,J5,K5,L5,M5,N5,O5,P5,Q5,R5,S5,T5,U5,V5,W5,X5,Y5,Z5,AA5,AB5)</t>
        </is>
      </c>
      <c r="D73" t="inlineStr">
        <is>
          <t>043d2325873ce1aa0b14138bed313ff52c3eb0a6f975ff3879e44e1b946b5f00</t>
        </is>
      </c>
    </row>
    <row r="74">
      <c r="A74" t="inlineStr">
        <is>
          <t>附表5</t>
        </is>
      </c>
      <c r="B74" t="inlineStr">
        <is>
          <t>E5</t>
        </is>
      </c>
      <c r="C74" t="inlineStr">
        <is>
          <t>'=B16</t>
        </is>
      </c>
      <c r="D74" t="inlineStr">
        <is>
          <t>d0857ed5402c2011ed19228a0c3765ae92f82ab289f87483dc4862d42dbd907c</t>
        </is>
      </c>
    </row>
    <row r="75">
      <c r="A75" t="inlineStr">
        <is>
          <t>附表5</t>
        </is>
      </c>
      <c r="B75" t="inlineStr">
        <is>
          <t>F5</t>
        </is>
      </c>
      <c r="C75" t="inlineStr">
        <is>
          <t>'=B17</t>
        </is>
      </c>
      <c r="D75" t="inlineStr">
        <is>
          <t>02a9454271dbb7a8285f366e0e7b06e9ef9a43b4d8c0efd177b48badc97a6c30</t>
        </is>
      </c>
    </row>
    <row r="76">
      <c r="A76" t="inlineStr">
        <is>
          <t>附表5</t>
        </is>
      </c>
      <c r="B76" t="inlineStr">
        <is>
          <t>G5</t>
        </is>
      </c>
      <c r="C76" t="inlineStr">
        <is>
          <t>'=B18</t>
        </is>
      </c>
      <c r="D76" t="inlineStr">
        <is>
          <t>cfd77b300bfc858339f0558a805e8322e95e8a2719f02c3c985bbcfd156e27ef</t>
        </is>
      </c>
    </row>
    <row r="77">
      <c r="A77" t="inlineStr">
        <is>
          <t>附表5</t>
        </is>
      </c>
      <c r="B77" t="inlineStr">
        <is>
          <t>H5</t>
        </is>
      </c>
      <c r="C77" t="inlineStr">
        <is>
          <t>'=B19</t>
        </is>
      </c>
      <c r="D77" t="inlineStr">
        <is>
          <t>3e2ae012073edd4a07e54a8fdb2710ff10c134de84abfb8de6844b154dd8a3b9</t>
        </is>
      </c>
    </row>
    <row r="78">
      <c r="A78" t="inlineStr">
        <is>
          <t>附表5</t>
        </is>
      </c>
      <c r="B78" t="inlineStr">
        <is>
          <t>I5</t>
        </is>
      </c>
      <c r="C78" t="inlineStr">
        <is>
          <t>'=B20</t>
        </is>
      </c>
      <c r="D78" t="inlineStr">
        <is>
          <t>a1fa19e9a6ee38ef5da4fd2ce60e31d82093c91aba8b5382f3eaf6c647fda908</t>
        </is>
      </c>
    </row>
    <row r="79">
      <c r="A79" t="inlineStr">
        <is>
          <t>附表5</t>
        </is>
      </c>
      <c r="B79" t="inlineStr">
        <is>
          <t>J5</t>
        </is>
      </c>
      <c r="C79" t="inlineStr">
        <is>
          <t>'=B21</t>
        </is>
      </c>
      <c r="D79" t="inlineStr">
        <is>
          <t>2334565805e22a2e57c89495083e0dfecabce53afceb7dab4e2a7a295b5e482a</t>
        </is>
      </c>
    </row>
    <row r="80">
      <c r="A80" t="inlineStr">
        <is>
          <t>附表5</t>
        </is>
      </c>
      <c r="B80" t="inlineStr">
        <is>
          <t>K5</t>
        </is>
      </c>
      <c r="C80" t="inlineStr">
        <is>
          <t>'=B22</t>
        </is>
      </c>
      <c r="D80" t="inlineStr">
        <is>
          <t>bd55956b52c5699d827d55ed878fb4555be7e127e0fc9166eddba521ca32cf20</t>
        </is>
      </c>
    </row>
    <row r="81">
      <c r="A81" t="inlineStr">
        <is>
          <t>附表5</t>
        </is>
      </c>
      <c r="B81" t="inlineStr">
        <is>
          <t>L5</t>
        </is>
      </c>
      <c r="C81" t="inlineStr">
        <is>
          <t>'=B23</t>
        </is>
      </c>
      <c r="D81" t="inlineStr">
        <is>
          <t>5158e88df38b56e53b2fcc616f157d4ebcbaf9f5cf28ff781d2282e26fc56d12</t>
        </is>
      </c>
    </row>
    <row r="82">
      <c r="A82" t="inlineStr">
        <is>
          <t>附表5</t>
        </is>
      </c>
      <c r="B82" t="inlineStr">
        <is>
          <t>M5</t>
        </is>
      </c>
      <c r="C82" t="inlineStr">
        <is>
          <t>'=B24</t>
        </is>
      </c>
      <c r="D82" t="inlineStr">
        <is>
          <t>730ae340688638a1a27e70cd6c0feac2f8dfddd026da6b70f7a92767282ac1a7</t>
        </is>
      </c>
    </row>
    <row r="83">
      <c r="A83" t="inlineStr">
        <is>
          <t>附表5</t>
        </is>
      </c>
      <c r="B83" t="inlineStr">
        <is>
          <t>N5</t>
        </is>
      </c>
      <c r="C83" t="inlineStr">
        <is>
          <t>'=B25</t>
        </is>
      </c>
      <c r="D83" t="inlineStr">
        <is>
          <t>c21ed6eaeeaff854fbfc0606c99b43d86641bfc3849e8a054136c1cac2d287f9</t>
        </is>
      </c>
    </row>
    <row r="84">
      <c r="A84" t="inlineStr">
        <is>
          <t>附表5</t>
        </is>
      </c>
      <c r="B84" t="inlineStr">
        <is>
          <t>O5</t>
        </is>
      </c>
      <c r="C84" t="inlineStr">
        <is>
          <t>'=B26</t>
        </is>
      </c>
      <c r="D84" t="inlineStr">
        <is>
          <t>4decc89728bfcc1c2aa9917cc46d876371a0ea32aaf679167d722770a80bc615</t>
        </is>
      </c>
    </row>
    <row r="85">
      <c r="A85" t="inlineStr">
        <is>
          <t>附表5</t>
        </is>
      </c>
      <c r="B85" t="inlineStr">
        <is>
          <t>P5</t>
        </is>
      </c>
      <c r="C85" t="inlineStr">
        <is>
          <t>'=B27</t>
        </is>
      </c>
      <c r="D85" t="inlineStr">
        <is>
          <t>35edf781c8cfa2cfa5acda1a912d588d3cc55565144e9c1be4d5d8e1231d8c14</t>
        </is>
      </c>
    </row>
    <row r="86">
      <c r="A86" t="inlineStr">
        <is>
          <t>附表5</t>
        </is>
      </c>
      <c r="B86" t="inlineStr">
        <is>
          <t>Q5</t>
        </is>
      </c>
      <c r="C86" t="inlineStr">
        <is>
          <t>'=B28</t>
        </is>
      </c>
      <c r="D86" t="inlineStr">
        <is>
          <t>8213bbad3ef16d77a645a6d4b8f67525a2d9d7686c52bf681588f0708915cd16</t>
        </is>
      </c>
    </row>
    <row r="87">
      <c r="A87" t="inlineStr">
        <is>
          <t>附表5</t>
        </is>
      </c>
      <c r="B87" t="inlineStr">
        <is>
          <t>R5</t>
        </is>
      </c>
      <c r="C87" t="inlineStr">
        <is>
          <t>'=B29</t>
        </is>
      </c>
      <c r="D87" t="inlineStr">
        <is>
          <t>18a599c3727733e7da2c2ce7ef2bfcd7db41fbe9b2440bf38d8a966076790399</t>
        </is>
      </c>
    </row>
    <row r="88">
      <c r="A88" t="inlineStr">
        <is>
          <t>附表5</t>
        </is>
      </c>
      <c r="B88" t="inlineStr">
        <is>
          <t>S5</t>
        </is>
      </c>
      <c r="C88" t="inlineStr">
        <is>
          <t>'=B30</t>
        </is>
      </c>
      <c r="D88" t="inlineStr">
        <is>
          <t>7d60414b56386b27d6ca510adb8e9b97c26c7028a90da9ead19ee06dc4718ec3</t>
        </is>
      </c>
    </row>
    <row r="89">
      <c r="A89" t="inlineStr">
        <is>
          <t>附表5</t>
        </is>
      </c>
      <c r="B89" t="inlineStr">
        <is>
          <t>T5</t>
        </is>
      </c>
      <c r="C89" t="inlineStr">
        <is>
          <t>'=B31</t>
        </is>
      </c>
      <c r="D89" t="inlineStr">
        <is>
          <t>abccdd472cd69b2c7da65d1710eec828869b6e65bd053ebc6edd9a0ccd6fd8ae</t>
        </is>
      </c>
    </row>
    <row r="90">
      <c r="A90" t="inlineStr">
        <is>
          <t>附表5</t>
        </is>
      </c>
      <c r="B90" t="inlineStr">
        <is>
          <t>U5</t>
        </is>
      </c>
      <c r="C90" t="inlineStr">
        <is>
          <t>'=B32</t>
        </is>
      </c>
      <c r="D90" t="inlineStr">
        <is>
          <t>3077aa330b73350bcce41e9dadebfd0fcb7b7c5b85503121270d7b0d96d17f93</t>
        </is>
      </c>
    </row>
    <row r="91">
      <c r="A91" t="inlineStr">
        <is>
          <t>附表5</t>
        </is>
      </c>
      <c r="B91" t="inlineStr">
        <is>
          <t>V5</t>
        </is>
      </c>
      <c r="C91" t="inlineStr">
        <is>
          <t>'=B33</t>
        </is>
      </c>
      <c r="D91" t="inlineStr">
        <is>
          <t>c1ba1c9812a1b4b9224eb3ded96378cd1be4d6dd4b8113c5a63fdefd419de1a5</t>
        </is>
      </c>
    </row>
    <row r="92">
      <c r="A92" t="inlineStr">
        <is>
          <t>附表5</t>
        </is>
      </c>
      <c r="B92" t="inlineStr">
        <is>
          <t>W5</t>
        </is>
      </c>
      <c r="C92" t="inlineStr">
        <is>
          <t>'=B34</t>
        </is>
      </c>
      <c r="D92" t="inlineStr">
        <is>
          <t>59c2543dbd59c4cb098c37ec6ba4ff0573708c937fb318b3fc2efebf1e849171</t>
        </is>
      </c>
    </row>
    <row r="93">
      <c r="A93" t="inlineStr">
        <is>
          <t>附表5</t>
        </is>
      </c>
      <c r="B93" t="inlineStr">
        <is>
          <t>X5</t>
        </is>
      </c>
      <c r="C93" t="inlineStr">
        <is>
          <t>'=B35</t>
        </is>
      </c>
      <c r="D93" t="inlineStr">
        <is>
          <t>b510efda07cced1658ffc3ba167329bbf2e1a3e67eeff3064c1e313940ccd558</t>
        </is>
      </c>
    </row>
    <row r="94">
      <c r="A94" t="inlineStr">
        <is>
          <t>附表5</t>
        </is>
      </c>
      <c r="B94" t="inlineStr">
        <is>
          <t>Y5</t>
        </is>
      </c>
      <c r="C94" t="inlineStr">
        <is>
          <t>'=B36</t>
        </is>
      </c>
      <c r="D94" t="inlineStr">
        <is>
          <t>9cc4653054b3b00a4899449a791405dd1f3f20d6bea0298c5d35e49c6ceabd30</t>
        </is>
      </c>
    </row>
    <row r="95">
      <c r="A95" t="inlineStr">
        <is>
          <t>附表5</t>
        </is>
      </c>
      <c r="B95" t="inlineStr">
        <is>
          <t>Z5</t>
        </is>
      </c>
      <c r="C95" t="inlineStr">
        <is>
          <t>'=B37</t>
        </is>
      </c>
      <c r="D95" t="inlineStr">
        <is>
          <t>b49709eb7129425f298b72beace6f4f071554e76db3592ac289d7d48b6c2cdbb</t>
        </is>
      </c>
    </row>
    <row r="96">
      <c r="A96" t="inlineStr">
        <is>
          <t>附表5</t>
        </is>
      </c>
      <c r="B96" t="inlineStr">
        <is>
          <t>AA5</t>
        </is>
      </c>
      <c r="C96" t="inlineStr">
        <is>
          <t>'=B38</t>
        </is>
      </c>
      <c r="D96" t="inlineStr">
        <is>
          <t>ca6fb43762cb4a9675bf3cc6c00130b70563b37c1717fee363fa5ca0b7ae3e15</t>
        </is>
      </c>
    </row>
    <row r="97">
      <c r="A97" t="inlineStr">
        <is>
          <t>附表5</t>
        </is>
      </c>
      <c r="B97" t="inlineStr">
        <is>
          <t>AB5</t>
        </is>
      </c>
      <c r="C97" t="inlineStr">
        <is>
          <t>'=B39</t>
        </is>
      </c>
      <c r="D97" t="inlineStr">
        <is>
          <t>4443f76d6fe7712dd63282662e3fffc237f1d3b5d376e569fe662ca15da98f13</t>
        </is>
      </c>
    </row>
    <row r="98">
      <c r="A98" t="inlineStr">
        <is>
          <t>附表5</t>
        </is>
      </c>
      <c r="B98" t="inlineStr">
        <is>
          <t>D6</t>
        </is>
      </c>
      <c r="C98" t="inlineStr">
        <is>
          <t>'=SUM(E6,F6,G6,H6,I6,J6,K6,L6,M6,N6,O6,P6,Q6,R6,S6,T6,U6,V6,W6,X6,Y6,Z6,AA6,AB6)</t>
        </is>
      </c>
      <c r="D98" t="inlineStr">
        <is>
          <t>023f9927f9ec06e1c9b8045fd68200a0389adea16a9fc8a2a028028894aeac45</t>
        </is>
      </c>
    </row>
    <row r="99">
      <c r="A99" t="inlineStr">
        <is>
          <t>附表5</t>
        </is>
      </c>
      <c r="B99" t="inlineStr">
        <is>
          <t>E6</t>
        </is>
      </c>
      <c r="C99" t="inlineStr">
        <is>
          <t>'=F16</t>
        </is>
      </c>
      <c r="D99" t="inlineStr">
        <is>
          <t>6f51fa083a527f1b52d59aa4d4d830dfa56fe6bd1c70463e5a758fffbc5ec699</t>
        </is>
      </c>
    </row>
    <row r="100">
      <c r="A100" t="inlineStr">
        <is>
          <t>附表5</t>
        </is>
      </c>
      <c r="B100" t="inlineStr">
        <is>
          <t>F6</t>
        </is>
      </c>
      <c r="C100" t="inlineStr">
        <is>
          <t>'=F17</t>
        </is>
      </c>
      <c r="D100" t="inlineStr">
        <is>
          <t>0fa2a9242cc5de4bbe86fa948200480473bfa258ac14366ba8d67a7e3e2ac059</t>
        </is>
      </c>
    </row>
    <row r="101">
      <c r="A101" t="inlineStr">
        <is>
          <t>附表5</t>
        </is>
      </c>
      <c r="B101" t="inlineStr">
        <is>
          <t>G6</t>
        </is>
      </c>
      <c r="C101" t="inlineStr">
        <is>
          <t>'=F18</t>
        </is>
      </c>
      <c r="D101" t="inlineStr">
        <is>
          <t>bd4efe3a01f6645f1292cde7eac67ccf65ee7d1097220e9655bdb68c2a3e665a</t>
        </is>
      </c>
    </row>
    <row r="102">
      <c r="A102" t="inlineStr">
        <is>
          <t>附表5</t>
        </is>
      </c>
      <c r="B102" t="inlineStr">
        <is>
          <t>H6</t>
        </is>
      </c>
      <c r="C102" t="inlineStr">
        <is>
          <t>'=F19</t>
        </is>
      </c>
      <c r="D102" t="inlineStr">
        <is>
          <t>dba98ed96bcc33ceb601cd88d164131594e5a6e93cb376c3dbd23180ecba0557</t>
        </is>
      </c>
    </row>
    <row r="103">
      <c r="A103" t="inlineStr">
        <is>
          <t>附表5</t>
        </is>
      </c>
      <c r="B103" t="inlineStr">
        <is>
          <t>I6</t>
        </is>
      </c>
      <c r="C103" t="inlineStr">
        <is>
          <t>'=F20</t>
        </is>
      </c>
      <c r="D103" t="inlineStr">
        <is>
          <t>ba897667d8b2299b24cc916cd51848f3d0dcd44eaf1d89de3b9d30ef3dd2bc64</t>
        </is>
      </c>
    </row>
    <row r="104">
      <c r="A104" t="inlineStr">
        <is>
          <t>附表5</t>
        </is>
      </c>
      <c r="B104" t="inlineStr">
        <is>
          <t>J6</t>
        </is>
      </c>
      <c r="C104" t="inlineStr">
        <is>
          <t>'=F21</t>
        </is>
      </c>
      <c r="D104" t="inlineStr">
        <is>
          <t>abae687d0c6aafa9da45896720f1599a6ba87485b2c73c39b56040a65a42b2e6</t>
        </is>
      </c>
    </row>
    <row r="105">
      <c r="A105" t="inlineStr">
        <is>
          <t>附表5</t>
        </is>
      </c>
      <c r="B105" t="inlineStr">
        <is>
          <t>K6</t>
        </is>
      </c>
      <c r="C105" t="inlineStr">
        <is>
          <t>'=F22</t>
        </is>
      </c>
      <c r="D105" t="inlineStr">
        <is>
          <t>303929953a9a22962770f601fb3e14d2053ccf2723618c7f401cf4b363cb74e6</t>
        </is>
      </c>
    </row>
    <row r="106">
      <c r="A106" t="inlineStr">
        <is>
          <t>附表5</t>
        </is>
      </c>
      <c r="B106" t="inlineStr">
        <is>
          <t>L6</t>
        </is>
      </c>
      <c r="C106" t="inlineStr">
        <is>
          <t>'=F23</t>
        </is>
      </c>
      <c r="D106" t="inlineStr">
        <is>
          <t>8464b8eef7c14cb7336a27b4a74f7670338e734c289032fb540bd56103c9aac5</t>
        </is>
      </c>
    </row>
    <row r="107">
      <c r="A107" t="inlineStr">
        <is>
          <t>附表5</t>
        </is>
      </c>
      <c r="B107" t="inlineStr">
        <is>
          <t>M6</t>
        </is>
      </c>
      <c r="C107" t="inlineStr">
        <is>
          <t>'=F24</t>
        </is>
      </c>
      <c r="D107" t="inlineStr">
        <is>
          <t>9ed367a5e3825d0f50d44fde06665a27a1a5b1d481a22b68505857131cb7ec82</t>
        </is>
      </c>
    </row>
    <row r="108">
      <c r="A108" t="inlineStr">
        <is>
          <t>附表5</t>
        </is>
      </c>
      <c r="B108" t="inlineStr">
        <is>
          <t>N6</t>
        </is>
      </c>
      <c r="C108" t="inlineStr">
        <is>
          <t>'=F25</t>
        </is>
      </c>
      <c r="D108" t="inlineStr">
        <is>
          <t>47314388abee27a224eb6b91587e32b9cbbcdf0f974af9705530b790432232c3</t>
        </is>
      </c>
    </row>
    <row r="109">
      <c r="A109" t="inlineStr">
        <is>
          <t>附表5</t>
        </is>
      </c>
      <c r="B109" t="inlineStr">
        <is>
          <t>O6</t>
        </is>
      </c>
      <c r="C109" t="inlineStr">
        <is>
          <t>'=F26</t>
        </is>
      </c>
      <c r="D109" t="inlineStr">
        <is>
          <t>8e8873507784a884e464929f855f269ae86026be510b312d169ad528e85712ab</t>
        </is>
      </c>
    </row>
    <row r="110">
      <c r="A110" t="inlineStr">
        <is>
          <t>附表5</t>
        </is>
      </c>
      <c r="B110" t="inlineStr">
        <is>
          <t>P6</t>
        </is>
      </c>
      <c r="C110" t="inlineStr">
        <is>
          <t>'=F27</t>
        </is>
      </c>
      <c r="D110" t="inlineStr">
        <is>
          <t>5954ec758fe3318bf4d7f1f341de39825d6bc4eaa209e3196524590f535316c2</t>
        </is>
      </c>
    </row>
    <row r="111">
      <c r="A111" t="inlineStr">
        <is>
          <t>附表5</t>
        </is>
      </c>
      <c r="B111" t="inlineStr">
        <is>
          <t>Q6</t>
        </is>
      </c>
      <c r="C111" t="inlineStr">
        <is>
          <t>'=F28</t>
        </is>
      </c>
      <c r="D111" t="inlineStr">
        <is>
          <t>13f4ea59e7fc664f85ea46b2816893f73e36306223e4bdc135741ec0d1fe42b4</t>
        </is>
      </c>
    </row>
    <row r="112">
      <c r="A112" t="inlineStr">
        <is>
          <t>附表5</t>
        </is>
      </c>
      <c r="B112" t="inlineStr">
        <is>
          <t>R6</t>
        </is>
      </c>
      <c r="C112" t="inlineStr">
        <is>
          <t>'=F29</t>
        </is>
      </c>
      <c r="D112" t="inlineStr">
        <is>
          <t>890e43661b159feafd46522f2327e365b2920f02cc7fbd207e2e3baa215b9f6d</t>
        </is>
      </c>
    </row>
    <row r="113">
      <c r="A113" t="inlineStr">
        <is>
          <t>附表5</t>
        </is>
      </c>
      <c r="B113" t="inlineStr">
        <is>
          <t>S6</t>
        </is>
      </c>
      <c r="C113" t="inlineStr">
        <is>
          <t>'=F30</t>
        </is>
      </c>
      <c r="D113" t="inlineStr">
        <is>
          <t>36a95251f26c1b8da73153b6feb4d5c2fcf0060d1918ed64dc475c458e02475a</t>
        </is>
      </c>
    </row>
    <row r="114">
      <c r="A114" t="inlineStr">
        <is>
          <t>附表5</t>
        </is>
      </c>
      <c r="B114" t="inlineStr">
        <is>
          <t>T6</t>
        </is>
      </c>
      <c r="C114" t="inlineStr">
        <is>
          <t>'=F31</t>
        </is>
      </c>
      <c r="D114" t="inlineStr">
        <is>
          <t>20c870fd001d5c247be7b3fc4a289f983c2c2f12246199d92dcc1102b343ca6b</t>
        </is>
      </c>
    </row>
    <row r="115">
      <c r="A115" t="inlineStr">
        <is>
          <t>附表5</t>
        </is>
      </c>
      <c r="B115" t="inlineStr">
        <is>
          <t>U6</t>
        </is>
      </c>
      <c r="C115" t="inlineStr">
        <is>
          <t>'=F32</t>
        </is>
      </c>
      <c r="D115" t="inlineStr">
        <is>
          <t>c5ae83bf4079b265fbe8e53096c13e8d016f1c3cff2d7006581c001eb2606b11</t>
        </is>
      </c>
    </row>
    <row r="116">
      <c r="A116" t="inlineStr">
        <is>
          <t>附表5</t>
        </is>
      </c>
      <c r="B116" t="inlineStr">
        <is>
          <t>V6</t>
        </is>
      </c>
      <c r="C116" t="inlineStr">
        <is>
          <t>'=F33</t>
        </is>
      </c>
      <c r="D116" t="inlineStr">
        <is>
          <t>72589d5a055938823a5f2078e039aff33eb904440acbb0faeafe94847d6a4b96</t>
        </is>
      </c>
    </row>
    <row r="117">
      <c r="A117" t="inlineStr">
        <is>
          <t>附表5</t>
        </is>
      </c>
      <c r="B117" t="inlineStr">
        <is>
          <t>W6</t>
        </is>
      </c>
      <c r="C117" t="inlineStr">
        <is>
          <t>'=F34</t>
        </is>
      </c>
      <c r="D117" t="inlineStr">
        <is>
          <t>e3c7865be4287277c5f6870291e7b2c5c43544c67056f211dbafbba1dacc87e0</t>
        </is>
      </c>
    </row>
    <row r="118">
      <c r="A118" t="inlineStr">
        <is>
          <t>附表5</t>
        </is>
      </c>
      <c r="B118" t="inlineStr">
        <is>
          <t>X6</t>
        </is>
      </c>
      <c r="C118" t="inlineStr">
        <is>
          <t>'=F35</t>
        </is>
      </c>
      <c r="D118" t="inlineStr">
        <is>
          <t>a3c5399eb56df218770a83790a52696db93845721fa43ca553ce45bf51e93f4e</t>
        </is>
      </c>
    </row>
    <row r="119">
      <c r="A119" t="inlineStr">
        <is>
          <t>附表5</t>
        </is>
      </c>
      <c r="B119" t="inlineStr">
        <is>
          <t>Y6</t>
        </is>
      </c>
      <c r="C119" t="inlineStr">
        <is>
          <t>'=F36</t>
        </is>
      </c>
      <c r="D119" t="inlineStr">
        <is>
          <t>81f7c878de8b0183e578fd1938bf26fd7bdfdc595bd979ce4326cfa1bbe9c46b</t>
        </is>
      </c>
    </row>
    <row r="120">
      <c r="A120" t="inlineStr">
        <is>
          <t>附表5</t>
        </is>
      </c>
      <c r="B120" t="inlineStr">
        <is>
          <t>Z6</t>
        </is>
      </c>
      <c r="C120" t="inlineStr">
        <is>
          <t>'=F37</t>
        </is>
      </c>
      <c r="D120" t="inlineStr">
        <is>
          <t>d5b9cceb096710596835f0ce8f26a4b71d69869b1ff997a5749fdd39ea712e82</t>
        </is>
      </c>
    </row>
    <row r="121">
      <c r="A121" t="inlineStr">
        <is>
          <t>附表5</t>
        </is>
      </c>
      <c r="B121" t="inlineStr">
        <is>
          <t>AA6</t>
        </is>
      </c>
      <c r="C121" t="inlineStr">
        <is>
          <t>'=F38</t>
        </is>
      </c>
      <c r="D121" t="inlineStr">
        <is>
          <t>61ccbb4367dfe2753e4c74c260a0782c0ee06d8b8b15ccce22921359181715c1</t>
        </is>
      </c>
    </row>
    <row r="122">
      <c r="A122" t="inlineStr">
        <is>
          <t>附表5</t>
        </is>
      </c>
      <c r="B122" t="inlineStr">
        <is>
          <t>AB6</t>
        </is>
      </c>
      <c r="C122" t="inlineStr">
        <is>
          <t>'=F39</t>
        </is>
      </c>
      <c r="D122" t="inlineStr">
        <is>
          <t>f87b032df2ba01ff6cef9c2e0ce235b934b6329cc1c727ec535b2c5ef486ca5b</t>
        </is>
      </c>
    </row>
    <row r="123">
      <c r="A123" t="inlineStr">
        <is>
          <t>附表5</t>
        </is>
      </c>
      <c r="B123" t="inlineStr">
        <is>
          <t>D7</t>
        </is>
      </c>
      <c r="C123" t="inlineStr">
        <is>
          <t>'=SUM(E7,F7,G7,H7,I7,J7,K7,L7,M7,N7,O7,P7,Q7,R7,S7,T7,U7,V7,W7,X7,Y7,Z7,AA7,AB7)</t>
        </is>
      </c>
      <c r="D123" t="inlineStr">
        <is>
          <t>edec6d3f4758862525c1bc1e7013cced8ee786af4d9b6f92a67072fde29f694a</t>
        </is>
      </c>
    </row>
    <row r="124">
      <c r="A124" t="inlineStr">
        <is>
          <t>附表5</t>
        </is>
      </c>
      <c r="B124" t="inlineStr">
        <is>
          <t>E7</t>
        </is>
      </c>
      <c r="C124" t="inlineStr">
        <is>
          <t>'=E16</t>
        </is>
      </c>
      <c r="D124" t="inlineStr">
        <is>
          <t>392c3ecb8dbba1328898d2e72ac1f65213cd214c0922906adaf8b944688fe320</t>
        </is>
      </c>
    </row>
    <row r="125">
      <c r="A125" t="inlineStr">
        <is>
          <t>附表5</t>
        </is>
      </c>
      <c r="B125" t="inlineStr">
        <is>
          <t>F7</t>
        </is>
      </c>
      <c r="C125" t="inlineStr">
        <is>
          <t>'=E17</t>
        </is>
      </c>
      <c r="D125" t="inlineStr">
        <is>
          <t>7ebb09d52f527aac240f33bcdaffa5428c4275d957ad6636ee656d9e9532a745</t>
        </is>
      </c>
    </row>
    <row r="126">
      <c r="A126" t="inlineStr">
        <is>
          <t>附表5</t>
        </is>
      </c>
      <c r="B126" t="inlineStr">
        <is>
          <t>G7</t>
        </is>
      </c>
      <c r="C126" t="inlineStr">
        <is>
          <t>'=E18</t>
        </is>
      </c>
      <c r="D126" t="inlineStr">
        <is>
          <t>df4f89535d3525e7de44ab274aa5976c717bb0071800409f09b4050c83de6741</t>
        </is>
      </c>
    </row>
    <row r="127">
      <c r="A127" t="inlineStr">
        <is>
          <t>附表5</t>
        </is>
      </c>
      <c r="B127" t="inlineStr">
        <is>
          <t>H7</t>
        </is>
      </c>
      <c r="C127" t="inlineStr">
        <is>
          <t>'=E19</t>
        </is>
      </c>
      <c r="D127" t="inlineStr">
        <is>
          <t>9fb11cfb1f7fd598878a665010cbbcc7034db274d5ba256b5e28a77f92d041bd</t>
        </is>
      </c>
    </row>
    <row r="128">
      <c r="A128" t="inlineStr">
        <is>
          <t>附表5</t>
        </is>
      </c>
      <c r="B128" t="inlineStr">
        <is>
          <t>I7</t>
        </is>
      </c>
      <c r="C128" t="inlineStr">
        <is>
          <t>'=E20</t>
        </is>
      </c>
      <c r="D128" t="inlineStr">
        <is>
          <t>05082b7bd2c44cd5cfb16ada282235d7b09ab7de9c712999913356dc013a2276</t>
        </is>
      </c>
    </row>
    <row r="129">
      <c r="A129" t="inlineStr">
        <is>
          <t>附表5</t>
        </is>
      </c>
      <c r="B129" t="inlineStr">
        <is>
          <t>J7</t>
        </is>
      </c>
      <c r="C129" t="inlineStr">
        <is>
          <t>'=E21</t>
        </is>
      </c>
      <c r="D129" t="inlineStr">
        <is>
          <t>cbccd5e5dfa9c73ccf73f4c06e608cccf30117948f5a3a8e0bebd9f87030268b</t>
        </is>
      </c>
    </row>
    <row r="130">
      <c r="A130" t="inlineStr">
        <is>
          <t>附表5</t>
        </is>
      </c>
      <c r="B130" t="inlineStr">
        <is>
          <t>K7</t>
        </is>
      </c>
      <c r="C130" t="inlineStr">
        <is>
          <t>'=E22</t>
        </is>
      </c>
      <c r="D130" t="inlineStr">
        <is>
          <t>b3bdd965d81f6295ce34f69cd2229065180d63cf9e8209fe504a1a6b742ca2cc</t>
        </is>
      </c>
    </row>
    <row r="131">
      <c r="A131" t="inlineStr">
        <is>
          <t>附表5</t>
        </is>
      </c>
      <c r="B131" t="inlineStr">
        <is>
          <t>L7</t>
        </is>
      </c>
      <c r="C131" t="inlineStr">
        <is>
          <t>'=E23</t>
        </is>
      </c>
      <c r="D131" t="inlineStr">
        <is>
          <t>c3381f8b31a876fe4cdf2e75626f8d1b8fc95ad920bef3b8f94b1508359587c0</t>
        </is>
      </c>
    </row>
    <row r="132">
      <c r="A132" t="inlineStr">
        <is>
          <t>附表5</t>
        </is>
      </c>
      <c r="B132" t="inlineStr">
        <is>
          <t>M7</t>
        </is>
      </c>
      <c r="C132" t="inlineStr">
        <is>
          <t>'=E24</t>
        </is>
      </c>
      <c r="D132" t="inlineStr">
        <is>
          <t>ff40c724feadaf7d60cfcbeb2bb4506626a7d1d584e20c3572e046372ca103a0</t>
        </is>
      </c>
    </row>
    <row r="133">
      <c r="A133" t="inlineStr">
        <is>
          <t>附表5</t>
        </is>
      </c>
      <c r="B133" t="inlineStr">
        <is>
          <t>N7</t>
        </is>
      </c>
      <c r="C133" t="inlineStr">
        <is>
          <t>'=E25</t>
        </is>
      </c>
      <c r="D133" t="inlineStr">
        <is>
          <t>bee489adc18703ca78293e5fa79dbe2fc039df6f5a0897bd29f2afc1f0f44f4f</t>
        </is>
      </c>
    </row>
    <row r="134">
      <c r="A134" t="inlineStr">
        <is>
          <t>附表5</t>
        </is>
      </c>
      <c r="B134" t="inlineStr">
        <is>
          <t>O7</t>
        </is>
      </c>
      <c r="C134" t="inlineStr">
        <is>
          <t>'=E26</t>
        </is>
      </c>
      <c r="D134" t="inlineStr">
        <is>
          <t>d528036d55c16bc8bb929bca4c1c8c7bb5c4220cf8c44f3c65ebdced4feaa2d6</t>
        </is>
      </c>
    </row>
    <row r="135">
      <c r="A135" t="inlineStr">
        <is>
          <t>附表5</t>
        </is>
      </c>
      <c r="B135" t="inlineStr">
        <is>
          <t>P7</t>
        </is>
      </c>
      <c r="C135" t="inlineStr">
        <is>
          <t>'=E27</t>
        </is>
      </c>
      <c r="D135" t="inlineStr">
        <is>
          <t>b18c01b39373e16b82f579f4ff9f16b35c9ab8e4983583d5bb6e660a4c67f7ae</t>
        </is>
      </c>
    </row>
    <row r="136">
      <c r="A136" t="inlineStr">
        <is>
          <t>附表5</t>
        </is>
      </c>
      <c r="B136" t="inlineStr">
        <is>
          <t>Q7</t>
        </is>
      </c>
      <c r="C136" t="inlineStr">
        <is>
          <t>'=E28</t>
        </is>
      </c>
      <c r="D136" t="inlineStr">
        <is>
          <t>7631880322d74cf866bc65bf42898faec259e43e467b54ea5c9af511e68e6fd3</t>
        </is>
      </c>
    </row>
    <row r="137">
      <c r="A137" t="inlineStr">
        <is>
          <t>附表5</t>
        </is>
      </c>
      <c r="B137" t="inlineStr">
        <is>
          <t>R7</t>
        </is>
      </c>
      <c r="C137" t="inlineStr">
        <is>
          <t>'=E29</t>
        </is>
      </c>
      <c r="D137" t="inlineStr">
        <is>
          <t>029d731d4663e03c8520795799642b96638809daed8bf0eb23339c0ba23a73f5</t>
        </is>
      </c>
    </row>
    <row r="138">
      <c r="A138" t="inlineStr">
        <is>
          <t>附表5</t>
        </is>
      </c>
      <c r="B138" t="inlineStr">
        <is>
          <t>S7</t>
        </is>
      </c>
      <c r="C138" t="inlineStr">
        <is>
          <t>'=E30</t>
        </is>
      </c>
      <c r="D138" t="inlineStr">
        <is>
          <t>f9d1044436f187ad9ffde2b6f00aa4c37acdb8c819ce9bfaa0f9515b303dfff1</t>
        </is>
      </c>
    </row>
    <row r="139">
      <c r="A139" t="inlineStr">
        <is>
          <t>附表5</t>
        </is>
      </c>
      <c r="B139" t="inlineStr">
        <is>
          <t>T7</t>
        </is>
      </c>
      <c r="C139" t="inlineStr">
        <is>
          <t>'=E31</t>
        </is>
      </c>
      <c r="D139" t="inlineStr">
        <is>
          <t>ccb0bd9c84094861b829aaaf09075d3c7ff6aafd759aeeb9215e2031d1c57476</t>
        </is>
      </c>
    </row>
    <row r="140">
      <c r="A140" t="inlineStr">
        <is>
          <t>附表5</t>
        </is>
      </c>
      <c r="B140" t="inlineStr">
        <is>
          <t>U7</t>
        </is>
      </c>
      <c r="C140" t="inlineStr">
        <is>
          <t>'=E32</t>
        </is>
      </c>
      <c r="D140" t="inlineStr">
        <is>
          <t>5c2a9afdbd4b0ba3b6a28bbaea56a5310c357764c67edcff1106f88069e55777</t>
        </is>
      </c>
    </row>
    <row r="141">
      <c r="A141" t="inlineStr">
        <is>
          <t>附表5</t>
        </is>
      </c>
      <c r="B141" t="inlineStr">
        <is>
          <t>V7</t>
        </is>
      </c>
      <c r="C141" t="inlineStr">
        <is>
          <t>'=E33</t>
        </is>
      </c>
      <c r="D141" t="inlineStr">
        <is>
          <t>8fabd9c5fe8cc507d064eddbc6fe9ea8c6e41213dbb42ffe37a6b88d49f6ab0c</t>
        </is>
      </c>
    </row>
    <row r="142">
      <c r="A142" t="inlineStr">
        <is>
          <t>附表5</t>
        </is>
      </c>
      <c r="B142" t="inlineStr">
        <is>
          <t>W7</t>
        </is>
      </c>
      <c r="C142" t="inlineStr">
        <is>
          <t>'=E34</t>
        </is>
      </c>
      <c r="D142" t="inlineStr">
        <is>
          <t>87bbd2477ff72ff7af7fdabda66289421d5f5adebb9dfd3f1d3e7c2dbebbb27a</t>
        </is>
      </c>
    </row>
    <row r="143">
      <c r="A143" t="inlineStr">
        <is>
          <t>附表5</t>
        </is>
      </c>
      <c r="B143" t="inlineStr">
        <is>
          <t>X7</t>
        </is>
      </c>
      <c r="C143" t="inlineStr">
        <is>
          <t>'=E35</t>
        </is>
      </c>
      <c r="D143" t="inlineStr">
        <is>
          <t>ee2ff98424ffd4f6db529a5ecb297178271832fdbf4e970635feb7414c8509b0</t>
        </is>
      </c>
    </row>
    <row r="144">
      <c r="A144" t="inlineStr">
        <is>
          <t>附表5</t>
        </is>
      </c>
      <c r="B144" t="inlineStr">
        <is>
          <t>Y7</t>
        </is>
      </c>
      <c r="C144" t="inlineStr">
        <is>
          <t>'=E36</t>
        </is>
      </c>
      <c r="D144" t="inlineStr">
        <is>
          <t>e03c280f19d18115f9033f7f0461af62082bd0820db7049321cea8a442ff8b7f</t>
        </is>
      </c>
    </row>
    <row r="145">
      <c r="A145" t="inlineStr">
        <is>
          <t>附表5</t>
        </is>
      </c>
      <c r="B145" t="inlineStr">
        <is>
          <t>Z7</t>
        </is>
      </c>
      <c r="C145" t="inlineStr">
        <is>
          <t>'=E37</t>
        </is>
      </c>
      <c r="D145" t="inlineStr">
        <is>
          <t>449f92e3bbc37b7984e20507510a886f3541bb4216353fee56c0bd03f8422e76</t>
        </is>
      </c>
    </row>
    <row r="146">
      <c r="A146" t="inlineStr">
        <is>
          <t>附表5</t>
        </is>
      </c>
      <c r="B146" t="inlineStr">
        <is>
          <t>AA7</t>
        </is>
      </c>
      <c r="C146" t="inlineStr">
        <is>
          <t>'=E38</t>
        </is>
      </c>
      <c r="D146" t="inlineStr">
        <is>
          <t>ae14f5f36d788372e885fbd1715a2f03db3885b298775270bfcd1fc38cf6139b</t>
        </is>
      </c>
    </row>
    <row r="147">
      <c r="A147" t="inlineStr">
        <is>
          <t>附表5</t>
        </is>
      </c>
      <c r="B147" t="inlineStr">
        <is>
          <t>AB7</t>
        </is>
      </c>
      <c r="C147" t="inlineStr">
        <is>
          <t>'=E39</t>
        </is>
      </c>
      <c r="D147" t="inlineStr">
        <is>
          <t>18114e6dbb02cc34e72eddfc241655b4f0225f99f8dea3788846c10a1261c6b1</t>
        </is>
      </c>
    </row>
    <row r="148">
      <c r="A148" t="inlineStr">
        <is>
          <t>附表5</t>
        </is>
      </c>
      <c r="B148" t="inlineStr">
        <is>
          <t>D11</t>
        </is>
      </c>
      <c r="C148" t="inlineStr">
        <is>
          <t>'=SUM(E11,F11,G11,H11,I11,J11,K11,L11,M11,N11,O11,P11,Q11,R11,S11,T11,U11,V11,W11,X11,Y11,Z11,AA11,AB11)</t>
        </is>
      </c>
      <c r="D148" t="inlineStr">
        <is>
          <t>2793382571e21b5c1947c3975b1160535f0400d997797c5c69b3f1ebf5c31bcd</t>
        </is>
      </c>
    </row>
    <row r="149">
      <c r="A149" t="inlineStr">
        <is>
          <t>附表5</t>
        </is>
      </c>
      <c r="B149" t="inlineStr">
        <is>
          <t>E11</t>
        </is>
      </c>
      <c r="C149" t="inlineStr">
        <is>
          <t>'=G16</t>
        </is>
      </c>
      <c r="D149" t="inlineStr">
        <is>
          <t>f7221e004c28b92ce12b59d2e9910e960edd090d0e18f04890f82b231fd5d471</t>
        </is>
      </c>
    </row>
    <row r="150">
      <c r="A150" t="inlineStr">
        <is>
          <t>附表5</t>
        </is>
      </c>
      <c r="B150" t="inlineStr">
        <is>
          <t>F11</t>
        </is>
      </c>
      <c r="C150" t="inlineStr">
        <is>
          <t>'=G17</t>
        </is>
      </c>
      <c r="D150" t="inlineStr">
        <is>
          <t>3f9800aca270c6edff5eb1fdb90f77b2e72ae929d5a9d752d22e81ed54693e74</t>
        </is>
      </c>
    </row>
    <row r="151">
      <c r="A151" t="inlineStr">
        <is>
          <t>附表5</t>
        </is>
      </c>
      <c r="B151" t="inlineStr">
        <is>
          <t>G11</t>
        </is>
      </c>
      <c r="C151" t="inlineStr">
        <is>
          <t>'=G18</t>
        </is>
      </c>
      <c r="D151" t="inlineStr">
        <is>
          <t>e33485ee567401ffa98777f195ed697c07c3fd289ff1d8516e21777ca88880bf</t>
        </is>
      </c>
    </row>
    <row r="152">
      <c r="A152" t="inlineStr">
        <is>
          <t>附表5</t>
        </is>
      </c>
      <c r="B152" t="inlineStr">
        <is>
          <t>H11</t>
        </is>
      </c>
      <c r="C152" t="inlineStr">
        <is>
          <t>'=G19</t>
        </is>
      </c>
      <c r="D152" t="inlineStr">
        <is>
          <t>e2aec1441ffad82b2d8ea64cd1a704d206fb77f2c210e35bd506eeb47a3700de</t>
        </is>
      </c>
    </row>
    <row r="153">
      <c r="A153" t="inlineStr">
        <is>
          <t>附表5</t>
        </is>
      </c>
      <c r="B153" t="inlineStr">
        <is>
          <t>I11</t>
        </is>
      </c>
      <c r="C153" t="inlineStr">
        <is>
          <t>'=G20</t>
        </is>
      </c>
      <c r="D153" t="inlineStr">
        <is>
          <t>d23487311ba0c43237e3016b6ff9f75d59a6418023be964e66f103080bea1d3d</t>
        </is>
      </c>
    </row>
    <row r="154">
      <c r="A154" t="inlineStr">
        <is>
          <t>附表5</t>
        </is>
      </c>
      <c r="B154" t="inlineStr">
        <is>
          <t>J11</t>
        </is>
      </c>
      <c r="C154" t="inlineStr">
        <is>
          <t>'=G21</t>
        </is>
      </c>
      <c r="D154" t="inlineStr">
        <is>
          <t>6660d8bde084b2f81a1f5c49f114b55a041645bb4dd90fd138c8fd08417cf095</t>
        </is>
      </c>
    </row>
    <row r="155">
      <c r="A155" t="inlineStr">
        <is>
          <t>附表5</t>
        </is>
      </c>
      <c r="B155" t="inlineStr">
        <is>
          <t>K11</t>
        </is>
      </c>
      <c r="C155" t="inlineStr">
        <is>
          <t>'=G22</t>
        </is>
      </c>
      <c r="D155" t="inlineStr">
        <is>
          <t>47f176c3cbf94fd27a240a68b6e339a3ccff4cc63fdf2d697b571a0eb45dbcdf</t>
        </is>
      </c>
    </row>
    <row r="156">
      <c r="A156" t="inlineStr">
        <is>
          <t>附表5</t>
        </is>
      </c>
      <c r="B156" t="inlineStr">
        <is>
          <t>L11</t>
        </is>
      </c>
      <c r="C156" t="inlineStr">
        <is>
          <t>'=G23</t>
        </is>
      </c>
      <c r="D156" t="inlineStr">
        <is>
          <t>ad6dd1cbb711dcbbef9c285bf71326e6f8333d6389cf9c13ed4749837a3f404e</t>
        </is>
      </c>
    </row>
    <row r="157">
      <c r="A157" t="inlineStr">
        <is>
          <t>附表5</t>
        </is>
      </c>
      <c r="B157" t="inlineStr">
        <is>
          <t>M11</t>
        </is>
      </c>
      <c r="C157" t="inlineStr">
        <is>
          <t>'=G24</t>
        </is>
      </c>
      <c r="D157" t="inlineStr">
        <is>
          <t>e873a113f3cb6a4181ed56f6cbdbfe6533c7b52fff3d19a58074b39247c01639</t>
        </is>
      </c>
    </row>
    <row r="158">
      <c r="A158" t="inlineStr">
        <is>
          <t>附表5</t>
        </is>
      </c>
      <c r="B158" t="inlineStr">
        <is>
          <t>N11</t>
        </is>
      </c>
      <c r="C158" t="inlineStr">
        <is>
          <t>'=G25</t>
        </is>
      </c>
      <c r="D158" t="inlineStr">
        <is>
          <t>5c9ed5f0c2507d58baf81c8840b53532d1b826c768b1c9aa97384529d2db27dc</t>
        </is>
      </c>
    </row>
    <row r="159">
      <c r="A159" t="inlineStr">
        <is>
          <t>附表5</t>
        </is>
      </c>
      <c r="B159" t="inlineStr">
        <is>
          <t>O11</t>
        </is>
      </c>
      <c r="C159" t="inlineStr">
        <is>
          <t>'=G26</t>
        </is>
      </c>
      <c r="D159" t="inlineStr">
        <is>
          <t>9c211c3151fb83928955207b23369248324f0fd54a94dc3b1addd365a30dff80</t>
        </is>
      </c>
    </row>
    <row r="160">
      <c r="A160" t="inlineStr">
        <is>
          <t>附表5</t>
        </is>
      </c>
      <c r="B160" t="inlineStr">
        <is>
          <t>P11</t>
        </is>
      </c>
      <c r="C160" t="inlineStr">
        <is>
          <t>'=G27</t>
        </is>
      </c>
      <c r="D160" t="inlineStr">
        <is>
          <t>5231049cf6d05b433e90e145d16b63ea2e8b8ec44523ef42937ce141ca81fd4a</t>
        </is>
      </c>
    </row>
    <row r="161">
      <c r="A161" t="inlineStr">
        <is>
          <t>附表5</t>
        </is>
      </c>
      <c r="B161" t="inlineStr">
        <is>
          <t>Q11</t>
        </is>
      </c>
      <c r="C161" t="inlineStr">
        <is>
          <t>'=G28</t>
        </is>
      </c>
      <c r="D161" t="inlineStr">
        <is>
          <t>060cbac1a6ae6513ca39922e0f0d35a66d23b72e374dc927057e23581919bca3</t>
        </is>
      </c>
    </row>
    <row r="162">
      <c r="A162" t="inlineStr">
        <is>
          <t>附表5</t>
        </is>
      </c>
      <c r="B162" t="inlineStr">
        <is>
          <t>R11</t>
        </is>
      </c>
      <c r="C162" t="inlineStr">
        <is>
          <t>'=G29</t>
        </is>
      </c>
      <c r="D162" t="inlineStr">
        <is>
          <t>63f7466f532662973439dccf918138dc8040475193223e112c1cc51fc21bf570</t>
        </is>
      </c>
    </row>
    <row r="163">
      <c r="A163" t="inlineStr">
        <is>
          <t>附表5</t>
        </is>
      </c>
      <c r="B163" t="inlineStr">
        <is>
          <t>S11</t>
        </is>
      </c>
      <c r="C163" t="inlineStr">
        <is>
          <t>'=G30</t>
        </is>
      </c>
      <c r="D163" t="inlineStr">
        <is>
          <t>41fd488e5d3dd6fcbf4e5e5c633bfb51c90bb8a8439da9587acdd0f1ea211487</t>
        </is>
      </c>
    </row>
    <row r="164">
      <c r="A164" t="inlineStr">
        <is>
          <t>附表5</t>
        </is>
      </c>
      <c r="B164" t="inlineStr">
        <is>
          <t>T11</t>
        </is>
      </c>
      <c r="C164" t="inlineStr">
        <is>
          <t>'=G31</t>
        </is>
      </c>
      <c r="D164" t="inlineStr">
        <is>
          <t>eba155dad46081db9df400980508ff7210792d789827731d896df45abf543a45</t>
        </is>
      </c>
    </row>
    <row r="165">
      <c r="A165" t="inlineStr">
        <is>
          <t>附表5</t>
        </is>
      </c>
      <c r="B165" t="inlineStr">
        <is>
          <t>U11</t>
        </is>
      </c>
      <c r="C165" t="inlineStr">
        <is>
          <t>'=G32</t>
        </is>
      </c>
      <c r="D165" t="inlineStr">
        <is>
          <t>3e5861b287d5d10dfae0918c5b745b4c0be1390b467524ad5e06457ad9728224</t>
        </is>
      </c>
    </row>
    <row r="166">
      <c r="A166" t="inlineStr">
        <is>
          <t>附表5</t>
        </is>
      </c>
      <c r="B166" t="inlineStr">
        <is>
          <t>V11</t>
        </is>
      </c>
      <c r="C166" t="inlineStr">
        <is>
          <t>'=G33</t>
        </is>
      </c>
      <c r="D166" t="inlineStr">
        <is>
          <t>2424047923137c08b617a6624a3c5be2682085e9f7d0c6003e0555e69d25cce8</t>
        </is>
      </c>
    </row>
    <row r="167">
      <c r="A167" t="inlineStr">
        <is>
          <t>附表5</t>
        </is>
      </c>
      <c r="B167" t="inlineStr">
        <is>
          <t>W11</t>
        </is>
      </c>
      <c r="C167" t="inlineStr">
        <is>
          <t>'=G34</t>
        </is>
      </c>
      <c r="D167" t="inlineStr">
        <is>
          <t>02ff088281b9d9e1870b58f707ed6c7c80c4702e44545c413c2f0578ab21bb8c</t>
        </is>
      </c>
    </row>
    <row r="168">
      <c r="A168" t="inlineStr">
        <is>
          <t>附表5</t>
        </is>
      </c>
      <c r="B168" t="inlineStr">
        <is>
          <t>X11</t>
        </is>
      </c>
      <c r="C168" t="inlineStr">
        <is>
          <t>'=G35</t>
        </is>
      </c>
      <c r="D168" t="inlineStr">
        <is>
          <t>b37668a5de7c12c5dddc59ec1a23d37808355ca83f749818c9d283eb442637f0</t>
        </is>
      </c>
    </row>
    <row r="169">
      <c r="A169" t="inlineStr">
        <is>
          <t>附表5</t>
        </is>
      </c>
      <c r="B169" t="inlineStr">
        <is>
          <t>Y11</t>
        </is>
      </c>
      <c r="C169" t="inlineStr">
        <is>
          <t>'=G36</t>
        </is>
      </c>
      <c r="D169" t="inlineStr">
        <is>
          <t>3cdcffd14f7f5c5214c7a49334a833fe22c789caa5ebd9aee989e815d808ba0b</t>
        </is>
      </c>
    </row>
    <row r="170">
      <c r="A170" t="inlineStr">
        <is>
          <t>附表5</t>
        </is>
      </c>
      <c r="B170" t="inlineStr">
        <is>
          <t>Z11</t>
        </is>
      </c>
      <c r="C170" t="inlineStr">
        <is>
          <t>'=G37</t>
        </is>
      </c>
      <c r="D170" t="inlineStr">
        <is>
          <t>9a72d161b9e361d5e7e7e69d940f0e46950ac5327867a4c9909bf645763ebdf7</t>
        </is>
      </c>
    </row>
    <row r="171">
      <c r="A171" t="inlineStr">
        <is>
          <t>附表5</t>
        </is>
      </c>
      <c r="B171" t="inlineStr">
        <is>
          <t>AA11</t>
        </is>
      </c>
      <c r="C171" t="inlineStr">
        <is>
          <t>'=G38</t>
        </is>
      </c>
      <c r="D171" t="inlineStr">
        <is>
          <t>a44654774ab89a5fe352e183097de5beae27663426b8b5c90930c16f11615e37</t>
        </is>
      </c>
    </row>
    <row r="172">
      <c r="A172" t="inlineStr">
        <is>
          <t>附表5</t>
        </is>
      </c>
      <c r="B172" t="inlineStr">
        <is>
          <t>AB11</t>
        </is>
      </c>
      <c r="C172" t="inlineStr">
        <is>
          <t>'=G39</t>
        </is>
      </c>
      <c r="D172" t="inlineStr">
        <is>
          <t>f21ae9cb2bacdce99bda5f85274f725e695070f07235a27291f89c10357a8a43</t>
        </is>
      </c>
    </row>
    <row r="173">
      <c r="A173" t="inlineStr">
        <is>
          <t>附表5</t>
        </is>
      </c>
      <c r="B173" t="inlineStr">
        <is>
          <t>D12</t>
        </is>
      </c>
      <c r="C173" t="inlineStr">
        <is>
          <t>'=SUM(E12,F12,G12,H12,I12,J12,K12,L12,M12,N12,O12,P12,Q12,R12,S12,T12,U12,V12,W12,X12,Y12,Z12,AA12,AB12)</t>
        </is>
      </c>
      <c r="D173" t="inlineStr">
        <is>
          <t>0b75a6e391abcdf413387a2df1680ee6ff96737ca70d856a19a28f3e97d8be32</t>
        </is>
      </c>
    </row>
    <row r="174">
      <c r="A174" t="inlineStr">
        <is>
          <t>附表5</t>
        </is>
      </c>
      <c r="B174" t="inlineStr">
        <is>
          <t>E12</t>
        </is>
      </c>
      <c r="C174" t="inlineStr">
        <is>
          <t>'=H16</t>
        </is>
      </c>
      <c r="D174" t="inlineStr">
        <is>
          <t>2b66fe6376b9daeecd389744eff66dda110a759258b1f4562ab9761f2a6ec962</t>
        </is>
      </c>
    </row>
    <row r="175">
      <c r="A175" t="inlineStr">
        <is>
          <t>附表5</t>
        </is>
      </c>
      <c r="B175" t="inlineStr">
        <is>
          <t>F12</t>
        </is>
      </c>
      <c r="C175" t="inlineStr">
        <is>
          <t>'=H17</t>
        </is>
      </c>
      <c r="D175" t="inlineStr">
        <is>
          <t>6bfb69a4cc4067f3153d4ec862d0e6359ffaf2807defdc800b9aa55b1915e3b7</t>
        </is>
      </c>
    </row>
    <row r="176">
      <c r="A176" t="inlineStr">
        <is>
          <t>附表5</t>
        </is>
      </c>
      <c r="B176" t="inlineStr">
        <is>
          <t>G12</t>
        </is>
      </c>
      <c r="C176" t="inlineStr">
        <is>
          <t>'=H18</t>
        </is>
      </c>
      <c r="D176" t="inlineStr">
        <is>
          <t>2cd0c9f359c65781518a01472461bd0f11c0de7eb76a22d557a1eb9c902dd25d</t>
        </is>
      </c>
    </row>
    <row r="177">
      <c r="A177" t="inlineStr">
        <is>
          <t>附表5</t>
        </is>
      </c>
      <c r="B177" t="inlineStr">
        <is>
          <t>H12</t>
        </is>
      </c>
      <c r="C177" t="inlineStr">
        <is>
          <t>'=H19</t>
        </is>
      </c>
      <c r="D177" t="inlineStr">
        <is>
          <t>b93733b286ccf673a773d02825067ab7b246664e59c4103136de27608b366757</t>
        </is>
      </c>
    </row>
    <row r="178">
      <c r="A178" t="inlineStr">
        <is>
          <t>附表5</t>
        </is>
      </c>
      <c r="B178" t="inlineStr">
        <is>
          <t>I12</t>
        </is>
      </c>
      <c r="C178" t="inlineStr">
        <is>
          <t>'=H20</t>
        </is>
      </c>
      <c r="D178" t="inlineStr">
        <is>
          <t>14858732d9df1f52073e5b150806f15aaf2c3ed89e65fe464976596c542dd605</t>
        </is>
      </c>
    </row>
    <row r="179">
      <c r="A179" t="inlineStr">
        <is>
          <t>附表5</t>
        </is>
      </c>
      <c r="B179" t="inlineStr">
        <is>
          <t>J12</t>
        </is>
      </c>
      <c r="C179" t="inlineStr">
        <is>
          <t>'=H21</t>
        </is>
      </c>
      <c r="D179" t="inlineStr">
        <is>
          <t>e96a45833adda849aad3911b603e78d6623f6b225dda68e32e0c766618f03849</t>
        </is>
      </c>
    </row>
    <row r="180">
      <c r="A180" t="inlineStr">
        <is>
          <t>附表5</t>
        </is>
      </c>
      <c r="B180" t="inlineStr">
        <is>
          <t>K12</t>
        </is>
      </c>
      <c r="C180" t="inlineStr">
        <is>
          <t>'=H22</t>
        </is>
      </c>
      <c r="D180" t="inlineStr">
        <is>
          <t>99b2450b96866d3087e2398c2836596310d33e9a6dbc62751f5949e330a08738</t>
        </is>
      </c>
    </row>
    <row r="181">
      <c r="A181" t="inlineStr">
        <is>
          <t>附表5</t>
        </is>
      </c>
      <c r="B181" t="inlineStr">
        <is>
          <t>L12</t>
        </is>
      </c>
      <c r="C181" t="inlineStr">
        <is>
          <t>'=H23</t>
        </is>
      </c>
      <c r="D181" t="inlineStr">
        <is>
          <t>c72025bee0bc5840706ff43b20b655d4c95c6caf1e99630a64032436829c7c17</t>
        </is>
      </c>
    </row>
    <row r="182">
      <c r="A182" t="inlineStr">
        <is>
          <t>附表5</t>
        </is>
      </c>
      <c r="B182" t="inlineStr">
        <is>
          <t>M12</t>
        </is>
      </c>
      <c r="C182" t="inlineStr">
        <is>
          <t>'=H24</t>
        </is>
      </c>
      <c r="D182" t="inlineStr">
        <is>
          <t>8d0b1e84600282eca62b3424e9540db362083b1975228dbedc985f087cc8e1b3</t>
        </is>
      </c>
    </row>
    <row r="183">
      <c r="A183" t="inlineStr">
        <is>
          <t>附表5</t>
        </is>
      </c>
      <c r="B183" t="inlineStr">
        <is>
          <t>N12</t>
        </is>
      </c>
      <c r="C183" t="inlineStr">
        <is>
          <t>'=H25</t>
        </is>
      </c>
      <c r="D183" t="inlineStr">
        <is>
          <t>7fe644f4c1ede5f733c14eea39a1a9a1c7513224b6eccb11df9fcb7955e967d1</t>
        </is>
      </c>
    </row>
    <row r="184">
      <c r="A184" t="inlineStr">
        <is>
          <t>附表5</t>
        </is>
      </c>
      <c r="B184" t="inlineStr">
        <is>
          <t>O12</t>
        </is>
      </c>
      <c r="C184" t="inlineStr">
        <is>
          <t>'=H26</t>
        </is>
      </c>
      <c r="D184" t="inlineStr">
        <is>
          <t>d8fb3d229df8698e8d47b7d66bbca5ffddf4740d2a7e3aab7695b6d306959394</t>
        </is>
      </c>
    </row>
    <row r="185">
      <c r="A185" t="inlineStr">
        <is>
          <t>附表5</t>
        </is>
      </c>
      <c r="B185" t="inlineStr">
        <is>
          <t>P12</t>
        </is>
      </c>
      <c r="C185" t="inlineStr">
        <is>
          <t>'=H27</t>
        </is>
      </c>
      <c r="D185" t="inlineStr">
        <is>
          <t>fc660f4cd545d3c398b76e857966ea1ff6c1352deec67afbc7b988cde7991d77</t>
        </is>
      </c>
    </row>
    <row r="186">
      <c r="A186" t="inlineStr">
        <is>
          <t>附表5</t>
        </is>
      </c>
      <c r="B186" t="inlineStr">
        <is>
          <t>Q12</t>
        </is>
      </c>
      <c r="C186" t="inlineStr">
        <is>
          <t>'=H28</t>
        </is>
      </c>
      <c r="D186" t="inlineStr">
        <is>
          <t>8272d75fbea47801d43688c2491bb00d0a5a8c69f8aae4a036684314c0acafa6</t>
        </is>
      </c>
    </row>
    <row r="187">
      <c r="A187" t="inlineStr">
        <is>
          <t>附表5</t>
        </is>
      </c>
      <c r="B187" t="inlineStr">
        <is>
          <t>R12</t>
        </is>
      </c>
      <c r="C187" t="inlineStr">
        <is>
          <t>'=H29</t>
        </is>
      </c>
      <c r="D187" t="inlineStr">
        <is>
          <t>31f0dea7ffd623287e9ff827b3672ad7eb78cdc1d789dc4d7b9f7387ce85fb49</t>
        </is>
      </c>
    </row>
    <row r="188">
      <c r="A188" t="inlineStr">
        <is>
          <t>附表5</t>
        </is>
      </c>
      <c r="B188" t="inlineStr">
        <is>
          <t>S12</t>
        </is>
      </c>
      <c r="C188" t="inlineStr">
        <is>
          <t>'=H30</t>
        </is>
      </c>
      <c r="D188" t="inlineStr">
        <is>
          <t>bf18e57a36fdb0fa286b8edf8ae91887839dce5d2e5865b905e5d29cf16aaf3d</t>
        </is>
      </c>
    </row>
    <row r="189">
      <c r="A189" t="inlineStr">
        <is>
          <t>附表5</t>
        </is>
      </c>
      <c r="B189" t="inlineStr">
        <is>
          <t>T12</t>
        </is>
      </c>
      <c r="C189" t="inlineStr">
        <is>
          <t>'=H31</t>
        </is>
      </c>
      <c r="D189" t="inlineStr">
        <is>
          <t>6fbfebce6890494a02b551d89fdc984985058303642263622a40bf2417078fbf</t>
        </is>
      </c>
    </row>
    <row r="190">
      <c r="A190" t="inlineStr">
        <is>
          <t>附表5</t>
        </is>
      </c>
      <c r="B190" t="inlineStr">
        <is>
          <t>U12</t>
        </is>
      </c>
      <c r="C190" t="inlineStr">
        <is>
          <t>'=H32</t>
        </is>
      </c>
      <c r="D190" t="inlineStr">
        <is>
          <t>47a52dc78fdf16a9ad7f8ac3893cb2331acf56bedc99b61790a87d61ca993a0b</t>
        </is>
      </c>
    </row>
    <row r="191">
      <c r="A191" t="inlineStr">
        <is>
          <t>附表5</t>
        </is>
      </c>
      <c r="B191" t="inlineStr">
        <is>
          <t>V12</t>
        </is>
      </c>
      <c r="C191" t="inlineStr">
        <is>
          <t>'=H33</t>
        </is>
      </c>
      <c r="D191" t="inlineStr">
        <is>
          <t>63035af1ad631060eb266fc710663ddabcccf9484581e813935b41662a3cace4</t>
        </is>
      </c>
    </row>
    <row r="192">
      <c r="A192" t="inlineStr">
        <is>
          <t>附表5</t>
        </is>
      </c>
      <c r="B192" t="inlineStr">
        <is>
          <t>W12</t>
        </is>
      </c>
      <c r="C192" t="inlineStr">
        <is>
          <t>'=H34</t>
        </is>
      </c>
      <c r="D192" t="inlineStr">
        <is>
          <t>1e0864270237a415b46d4a19c3ac2ac68618a28d08561a0460c7ceab11b2a458</t>
        </is>
      </c>
    </row>
    <row r="193">
      <c r="A193" t="inlineStr">
        <is>
          <t>附表5</t>
        </is>
      </c>
      <c r="B193" t="inlineStr">
        <is>
          <t>X12</t>
        </is>
      </c>
      <c r="C193" t="inlineStr">
        <is>
          <t>'=H35</t>
        </is>
      </c>
      <c r="D193" t="inlineStr">
        <is>
          <t>e3a90c345cce2e508a421c6aced25d7d862dc0c0a04c15070caa45927796f2bd</t>
        </is>
      </c>
    </row>
    <row r="194">
      <c r="A194" t="inlineStr">
        <is>
          <t>附表5</t>
        </is>
      </c>
      <c r="B194" t="inlineStr">
        <is>
          <t>Y12</t>
        </is>
      </c>
      <c r="C194" t="inlineStr">
        <is>
          <t>'=H36</t>
        </is>
      </c>
      <c r="D194" t="inlineStr">
        <is>
          <t>76efe60b5f62fd80f1c28260f60e07519fe7c7caf191bd10cdd1a8005cff78af</t>
        </is>
      </c>
    </row>
    <row r="195">
      <c r="A195" t="inlineStr">
        <is>
          <t>附表5</t>
        </is>
      </c>
      <c r="B195" t="inlineStr">
        <is>
          <t>Z12</t>
        </is>
      </c>
      <c r="C195" t="inlineStr">
        <is>
          <t>'=H37</t>
        </is>
      </c>
      <c r="D195" t="inlineStr">
        <is>
          <t>415d82ace76e427764c8f9f1a68174cae19ab2cdc09775e575bee3aec994362d</t>
        </is>
      </c>
    </row>
    <row r="196">
      <c r="A196" t="inlineStr">
        <is>
          <t>附表5</t>
        </is>
      </c>
      <c r="B196" t="inlineStr">
        <is>
          <t>AA12</t>
        </is>
      </c>
      <c r="C196" t="inlineStr">
        <is>
          <t>'=H38</t>
        </is>
      </c>
      <c r="D196" t="inlineStr">
        <is>
          <t>b8ba4d13fbd7df659a49a751b176d3d910b7195e099a90d842b96bd051376050</t>
        </is>
      </c>
    </row>
    <row r="197">
      <c r="A197" t="inlineStr">
        <is>
          <t>附表5</t>
        </is>
      </c>
      <c r="B197" t="inlineStr">
        <is>
          <t>AB12</t>
        </is>
      </c>
      <c r="C197" t="inlineStr">
        <is>
          <t>'=H39</t>
        </is>
      </c>
      <c r="D197" t="inlineStr">
        <is>
          <t>ec171282b89697f50fb62c1734d4ea481150e6499a6b59a86f98c9624dc673d4</t>
        </is>
      </c>
    </row>
    <row r="198">
      <c r="A198" t="inlineStr">
        <is>
          <t>附表5</t>
        </is>
      </c>
      <c r="B198" t="inlineStr">
        <is>
          <t>B42</t>
        </is>
      </c>
      <c r="C198" t="inlineStr">
        <is>
          <t>'='附表6'!A16</t>
        </is>
      </c>
      <c r="D198" t="inlineStr">
        <is>
          <t>e9224cbc17779d2d0759671efd869586f98efc1a61ce19a04a9aac1d75372c12</t>
        </is>
      </c>
    </row>
    <row r="199">
      <c r="A199" t="inlineStr">
        <is>
          <t>附表6</t>
        </is>
      </c>
      <c r="B199" t="inlineStr">
        <is>
          <t>C5</t>
        </is>
      </c>
      <c r="C199" t="inlineStr">
        <is>
          <t>'=SUM(D5,E5,F5,G5,H5,I5,J5,K5,L5,M5,N5,O5,P5,Q5,R5,S5,T5,U5,V5,W5,X5,Y5,Z5,AA5)</t>
        </is>
      </c>
      <c r="D199" t="inlineStr">
        <is>
          <t>7eb38897a27409e5bfbfdb8ab403ca8076aef30465ca0a03d3f7c643d0faa79a</t>
        </is>
      </c>
    </row>
    <row r="200">
      <c r="A200" t="inlineStr">
        <is>
          <t>附表6</t>
        </is>
      </c>
      <c r="B200" t="inlineStr">
        <is>
          <t>D5</t>
        </is>
      </c>
      <c r="C200" t="inlineStr">
        <is>
          <t>'=B16</t>
        </is>
      </c>
      <c r="D200" t="inlineStr">
        <is>
          <t>d0857ed5402c2011ed19228a0c3765ae92f82ab289f87483dc4862d42dbd907c</t>
        </is>
      </c>
    </row>
    <row r="201">
      <c r="A201" t="inlineStr">
        <is>
          <t>附表6</t>
        </is>
      </c>
      <c r="B201" t="inlineStr">
        <is>
          <t>E5</t>
        </is>
      </c>
      <c r="C201" t="inlineStr">
        <is>
          <t>'=B17</t>
        </is>
      </c>
      <c r="D201" t="inlineStr">
        <is>
          <t>02a9454271dbb7a8285f366e0e7b06e9ef9a43b4d8c0efd177b48badc97a6c30</t>
        </is>
      </c>
    </row>
    <row r="202">
      <c r="A202" t="inlineStr">
        <is>
          <t>附表6</t>
        </is>
      </c>
      <c r="B202" t="inlineStr">
        <is>
          <t>F5</t>
        </is>
      </c>
      <c r="C202" t="inlineStr">
        <is>
          <t>'=B18</t>
        </is>
      </c>
      <c r="D202" t="inlineStr">
        <is>
          <t>cfd77b300bfc858339f0558a805e8322e95e8a2719f02c3c985bbcfd156e27ef</t>
        </is>
      </c>
    </row>
    <row r="203">
      <c r="A203" t="inlineStr">
        <is>
          <t>附表6</t>
        </is>
      </c>
      <c r="B203" t="inlineStr">
        <is>
          <t>G5</t>
        </is>
      </c>
      <c r="C203" t="inlineStr">
        <is>
          <t>'=B19</t>
        </is>
      </c>
      <c r="D203" t="inlineStr">
        <is>
          <t>3e2ae012073edd4a07e54a8fdb2710ff10c134de84abfb8de6844b154dd8a3b9</t>
        </is>
      </c>
    </row>
    <row r="204">
      <c r="A204" t="inlineStr">
        <is>
          <t>附表6</t>
        </is>
      </c>
      <c r="B204" t="inlineStr">
        <is>
          <t>H5</t>
        </is>
      </c>
      <c r="C204" t="inlineStr">
        <is>
          <t>'=B20</t>
        </is>
      </c>
      <c r="D204" t="inlineStr">
        <is>
          <t>a1fa19e9a6ee38ef5da4fd2ce60e31d82093c91aba8b5382f3eaf6c647fda908</t>
        </is>
      </c>
    </row>
    <row r="205">
      <c r="A205" t="inlineStr">
        <is>
          <t>附表6</t>
        </is>
      </c>
      <c r="B205" t="inlineStr">
        <is>
          <t>I5</t>
        </is>
      </c>
      <c r="C205" t="inlineStr">
        <is>
          <t>'=B21</t>
        </is>
      </c>
      <c r="D205" t="inlineStr">
        <is>
          <t>2334565805e22a2e57c89495083e0dfecabce53afceb7dab4e2a7a295b5e482a</t>
        </is>
      </c>
    </row>
    <row r="206">
      <c r="A206" t="inlineStr">
        <is>
          <t>附表6</t>
        </is>
      </c>
      <c r="B206" t="inlineStr">
        <is>
          <t>J5</t>
        </is>
      </c>
      <c r="C206" t="inlineStr">
        <is>
          <t>'=B22</t>
        </is>
      </c>
      <c r="D206" t="inlineStr">
        <is>
          <t>bd55956b52c5699d827d55ed878fb4555be7e127e0fc9166eddba521ca32cf20</t>
        </is>
      </c>
    </row>
    <row r="207">
      <c r="A207" t="inlineStr">
        <is>
          <t>附表6</t>
        </is>
      </c>
      <c r="B207" t="inlineStr">
        <is>
          <t>K5</t>
        </is>
      </c>
      <c r="C207" t="inlineStr">
        <is>
          <t>'=B23</t>
        </is>
      </c>
      <c r="D207" t="inlineStr">
        <is>
          <t>5158e88df38b56e53b2fcc616f157d4ebcbaf9f5cf28ff781d2282e26fc56d12</t>
        </is>
      </c>
    </row>
    <row r="208">
      <c r="A208" t="inlineStr">
        <is>
          <t>附表6</t>
        </is>
      </c>
      <c r="B208" t="inlineStr">
        <is>
          <t>L5</t>
        </is>
      </c>
      <c r="C208" t="inlineStr">
        <is>
          <t>'=B24</t>
        </is>
      </c>
      <c r="D208" t="inlineStr">
        <is>
          <t>730ae340688638a1a27e70cd6c0feac2f8dfddd026da6b70f7a92767282ac1a7</t>
        </is>
      </c>
    </row>
    <row r="209">
      <c r="A209" t="inlineStr">
        <is>
          <t>附表6</t>
        </is>
      </c>
      <c r="B209" t="inlineStr">
        <is>
          <t>M5</t>
        </is>
      </c>
      <c r="C209" t="inlineStr">
        <is>
          <t>'=B25</t>
        </is>
      </c>
      <c r="D209" t="inlineStr">
        <is>
          <t>c21ed6eaeeaff854fbfc0606c99b43d86641bfc3849e8a054136c1cac2d287f9</t>
        </is>
      </c>
    </row>
    <row r="210">
      <c r="A210" t="inlineStr">
        <is>
          <t>附表6</t>
        </is>
      </c>
      <c r="B210" t="inlineStr">
        <is>
          <t>N5</t>
        </is>
      </c>
      <c r="C210" t="inlineStr">
        <is>
          <t>'=B26</t>
        </is>
      </c>
      <c r="D210" t="inlineStr">
        <is>
          <t>4decc89728bfcc1c2aa9917cc46d876371a0ea32aaf679167d722770a80bc615</t>
        </is>
      </c>
    </row>
    <row r="211">
      <c r="A211" t="inlineStr">
        <is>
          <t>附表6</t>
        </is>
      </c>
      <c r="B211" t="inlineStr">
        <is>
          <t>O5</t>
        </is>
      </c>
      <c r="C211" t="inlineStr">
        <is>
          <t>'=B27</t>
        </is>
      </c>
      <c r="D211" t="inlineStr">
        <is>
          <t>35edf781c8cfa2cfa5acda1a912d588d3cc55565144e9c1be4d5d8e1231d8c14</t>
        </is>
      </c>
    </row>
    <row r="212">
      <c r="A212" t="inlineStr">
        <is>
          <t>附表6</t>
        </is>
      </c>
      <c r="B212" t="inlineStr">
        <is>
          <t>P5</t>
        </is>
      </c>
      <c r="C212" t="inlineStr">
        <is>
          <t>'=B28</t>
        </is>
      </c>
      <c r="D212" t="inlineStr">
        <is>
          <t>8213bbad3ef16d77a645a6d4b8f67525a2d9d7686c52bf681588f0708915cd16</t>
        </is>
      </c>
    </row>
    <row r="213">
      <c r="A213" t="inlineStr">
        <is>
          <t>附表6</t>
        </is>
      </c>
      <c r="B213" t="inlineStr">
        <is>
          <t>Q5</t>
        </is>
      </c>
      <c r="C213" t="inlineStr">
        <is>
          <t>'=B29</t>
        </is>
      </c>
      <c r="D213" t="inlineStr">
        <is>
          <t>18a599c3727733e7da2c2ce7ef2bfcd7db41fbe9b2440bf38d8a966076790399</t>
        </is>
      </c>
    </row>
    <row r="214">
      <c r="A214" t="inlineStr">
        <is>
          <t>附表6</t>
        </is>
      </c>
      <c r="B214" t="inlineStr">
        <is>
          <t>R5</t>
        </is>
      </c>
      <c r="C214" t="inlineStr">
        <is>
          <t>'=B30</t>
        </is>
      </c>
      <c r="D214" t="inlineStr">
        <is>
          <t>7d60414b56386b27d6ca510adb8e9b97c26c7028a90da9ead19ee06dc4718ec3</t>
        </is>
      </c>
    </row>
    <row r="215">
      <c r="A215" t="inlineStr">
        <is>
          <t>附表6</t>
        </is>
      </c>
      <c r="B215" t="inlineStr">
        <is>
          <t>S5</t>
        </is>
      </c>
      <c r="C215" t="inlineStr">
        <is>
          <t>'=B31</t>
        </is>
      </c>
      <c r="D215" t="inlineStr">
        <is>
          <t>abccdd472cd69b2c7da65d1710eec828869b6e65bd053ebc6edd9a0ccd6fd8ae</t>
        </is>
      </c>
    </row>
    <row r="216">
      <c r="A216" t="inlineStr">
        <is>
          <t>附表6</t>
        </is>
      </c>
      <c r="B216" t="inlineStr">
        <is>
          <t>T5</t>
        </is>
      </c>
      <c r="C216" t="inlineStr">
        <is>
          <t>'=B32</t>
        </is>
      </c>
      <c r="D216" t="inlineStr">
        <is>
          <t>3077aa330b73350bcce41e9dadebfd0fcb7b7c5b85503121270d7b0d96d17f93</t>
        </is>
      </c>
    </row>
    <row r="217">
      <c r="A217" t="inlineStr">
        <is>
          <t>附表6</t>
        </is>
      </c>
      <c r="B217" t="inlineStr">
        <is>
          <t>U5</t>
        </is>
      </c>
      <c r="C217" t="inlineStr">
        <is>
          <t>'=B33</t>
        </is>
      </c>
      <c r="D217" t="inlineStr">
        <is>
          <t>c1ba1c9812a1b4b9224eb3ded96378cd1be4d6dd4b8113c5a63fdefd419de1a5</t>
        </is>
      </c>
    </row>
    <row r="218">
      <c r="A218" t="inlineStr">
        <is>
          <t>附表6</t>
        </is>
      </c>
      <c r="B218" t="inlineStr">
        <is>
          <t>V5</t>
        </is>
      </c>
      <c r="C218" t="inlineStr">
        <is>
          <t>'=B34</t>
        </is>
      </c>
      <c r="D218" t="inlineStr">
        <is>
          <t>59c2543dbd59c4cb098c37ec6ba4ff0573708c937fb318b3fc2efebf1e849171</t>
        </is>
      </c>
    </row>
    <row r="219">
      <c r="A219" t="inlineStr">
        <is>
          <t>附表6</t>
        </is>
      </c>
      <c r="B219" t="inlineStr">
        <is>
          <t>W5</t>
        </is>
      </c>
      <c r="C219" t="inlineStr">
        <is>
          <t>'=B35</t>
        </is>
      </c>
      <c r="D219" t="inlineStr">
        <is>
          <t>b510efda07cced1658ffc3ba167329bbf2e1a3e67eeff3064c1e313940ccd558</t>
        </is>
      </c>
    </row>
    <row r="220">
      <c r="A220" t="inlineStr">
        <is>
          <t>附表6</t>
        </is>
      </c>
      <c r="B220" t="inlineStr">
        <is>
          <t>X5</t>
        </is>
      </c>
      <c r="C220" t="inlineStr">
        <is>
          <t>'=B36</t>
        </is>
      </c>
      <c r="D220" t="inlineStr">
        <is>
          <t>9cc4653054b3b00a4899449a791405dd1f3f20d6bea0298c5d35e49c6ceabd30</t>
        </is>
      </c>
    </row>
    <row r="221">
      <c r="A221" t="inlineStr">
        <is>
          <t>附表6</t>
        </is>
      </c>
      <c r="B221" t="inlineStr">
        <is>
          <t>Y5</t>
        </is>
      </c>
      <c r="C221" t="inlineStr">
        <is>
          <t>'=B37</t>
        </is>
      </c>
      <c r="D221" t="inlineStr">
        <is>
          <t>b49709eb7129425f298b72beace6f4f071554e76db3592ac289d7d48b6c2cdbb</t>
        </is>
      </c>
    </row>
    <row r="222">
      <c r="A222" t="inlineStr">
        <is>
          <t>附表6</t>
        </is>
      </c>
      <c r="B222" t="inlineStr">
        <is>
          <t>Z5</t>
        </is>
      </c>
      <c r="C222" t="inlineStr">
        <is>
          <t>'=B38</t>
        </is>
      </c>
      <c r="D222" t="inlineStr">
        <is>
          <t>ca6fb43762cb4a9675bf3cc6c00130b70563b37c1717fee363fa5ca0b7ae3e15</t>
        </is>
      </c>
    </row>
    <row r="223">
      <c r="A223" t="inlineStr">
        <is>
          <t>附表6</t>
        </is>
      </c>
      <c r="B223" t="inlineStr">
        <is>
          <t>AA5</t>
        </is>
      </c>
      <c r="C223" t="inlineStr">
        <is>
          <t>'=B39</t>
        </is>
      </c>
      <c r="D223" t="inlineStr">
        <is>
          <t>4443f76d6fe7712dd63282662e3fffc237f1d3b5d376e569fe662ca15da98f13</t>
        </is>
      </c>
    </row>
    <row r="224">
      <c r="A224" t="inlineStr">
        <is>
          <t>附表6</t>
        </is>
      </c>
      <c r="B224" t="inlineStr">
        <is>
          <t>C6</t>
        </is>
      </c>
      <c r="C224" t="inlineStr">
        <is>
          <t>'=SUM(D6,E6,F6,G6,H6,I6,J6,K6,L6,M6,N6,O6,P6,Q6,R6,S6,T6,U6,V6,W6,X6,Y6,Z6,AA6)</t>
        </is>
      </c>
      <c r="D224" t="inlineStr">
        <is>
          <t>a2156f20dcbde6e2fd846aa7e2975a35655ccdd13e654601085c7aacfe189694</t>
        </is>
      </c>
    </row>
    <row r="225">
      <c r="A225" t="inlineStr">
        <is>
          <t>附表6</t>
        </is>
      </c>
      <c r="B225" t="inlineStr">
        <is>
          <t>D6</t>
        </is>
      </c>
      <c r="C225" t="inlineStr">
        <is>
          <t>'=C16</t>
        </is>
      </c>
      <c r="D225" t="inlineStr">
        <is>
          <t>6aa82f91fc064548a7d8a91f75ab340ed9cb1f518c73c99e6b010fa1e307a643</t>
        </is>
      </c>
    </row>
    <row r="226">
      <c r="A226" t="inlineStr">
        <is>
          <t>附表6</t>
        </is>
      </c>
      <c r="B226" t="inlineStr">
        <is>
          <t>E6</t>
        </is>
      </c>
      <c r="C226" t="inlineStr">
        <is>
          <t>'=C17</t>
        </is>
      </c>
      <c r="D226" t="inlineStr">
        <is>
          <t>da8a543faf334e550b7c6b7c0f9456ae45a58cd3cba9e7d6460e9d48dbd65f29</t>
        </is>
      </c>
    </row>
    <row r="227">
      <c r="A227" t="inlineStr">
        <is>
          <t>附表6</t>
        </is>
      </c>
      <c r="B227" t="inlineStr">
        <is>
          <t>F6</t>
        </is>
      </c>
      <c r="C227" t="inlineStr">
        <is>
          <t>'=C18</t>
        </is>
      </c>
      <c r="D227" t="inlineStr">
        <is>
          <t>a8ce5e60f2979a7ae7ba81a83bc9064dfce1fd8f9a80c956464623465f68cd5b</t>
        </is>
      </c>
    </row>
    <row r="228">
      <c r="A228" t="inlineStr">
        <is>
          <t>附表6</t>
        </is>
      </c>
      <c r="B228" t="inlineStr">
        <is>
          <t>G6</t>
        </is>
      </c>
      <c r="C228" t="inlineStr">
        <is>
          <t>'=C19</t>
        </is>
      </c>
      <c r="D228" t="inlineStr">
        <is>
          <t>0e0e88f3a974ee67ae174e1fd3e8b6198f0b7cfa6216e3cf5536fdc2efc7f66e</t>
        </is>
      </c>
    </row>
    <row r="229">
      <c r="A229" t="inlineStr">
        <is>
          <t>附表6</t>
        </is>
      </c>
      <c r="B229" t="inlineStr">
        <is>
          <t>H6</t>
        </is>
      </c>
      <c r="C229" t="inlineStr">
        <is>
          <t>'=C20</t>
        </is>
      </c>
      <c r="D229" t="inlineStr">
        <is>
          <t>3af5621e34aadf68971d356d9efa547567a481ccff556263c8ba281f03bc43a6</t>
        </is>
      </c>
    </row>
    <row r="230">
      <c r="A230" t="inlineStr">
        <is>
          <t>附表6</t>
        </is>
      </c>
      <c r="B230" t="inlineStr">
        <is>
          <t>I6</t>
        </is>
      </c>
      <c r="C230" t="inlineStr">
        <is>
          <t>'=C21</t>
        </is>
      </c>
      <c r="D230" t="inlineStr">
        <is>
          <t>193d833d5845b71462b0e6a7b8b7020e53dde9a9ed39e179c34bc0f0adc0b4c9</t>
        </is>
      </c>
    </row>
    <row r="231">
      <c r="A231" t="inlineStr">
        <is>
          <t>附表6</t>
        </is>
      </c>
      <c r="B231" t="inlineStr">
        <is>
          <t>J6</t>
        </is>
      </c>
      <c r="C231" t="inlineStr">
        <is>
          <t>'=C22</t>
        </is>
      </c>
      <c r="D231" t="inlineStr">
        <is>
          <t>b54cb7b64dd32ac59e29d233fecbde4cd312e1feece9875bd2e06af3b567e145</t>
        </is>
      </c>
    </row>
    <row r="232">
      <c r="A232" t="inlineStr">
        <is>
          <t>附表6</t>
        </is>
      </c>
      <c r="B232" t="inlineStr">
        <is>
          <t>K6</t>
        </is>
      </c>
      <c r="C232" t="inlineStr">
        <is>
          <t>'=C23</t>
        </is>
      </c>
      <c r="D232" t="inlineStr">
        <is>
          <t>5c58f73364d112963d14b8d9d1acc46721d8fcf964f5079173fab94af4c2d65c</t>
        </is>
      </c>
    </row>
    <row r="233">
      <c r="A233" t="inlineStr">
        <is>
          <t>附表6</t>
        </is>
      </c>
      <c r="B233" t="inlineStr">
        <is>
          <t>L6</t>
        </is>
      </c>
      <c r="C233" t="inlineStr">
        <is>
          <t>'=C24</t>
        </is>
      </c>
      <c r="D233" t="inlineStr">
        <is>
          <t>43de46d09a807da850b11cf4b9f825e6af7dfa0f1e1d17f3b5132f95ade83149</t>
        </is>
      </c>
    </row>
    <row r="234">
      <c r="A234" t="inlineStr">
        <is>
          <t>附表6</t>
        </is>
      </c>
      <c r="B234" t="inlineStr">
        <is>
          <t>M6</t>
        </is>
      </c>
      <c r="C234" t="inlineStr">
        <is>
          <t>'=C25</t>
        </is>
      </c>
      <c r="D234" t="inlineStr">
        <is>
          <t>c3acf3980d9d88544df14844f1b5fd3b75c5cd442835abb01f8b548fe4691fb8</t>
        </is>
      </c>
    </row>
    <row r="235">
      <c r="A235" t="inlineStr">
        <is>
          <t>附表6</t>
        </is>
      </c>
      <c r="B235" t="inlineStr">
        <is>
          <t>N6</t>
        </is>
      </c>
      <c r="C235" t="inlineStr">
        <is>
          <t>'=C26</t>
        </is>
      </c>
      <c r="D235" t="inlineStr">
        <is>
          <t>e4753ba3f76f3fc83415ab8d8cdd8a77e5b51ec6d834ff84419687a0d53db51d</t>
        </is>
      </c>
    </row>
    <row r="236">
      <c r="A236" t="inlineStr">
        <is>
          <t>附表6</t>
        </is>
      </c>
      <c r="B236" t="inlineStr">
        <is>
          <t>O6</t>
        </is>
      </c>
      <c r="C236" t="inlineStr">
        <is>
          <t>'=C27</t>
        </is>
      </c>
      <c r="D236" t="inlineStr">
        <is>
          <t>ab0890b218feaa9f139fb33cb49c96ae21bf6b19ff47660914d0ddfe03c0c89d</t>
        </is>
      </c>
    </row>
    <row r="237">
      <c r="A237" t="inlineStr">
        <is>
          <t>附表6</t>
        </is>
      </c>
      <c r="B237" t="inlineStr">
        <is>
          <t>P6</t>
        </is>
      </c>
      <c r="C237" t="inlineStr">
        <is>
          <t>'=C28</t>
        </is>
      </c>
      <c r="D237" t="inlineStr">
        <is>
          <t>6f165d5c9a22dffda1501afe7729c38a8ed47bbf34119815eb6eb389fc2efa8c</t>
        </is>
      </c>
    </row>
    <row r="238">
      <c r="A238" t="inlineStr">
        <is>
          <t>附表6</t>
        </is>
      </c>
      <c r="B238" t="inlineStr">
        <is>
          <t>Q6</t>
        </is>
      </c>
      <c r="C238" t="inlineStr">
        <is>
          <t>'=C29</t>
        </is>
      </c>
      <c r="D238" t="inlineStr">
        <is>
          <t>91618ce5f53efbc38bc637dfecc12775fb5be6fac2a45d04b3242b703f91946f</t>
        </is>
      </c>
    </row>
    <row r="239">
      <c r="A239" t="inlineStr">
        <is>
          <t>附表6</t>
        </is>
      </c>
      <c r="B239" t="inlineStr">
        <is>
          <t>R6</t>
        </is>
      </c>
      <c r="C239" t="inlineStr">
        <is>
          <t>'=C30</t>
        </is>
      </c>
      <c r="D239" t="inlineStr">
        <is>
          <t>7053b1f84c72798ad508eec0f3c2f765842a6bba85da663101b39bbd58c7eda0</t>
        </is>
      </c>
    </row>
    <row r="240">
      <c r="A240" t="inlineStr">
        <is>
          <t>附表6</t>
        </is>
      </c>
      <c r="B240" t="inlineStr">
        <is>
          <t>S6</t>
        </is>
      </c>
      <c r="C240" t="inlineStr">
        <is>
          <t>'=C31</t>
        </is>
      </c>
      <c r="D240" t="inlineStr">
        <is>
          <t>3af8c58aa833fff592c980eedb0711e9c708061c49798f04722298d64d9f80b7</t>
        </is>
      </c>
    </row>
    <row r="241">
      <c r="A241" t="inlineStr">
        <is>
          <t>附表6</t>
        </is>
      </c>
      <c r="B241" t="inlineStr">
        <is>
          <t>T6</t>
        </is>
      </c>
      <c r="C241" t="inlineStr">
        <is>
          <t>'=C32</t>
        </is>
      </c>
      <c r="D241" t="inlineStr">
        <is>
          <t>64bed7883bbcb4cee222cf94bd9058653bf9c19cbfad6f7c876d439826db21a7</t>
        </is>
      </c>
    </row>
    <row r="242">
      <c r="A242" t="inlineStr">
        <is>
          <t>附表6</t>
        </is>
      </c>
      <c r="B242" t="inlineStr">
        <is>
          <t>U6</t>
        </is>
      </c>
      <c r="C242" t="inlineStr">
        <is>
          <t>'=C33</t>
        </is>
      </c>
      <c r="D242" t="inlineStr">
        <is>
          <t>107f76788d629db052c128792f733da226e3970752f3807f05fe92d0ba77ffcc</t>
        </is>
      </c>
    </row>
    <row r="243">
      <c r="A243" t="inlineStr">
        <is>
          <t>附表6</t>
        </is>
      </c>
      <c r="B243" t="inlineStr">
        <is>
          <t>V6</t>
        </is>
      </c>
      <c r="C243" t="inlineStr">
        <is>
          <t>'=C34</t>
        </is>
      </c>
      <c r="D243" t="inlineStr">
        <is>
          <t>1f7b734b8ef59d0aa0d31dafe489144061301fd53957fd6c4b107290278fb509</t>
        </is>
      </c>
    </row>
    <row r="244">
      <c r="A244" t="inlineStr">
        <is>
          <t>附表6</t>
        </is>
      </c>
      <c r="B244" t="inlineStr">
        <is>
          <t>W6</t>
        </is>
      </c>
      <c r="C244" t="inlineStr">
        <is>
          <t>'=C35</t>
        </is>
      </c>
      <c r="D244" t="inlineStr">
        <is>
          <t>d08b330c4cc3b8679105499e6f78c8d8490a7631f3e97f996ad72e72b56b2152</t>
        </is>
      </c>
    </row>
    <row r="245">
      <c r="A245" t="inlineStr">
        <is>
          <t>附表6</t>
        </is>
      </c>
      <c r="B245" t="inlineStr">
        <is>
          <t>X6</t>
        </is>
      </c>
      <c r="C245" t="inlineStr">
        <is>
          <t>'=C36</t>
        </is>
      </c>
      <c r="D245" t="inlineStr">
        <is>
          <t>7bb337d05f0c53978d99f25a46a9cd4415d01ec63196efbdb88bdb7922c3991a</t>
        </is>
      </c>
    </row>
    <row r="246">
      <c r="A246" t="inlineStr">
        <is>
          <t>附表6</t>
        </is>
      </c>
      <c r="B246" t="inlineStr">
        <is>
          <t>Y6</t>
        </is>
      </c>
      <c r="C246" t="inlineStr">
        <is>
          <t>'=C37</t>
        </is>
      </c>
      <c r="D246" t="inlineStr">
        <is>
          <t>71816f9491558462d1cb75a53d9f4300bd7c9a147feb8a7246af285ba0fed056</t>
        </is>
      </c>
    </row>
    <row r="247">
      <c r="A247" t="inlineStr">
        <is>
          <t>附表6</t>
        </is>
      </c>
      <c r="B247" t="inlineStr">
        <is>
          <t>Z6</t>
        </is>
      </c>
      <c r="C247" t="inlineStr">
        <is>
          <t>'=C38</t>
        </is>
      </c>
      <c r="D247" t="inlineStr">
        <is>
          <t>c7347c5ff799cd95f98d42326b7d9b2d4b8df2874282786aa2fb32e40ed3646d</t>
        </is>
      </c>
    </row>
    <row r="248">
      <c r="A248" t="inlineStr">
        <is>
          <t>附表6</t>
        </is>
      </c>
      <c r="B248" t="inlineStr">
        <is>
          <t>AA6</t>
        </is>
      </c>
      <c r="C248" t="inlineStr">
        <is>
          <t>'=C39</t>
        </is>
      </c>
      <c r="D248" t="inlineStr">
        <is>
          <t>f53e20e9f2d916f0f1cb90c71e3a5731af3f96f2fdcd50dce970f2816fbf61e1</t>
        </is>
      </c>
    </row>
    <row r="249">
      <c r="A249" t="inlineStr">
        <is>
          <t>附表6</t>
        </is>
      </c>
      <c r="B249" t="inlineStr">
        <is>
          <t>C7</t>
        </is>
      </c>
      <c r="C249" t="inlineStr">
        <is>
          <t>'=SUM(D7,E7,F7,G7,H7,I7,J7,K7,L7,M7,N7,O7,P7,Q7,R7,S7,T7,U7,V7,W7,X7,Y7,Z7,AA7)</t>
        </is>
      </c>
      <c r="D249" t="inlineStr">
        <is>
          <t>6c1afab37f46b0f8cc54244e35cf344bc3383d90fbea7e62b9644ea360b51bc2</t>
        </is>
      </c>
    </row>
    <row r="250">
      <c r="A250" t="inlineStr">
        <is>
          <t>附表6</t>
        </is>
      </c>
      <c r="B250" t="inlineStr">
        <is>
          <t>D7</t>
        </is>
      </c>
      <c r="C250" t="inlineStr">
        <is>
          <t>'=D16</t>
        </is>
      </c>
      <c r="D250" t="inlineStr">
        <is>
          <t>4933de0e42195dc70057de0653480f2b4dc3430df6e7fa1de596f85881ba9ea8</t>
        </is>
      </c>
    </row>
    <row r="251">
      <c r="A251" t="inlineStr">
        <is>
          <t>附表6</t>
        </is>
      </c>
      <c r="B251" t="inlineStr">
        <is>
          <t>E7</t>
        </is>
      </c>
      <c r="C251" t="inlineStr">
        <is>
          <t>'=D17</t>
        </is>
      </c>
      <c r="D251" t="inlineStr">
        <is>
          <t>4c12c77f7bd76195e49c7f3cda790b15731842f9115ec11d9765a9bd97229e4a</t>
        </is>
      </c>
    </row>
    <row r="252">
      <c r="A252" t="inlineStr">
        <is>
          <t>附表6</t>
        </is>
      </c>
      <c r="B252" t="inlineStr">
        <is>
          <t>F7</t>
        </is>
      </c>
      <c r="C252" t="inlineStr">
        <is>
          <t>'=D18</t>
        </is>
      </c>
      <c r="D252" t="inlineStr">
        <is>
          <t>5a573c7c7b1b4a2b3cd5014d2afc926a1dbc973dad79b424ee138ab67b47118e</t>
        </is>
      </c>
    </row>
    <row r="253">
      <c r="A253" t="inlineStr">
        <is>
          <t>附表6</t>
        </is>
      </c>
      <c r="B253" t="inlineStr">
        <is>
          <t>G7</t>
        </is>
      </c>
      <c r="C253" t="inlineStr">
        <is>
          <t>'=D19</t>
        </is>
      </c>
      <c r="D253" t="inlineStr">
        <is>
          <t>b9ce757d84572521733385e492b83ed1bbcaa31d54c693fd40595346ce5a728b</t>
        </is>
      </c>
    </row>
    <row r="254">
      <c r="A254" t="inlineStr">
        <is>
          <t>附表6</t>
        </is>
      </c>
      <c r="B254" t="inlineStr">
        <is>
          <t>H7</t>
        </is>
      </c>
      <c r="C254" t="inlineStr">
        <is>
          <t>'=D20</t>
        </is>
      </c>
      <c r="D254" t="inlineStr">
        <is>
          <t>a7ebc1ac7c294fd511bf92a9846923716743862e317dbab420a3fdd6ad55d715</t>
        </is>
      </c>
    </row>
    <row r="255">
      <c r="A255" t="inlineStr">
        <is>
          <t>附表6</t>
        </is>
      </c>
      <c r="B255" t="inlineStr">
        <is>
          <t>I7</t>
        </is>
      </c>
      <c r="C255" t="inlineStr">
        <is>
          <t>'=D21</t>
        </is>
      </c>
      <c r="D255" t="inlineStr">
        <is>
          <t>dd2c0535b2cc2d2c7d9a728a52b268e4ca6d8357c7d40bb9a11e60dd7b2b3342</t>
        </is>
      </c>
    </row>
    <row r="256">
      <c r="A256" t="inlineStr">
        <is>
          <t>附表6</t>
        </is>
      </c>
      <c r="B256" t="inlineStr">
        <is>
          <t>J7</t>
        </is>
      </c>
      <c r="C256" t="inlineStr">
        <is>
          <t>'=D22</t>
        </is>
      </c>
      <c r="D256" t="inlineStr">
        <is>
          <t>fd81278826c022b876b4fa0e13b8bcc9fd3f5fd12822f1296ad925b9ba200de0</t>
        </is>
      </c>
    </row>
    <row r="257">
      <c r="A257" t="inlineStr">
        <is>
          <t>附表6</t>
        </is>
      </c>
      <c r="B257" t="inlineStr">
        <is>
          <t>K7</t>
        </is>
      </c>
      <c r="C257" t="inlineStr">
        <is>
          <t>'=D23</t>
        </is>
      </c>
      <c r="D257" t="inlineStr">
        <is>
          <t>4e3edd7bef1ccd13bc3da04ebe6e214d591e81eba0f2923cbea5f9cbf520563b</t>
        </is>
      </c>
    </row>
    <row r="258">
      <c r="A258" t="inlineStr">
        <is>
          <t>附表6</t>
        </is>
      </c>
      <c r="B258" t="inlineStr">
        <is>
          <t>L7</t>
        </is>
      </c>
      <c r="C258" t="inlineStr">
        <is>
          <t>'=D24</t>
        </is>
      </c>
      <c r="D258" t="inlineStr">
        <is>
          <t>83962ae917357542afddcffd7deabde725a4dc0147ac1cc8f05b62607d7c05c5</t>
        </is>
      </c>
    </row>
    <row r="259">
      <c r="A259" t="inlineStr">
        <is>
          <t>附表6</t>
        </is>
      </c>
      <c r="B259" t="inlineStr">
        <is>
          <t>M7</t>
        </is>
      </c>
      <c r="C259" t="inlineStr">
        <is>
          <t>'=D25</t>
        </is>
      </c>
      <c r="D259" t="inlineStr">
        <is>
          <t>70a86fa2f4144bbf9e0d7d6fdb3c866ef1c49841783d113dcff9dfa0c1880a90</t>
        </is>
      </c>
    </row>
    <row r="260">
      <c r="A260" t="inlineStr">
        <is>
          <t>附表6</t>
        </is>
      </c>
      <c r="B260" t="inlineStr">
        <is>
          <t>N7</t>
        </is>
      </c>
      <c r="C260" t="inlineStr">
        <is>
          <t>'=D26</t>
        </is>
      </c>
      <c r="D260" t="inlineStr">
        <is>
          <t>9a55e00dd06b8284dbb16ea2569f22d39b44edb2192d639b187b5213751b9ac0</t>
        </is>
      </c>
    </row>
    <row r="261">
      <c r="A261" t="inlineStr">
        <is>
          <t>附表6</t>
        </is>
      </c>
      <c r="B261" t="inlineStr">
        <is>
          <t>O7</t>
        </is>
      </c>
      <c r="C261" t="inlineStr">
        <is>
          <t>'=D27</t>
        </is>
      </c>
      <c r="D261" t="inlineStr">
        <is>
          <t>7b6527143aed96de549d67657faef4d6a5d8a376b29e6cb60dc8c87b9f5be9c8</t>
        </is>
      </c>
    </row>
    <row r="262">
      <c r="A262" t="inlineStr">
        <is>
          <t>附表6</t>
        </is>
      </c>
      <c r="B262" t="inlineStr">
        <is>
          <t>P7</t>
        </is>
      </c>
      <c r="C262" t="inlineStr">
        <is>
          <t>'=D28</t>
        </is>
      </c>
      <c r="D262" t="inlineStr">
        <is>
          <t>f4a4e5645f63873576816d4418f3286215cdde8a791baaf3df4123f32366f5eb</t>
        </is>
      </c>
    </row>
    <row r="263">
      <c r="A263" t="inlineStr">
        <is>
          <t>附表6</t>
        </is>
      </c>
      <c r="B263" t="inlineStr">
        <is>
          <t>Q7</t>
        </is>
      </c>
      <c r="C263" t="inlineStr">
        <is>
          <t>'=D29</t>
        </is>
      </c>
      <c r="D263" t="inlineStr">
        <is>
          <t>0808dcd0831c3bb83c02fd37f813019f5a5996b7601f2d2e23c52a8d9253fcdf</t>
        </is>
      </c>
    </row>
    <row r="264">
      <c r="A264" t="inlineStr">
        <is>
          <t>附表6</t>
        </is>
      </c>
      <c r="B264" t="inlineStr">
        <is>
          <t>R7</t>
        </is>
      </c>
      <c r="C264" t="inlineStr">
        <is>
          <t>'=D30</t>
        </is>
      </c>
      <c r="D264" t="inlineStr">
        <is>
          <t>d136345226829fe529f1ceefb48854ff74a102a1e4ad1374f6303396e0ac70b1</t>
        </is>
      </c>
    </row>
    <row r="265">
      <c r="A265" t="inlineStr">
        <is>
          <t>附表6</t>
        </is>
      </c>
      <c r="B265" t="inlineStr">
        <is>
          <t>S7</t>
        </is>
      </c>
      <c r="C265" t="inlineStr">
        <is>
          <t>'=D31</t>
        </is>
      </c>
      <c r="D265" t="inlineStr">
        <is>
          <t>8456b36e3ecf4270892831a6a677ca706dc24b4ec9dcefd41118cad6c8ae8b50</t>
        </is>
      </c>
    </row>
    <row r="266">
      <c r="A266" t="inlineStr">
        <is>
          <t>附表6</t>
        </is>
      </c>
      <c r="B266" t="inlineStr">
        <is>
          <t>T7</t>
        </is>
      </c>
      <c r="C266" t="inlineStr">
        <is>
          <t>'=D32</t>
        </is>
      </c>
      <c r="D266" t="inlineStr">
        <is>
          <t>eb8d486dbf1c5bc57f13658d2c864a1bd90fa4789992bc0d4206672c02dd4eff</t>
        </is>
      </c>
    </row>
    <row r="267">
      <c r="A267" t="inlineStr">
        <is>
          <t>附表6</t>
        </is>
      </c>
      <c r="B267" t="inlineStr">
        <is>
          <t>U7</t>
        </is>
      </c>
      <c r="C267" t="inlineStr">
        <is>
          <t>'=D33</t>
        </is>
      </c>
      <c r="D267" t="inlineStr">
        <is>
          <t>36b97dde108fc21156ffadd4bda9311e922f29e1bd8ca690a03b0d99fcb86b7f</t>
        </is>
      </c>
    </row>
    <row r="268">
      <c r="A268" t="inlineStr">
        <is>
          <t>附表6</t>
        </is>
      </c>
      <c r="B268" t="inlineStr">
        <is>
          <t>V7</t>
        </is>
      </c>
      <c r="C268" t="inlineStr">
        <is>
          <t>'=D34</t>
        </is>
      </c>
      <c r="D268" t="inlineStr">
        <is>
          <t>14f4f9a4e44905b9a54b85c7feedeb755fbb94bb9811aece074fb7a3bb82c794</t>
        </is>
      </c>
    </row>
    <row r="269">
      <c r="A269" t="inlineStr">
        <is>
          <t>附表6</t>
        </is>
      </c>
      <c r="B269" t="inlineStr">
        <is>
          <t>W7</t>
        </is>
      </c>
      <c r="C269" t="inlineStr">
        <is>
          <t>'=D35</t>
        </is>
      </c>
      <c r="D269" t="inlineStr">
        <is>
          <t>061b9da6bafb189119df040a91999b4e63c268fbf54028c6ebc8178ff9b1c933</t>
        </is>
      </c>
    </row>
    <row r="270">
      <c r="A270" t="inlineStr">
        <is>
          <t>附表6</t>
        </is>
      </c>
      <c r="B270" t="inlineStr">
        <is>
          <t>X7</t>
        </is>
      </c>
      <c r="C270" t="inlineStr">
        <is>
          <t>'=D36</t>
        </is>
      </c>
      <c r="D270" t="inlineStr">
        <is>
          <t>0f70a0ac970e0b5bac66ad6a0e0adc1e66c10fd6598d7365e33935bd8afd0a63</t>
        </is>
      </c>
    </row>
    <row r="271">
      <c r="A271" t="inlineStr">
        <is>
          <t>附表6</t>
        </is>
      </c>
      <c r="B271" t="inlineStr">
        <is>
          <t>Y7</t>
        </is>
      </c>
      <c r="C271" t="inlineStr">
        <is>
          <t>'=D37</t>
        </is>
      </c>
      <c r="D271" t="inlineStr">
        <is>
          <t>47c7fb0f84f46abd2ca4db9521bd4305ab778559467aed297d394377e0c31af2</t>
        </is>
      </c>
    </row>
    <row r="272">
      <c r="A272" t="inlineStr">
        <is>
          <t>附表6</t>
        </is>
      </c>
      <c r="B272" t="inlineStr">
        <is>
          <t>Z7</t>
        </is>
      </c>
      <c r="C272" t="inlineStr">
        <is>
          <t>'=D38</t>
        </is>
      </c>
      <c r="D272" t="inlineStr">
        <is>
          <t>0ac6a12313792022d5e80900bab4bd5a412ec4c84dcd84d5ebd9e24154e50020</t>
        </is>
      </c>
    </row>
    <row r="273">
      <c r="A273" t="inlineStr">
        <is>
          <t>附表6</t>
        </is>
      </c>
      <c r="B273" t="inlineStr">
        <is>
          <t>AA7</t>
        </is>
      </c>
      <c r="C273" t="inlineStr">
        <is>
          <t>'=D39</t>
        </is>
      </c>
      <c r="D273" t="inlineStr">
        <is>
          <t>d0cce5b94402a737a8297dafd93a25542c2b7146703f19228bb6763255f8fcba</t>
        </is>
      </c>
    </row>
    <row r="274">
      <c r="A274" t="inlineStr">
        <is>
          <t>附表6</t>
        </is>
      </c>
      <c r="B274" t="inlineStr">
        <is>
          <t>C8</t>
        </is>
      </c>
      <c r="C274" t="inlineStr">
        <is>
          <t>'=SUM(D8,E8,F8,G8,H8,I8,J8,K8,L8,M8,N8,O8,P8,Q8,R8,S8,T8,U8,V8,W8,X8,Y8,Z8,AA8)</t>
        </is>
      </c>
      <c r="D274" t="inlineStr">
        <is>
          <t>065436c3f2eb117a0fae9d7d3577184382546d6b3c7a96373a37a320553f8b6e</t>
        </is>
      </c>
    </row>
    <row r="275">
      <c r="A275" t="inlineStr">
        <is>
          <t>附表6</t>
        </is>
      </c>
      <c r="B275" t="inlineStr">
        <is>
          <t>D8</t>
        </is>
      </c>
      <c r="C275" t="inlineStr">
        <is>
          <t>'=E16</t>
        </is>
      </c>
      <c r="D275" t="inlineStr">
        <is>
          <t>392c3ecb8dbba1328898d2e72ac1f65213cd214c0922906adaf8b944688fe320</t>
        </is>
      </c>
    </row>
    <row r="276">
      <c r="A276" t="inlineStr">
        <is>
          <t>附表6</t>
        </is>
      </c>
      <c r="B276" t="inlineStr">
        <is>
          <t>E8</t>
        </is>
      </c>
      <c r="C276" t="inlineStr">
        <is>
          <t>'=E17</t>
        </is>
      </c>
      <c r="D276" t="inlineStr">
        <is>
          <t>7ebb09d52f527aac240f33bcdaffa5428c4275d957ad6636ee656d9e9532a745</t>
        </is>
      </c>
    </row>
    <row r="277">
      <c r="A277" t="inlineStr">
        <is>
          <t>附表6</t>
        </is>
      </c>
      <c r="B277" t="inlineStr">
        <is>
          <t>F8</t>
        </is>
      </c>
      <c r="C277" t="inlineStr">
        <is>
          <t>'=E18</t>
        </is>
      </c>
      <c r="D277" t="inlineStr">
        <is>
          <t>df4f89535d3525e7de44ab274aa5976c717bb0071800409f09b4050c83de6741</t>
        </is>
      </c>
    </row>
    <row r="278">
      <c r="A278" t="inlineStr">
        <is>
          <t>附表6</t>
        </is>
      </c>
      <c r="B278" t="inlineStr">
        <is>
          <t>G8</t>
        </is>
      </c>
      <c r="C278" t="inlineStr">
        <is>
          <t>'=E19</t>
        </is>
      </c>
      <c r="D278" t="inlineStr">
        <is>
          <t>9fb11cfb1f7fd598878a665010cbbcc7034db274d5ba256b5e28a77f92d041bd</t>
        </is>
      </c>
    </row>
    <row r="279">
      <c r="A279" t="inlineStr">
        <is>
          <t>附表6</t>
        </is>
      </c>
      <c r="B279" t="inlineStr">
        <is>
          <t>H8</t>
        </is>
      </c>
      <c r="C279" t="inlineStr">
        <is>
          <t>'=E20</t>
        </is>
      </c>
      <c r="D279" t="inlineStr">
        <is>
          <t>05082b7bd2c44cd5cfb16ada282235d7b09ab7de9c712999913356dc013a2276</t>
        </is>
      </c>
    </row>
    <row r="280">
      <c r="A280" t="inlineStr">
        <is>
          <t>附表6</t>
        </is>
      </c>
      <c r="B280" t="inlineStr">
        <is>
          <t>I8</t>
        </is>
      </c>
      <c r="C280" t="inlineStr">
        <is>
          <t>'=E21</t>
        </is>
      </c>
      <c r="D280" t="inlineStr">
        <is>
          <t>cbccd5e5dfa9c73ccf73f4c06e608cccf30117948f5a3a8e0bebd9f87030268b</t>
        </is>
      </c>
    </row>
    <row r="281">
      <c r="A281" t="inlineStr">
        <is>
          <t>附表6</t>
        </is>
      </c>
      <c r="B281" t="inlineStr">
        <is>
          <t>J8</t>
        </is>
      </c>
      <c r="C281" t="inlineStr">
        <is>
          <t>'=E22</t>
        </is>
      </c>
      <c r="D281" t="inlineStr">
        <is>
          <t>b3bdd965d81f6295ce34f69cd2229065180d63cf9e8209fe504a1a6b742ca2cc</t>
        </is>
      </c>
    </row>
    <row r="282">
      <c r="A282" t="inlineStr">
        <is>
          <t>附表6</t>
        </is>
      </c>
      <c r="B282" t="inlineStr">
        <is>
          <t>K8</t>
        </is>
      </c>
      <c r="C282" t="inlineStr">
        <is>
          <t>'=E23</t>
        </is>
      </c>
      <c r="D282" t="inlineStr">
        <is>
          <t>c3381f8b31a876fe4cdf2e75626f8d1b8fc95ad920bef3b8f94b1508359587c0</t>
        </is>
      </c>
    </row>
    <row r="283">
      <c r="A283" t="inlineStr">
        <is>
          <t>附表6</t>
        </is>
      </c>
      <c r="B283" t="inlineStr">
        <is>
          <t>L8</t>
        </is>
      </c>
      <c r="C283" t="inlineStr">
        <is>
          <t>'=E24</t>
        </is>
      </c>
      <c r="D283" t="inlineStr">
        <is>
          <t>ff40c724feadaf7d60cfcbeb2bb4506626a7d1d584e20c3572e046372ca103a0</t>
        </is>
      </c>
    </row>
    <row r="284">
      <c r="A284" t="inlineStr">
        <is>
          <t>附表6</t>
        </is>
      </c>
      <c r="B284" t="inlineStr">
        <is>
          <t>M8</t>
        </is>
      </c>
      <c r="C284" t="inlineStr">
        <is>
          <t>'=E25</t>
        </is>
      </c>
      <c r="D284" t="inlineStr">
        <is>
          <t>bee489adc18703ca78293e5fa79dbe2fc039df6f5a0897bd29f2afc1f0f44f4f</t>
        </is>
      </c>
    </row>
    <row r="285">
      <c r="A285" t="inlineStr">
        <is>
          <t>附表6</t>
        </is>
      </c>
      <c r="B285" t="inlineStr">
        <is>
          <t>N8</t>
        </is>
      </c>
      <c r="C285" t="inlineStr">
        <is>
          <t>'=E26</t>
        </is>
      </c>
      <c r="D285" t="inlineStr">
        <is>
          <t>d528036d55c16bc8bb929bca4c1c8c7bb5c4220cf8c44f3c65ebdced4feaa2d6</t>
        </is>
      </c>
    </row>
    <row r="286">
      <c r="A286" t="inlineStr">
        <is>
          <t>附表6</t>
        </is>
      </c>
      <c r="B286" t="inlineStr">
        <is>
          <t>O8</t>
        </is>
      </c>
      <c r="C286" t="inlineStr">
        <is>
          <t>'=E27</t>
        </is>
      </c>
      <c r="D286" t="inlineStr">
        <is>
          <t>b18c01b39373e16b82f579f4ff9f16b35c9ab8e4983583d5bb6e660a4c67f7ae</t>
        </is>
      </c>
    </row>
    <row r="287">
      <c r="A287" t="inlineStr">
        <is>
          <t>附表6</t>
        </is>
      </c>
      <c r="B287" t="inlineStr">
        <is>
          <t>P8</t>
        </is>
      </c>
      <c r="C287" t="inlineStr">
        <is>
          <t>'=E28</t>
        </is>
      </c>
      <c r="D287" t="inlineStr">
        <is>
          <t>7631880322d74cf866bc65bf42898faec259e43e467b54ea5c9af511e68e6fd3</t>
        </is>
      </c>
    </row>
    <row r="288">
      <c r="A288" t="inlineStr">
        <is>
          <t>附表6</t>
        </is>
      </c>
      <c r="B288" t="inlineStr">
        <is>
          <t>Q8</t>
        </is>
      </c>
      <c r="C288" t="inlineStr">
        <is>
          <t>'=E29</t>
        </is>
      </c>
      <c r="D288" t="inlineStr">
        <is>
          <t>029d731d4663e03c8520795799642b96638809daed8bf0eb23339c0ba23a73f5</t>
        </is>
      </c>
    </row>
    <row r="289">
      <c r="A289" t="inlineStr">
        <is>
          <t>附表6</t>
        </is>
      </c>
      <c r="B289" t="inlineStr">
        <is>
          <t>R8</t>
        </is>
      </c>
      <c r="C289" t="inlineStr">
        <is>
          <t>'=E30</t>
        </is>
      </c>
      <c r="D289" t="inlineStr">
        <is>
          <t>f9d1044436f187ad9ffde2b6f00aa4c37acdb8c819ce9bfaa0f9515b303dfff1</t>
        </is>
      </c>
    </row>
    <row r="290">
      <c r="A290" t="inlineStr">
        <is>
          <t>附表6</t>
        </is>
      </c>
      <c r="B290" t="inlineStr">
        <is>
          <t>S8</t>
        </is>
      </c>
      <c r="C290" t="inlineStr">
        <is>
          <t>'=E31</t>
        </is>
      </c>
      <c r="D290" t="inlineStr">
        <is>
          <t>ccb0bd9c84094861b829aaaf09075d3c7ff6aafd759aeeb9215e2031d1c57476</t>
        </is>
      </c>
    </row>
    <row r="291">
      <c r="A291" t="inlineStr">
        <is>
          <t>附表6</t>
        </is>
      </c>
      <c r="B291" t="inlineStr">
        <is>
          <t>T8</t>
        </is>
      </c>
      <c r="C291" t="inlineStr">
        <is>
          <t>'=E32</t>
        </is>
      </c>
      <c r="D291" t="inlineStr">
        <is>
          <t>5c2a9afdbd4b0ba3b6a28bbaea56a5310c357764c67edcff1106f88069e55777</t>
        </is>
      </c>
    </row>
    <row r="292">
      <c r="A292" t="inlineStr">
        <is>
          <t>附表6</t>
        </is>
      </c>
      <c r="B292" t="inlineStr">
        <is>
          <t>U8</t>
        </is>
      </c>
      <c r="C292" t="inlineStr">
        <is>
          <t>'=E33</t>
        </is>
      </c>
      <c r="D292" t="inlineStr">
        <is>
          <t>8fabd9c5fe8cc507d064eddbc6fe9ea8c6e41213dbb42ffe37a6b88d49f6ab0c</t>
        </is>
      </c>
    </row>
    <row r="293">
      <c r="A293" t="inlineStr">
        <is>
          <t>附表6</t>
        </is>
      </c>
      <c r="B293" t="inlineStr">
        <is>
          <t>V8</t>
        </is>
      </c>
      <c r="C293" t="inlineStr">
        <is>
          <t>'=E34</t>
        </is>
      </c>
      <c r="D293" t="inlineStr">
        <is>
          <t>87bbd2477ff72ff7af7fdabda66289421d5f5adebb9dfd3f1d3e7c2dbebbb27a</t>
        </is>
      </c>
    </row>
    <row r="294">
      <c r="A294" t="inlineStr">
        <is>
          <t>附表6</t>
        </is>
      </c>
      <c r="B294" t="inlineStr">
        <is>
          <t>W8</t>
        </is>
      </c>
      <c r="C294" t="inlineStr">
        <is>
          <t>'=E35</t>
        </is>
      </c>
      <c r="D294" t="inlineStr">
        <is>
          <t>ee2ff98424ffd4f6db529a5ecb297178271832fdbf4e970635feb7414c8509b0</t>
        </is>
      </c>
    </row>
    <row r="295">
      <c r="A295" t="inlineStr">
        <is>
          <t>附表6</t>
        </is>
      </c>
      <c r="B295" t="inlineStr">
        <is>
          <t>X8</t>
        </is>
      </c>
      <c r="C295" t="inlineStr">
        <is>
          <t>'=E36</t>
        </is>
      </c>
      <c r="D295" t="inlineStr">
        <is>
          <t>e03c280f19d18115f9033f7f0461af62082bd0820db7049321cea8a442ff8b7f</t>
        </is>
      </c>
    </row>
    <row r="296">
      <c r="A296" t="inlineStr">
        <is>
          <t>附表6</t>
        </is>
      </c>
      <c r="B296" t="inlineStr">
        <is>
          <t>Y8</t>
        </is>
      </c>
      <c r="C296" t="inlineStr">
        <is>
          <t>'=E37</t>
        </is>
      </c>
      <c r="D296" t="inlineStr">
        <is>
          <t>449f92e3bbc37b7984e20507510a886f3541bb4216353fee56c0bd03f8422e76</t>
        </is>
      </c>
    </row>
    <row r="297">
      <c r="A297" t="inlineStr">
        <is>
          <t>附表6</t>
        </is>
      </c>
      <c r="B297" t="inlineStr">
        <is>
          <t>Z8</t>
        </is>
      </c>
      <c r="C297" t="inlineStr">
        <is>
          <t>'=E38</t>
        </is>
      </c>
      <c r="D297" t="inlineStr">
        <is>
          <t>ae14f5f36d788372e885fbd1715a2f03db3885b298775270bfcd1fc38cf6139b</t>
        </is>
      </c>
    </row>
    <row r="298">
      <c r="A298" t="inlineStr">
        <is>
          <t>附表6</t>
        </is>
      </c>
      <c r="B298" t="inlineStr">
        <is>
          <t>AA8</t>
        </is>
      </c>
      <c r="C298" t="inlineStr">
        <is>
          <t>'=E39</t>
        </is>
      </c>
      <c r="D298" t="inlineStr">
        <is>
          <t>18114e6dbb02cc34e72eddfc241655b4f0225f99f8dea3788846c10a1261c6b1</t>
        </is>
      </c>
    </row>
    <row r="299">
      <c r="A299" t="inlineStr">
        <is>
          <t>附表6</t>
        </is>
      </c>
      <c r="B299" t="inlineStr">
        <is>
          <t>C9</t>
        </is>
      </c>
      <c r="C299" t="inlineStr">
        <is>
          <t>'=SUM(D9,E9,F9,G9,H9,I9,J9,K9,L9,M9,N9,O9,P9,Q9,R9,S9,T9,U9,V9,W9,X9,Y9,Z9,AA9)</t>
        </is>
      </c>
      <c r="D299" t="inlineStr">
        <is>
          <t>4374fae3cb9ae23ff418cc607f004f3b823abe16a3b638a79c0381de8cbc17c4</t>
        </is>
      </c>
    </row>
    <row r="300">
      <c r="A300" t="inlineStr">
        <is>
          <t>附表6</t>
        </is>
      </c>
      <c r="B300" t="inlineStr">
        <is>
          <t>D9</t>
        </is>
      </c>
      <c r="C300" t="inlineStr">
        <is>
          <t>'=E16</t>
        </is>
      </c>
      <c r="D300" t="inlineStr">
        <is>
          <t>392c3ecb8dbba1328898d2e72ac1f65213cd214c0922906adaf8b944688fe320</t>
        </is>
      </c>
    </row>
    <row r="301">
      <c r="A301" t="inlineStr">
        <is>
          <t>附表6</t>
        </is>
      </c>
      <c r="B301" t="inlineStr">
        <is>
          <t>E9</t>
        </is>
      </c>
      <c r="C301" t="inlineStr">
        <is>
          <t>'=E17</t>
        </is>
      </c>
      <c r="D301" t="inlineStr">
        <is>
          <t>7ebb09d52f527aac240f33bcdaffa5428c4275d957ad6636ee656d9e9532a745</t>
        </is>
      </c>
    </row>
    <row r="302">
      <c r="A302" t="inlineStr">
        <is>
          <t>附表6</t>
        </is>
      </c>
      <c r="B302" t="inlineStr">
        <is>
          <t>F9</t>
        </is>
      </c>
      <c r="C302" t="inlineStr">
        <is>
          <t>'=E18</t>
        </is>
      </c>
      <c r="D302" t="inlineStr">
        <is>
          <t>df4f89535d3525e7de44ab274aa5976c717bb0071800409f09b4050c83de6741</t>
        </is>
      </c>
    </row>
    <row r="303">
      <c r="A303" t="inlineStr">
        <is>
          <t>附表6</t>
        </is>
      </c>
      <c r="B303" t="inlineStr">
        <is>
          <t>G9</t>
        </is>
      </c>
      <c r="C303" t="inlineStr">
        <is>
          <t>'=E19</t>
        </is>
      </c>
      <c r="D303" t="inlineStr">
        <is>
          <t>9fb11cfb1f7fd598878a665010cbbcc7034db274d5ba256b5e28a77f92d041bd</t>
        </is>
      </c>
    </row>
    <row r="304">
      <c r="A304" t="inlineStr">
        <is>
          <t>附表6</t>
        </is>
      </c>
      <c r="B304" t="inlineStr">
        <is>
          <t>H9</t>
        </is>
      </c>
      <c r="C304" t="inlineStr">
        <is>
          <t>'=E20</t>
        </is>
      </c>
      <c r="D304" t="inlineStr">
        <is>
          <t>05082b7bd2c44cd5cfb16ada282235d7b09ab7de9c712999913356dc013a2276</t>
        </is>
      </c>
    </row>
    <row r="305">
      <c r="A305" t="inlineStr">
        <is>
          <t>附表6</t>
        </is>
      </c>
      <c r="B305" t="inlineStr">
        <is>
          <t>I9</t>
        </is>
      </c>
      <c r="C305" t="inlineStr">
        <is>
          <t>'=E21</t>
        </is>
      </c>
      <c r="D305" t="inlineStr">
        <is>
          <t>cbccd5e5dfa9c73ccf73f4c06e608cccf30117948f5a3a8e0bebd9f87030268b</t>
        </is>
      </c>
    </row>
    <row r="306">
      <c r="A306" t="inlineStr">
        <is>
          <t>附表6</t>
        </is>
      </c>
      <c r="B306" t="inlineStr">
        <is>
          <t>J9</t>
        </is>
      </c>
      <c r="C306" t="inlineStr">
        <is>
          <t>'=E22</t>
        </is>
      </c>
      <c r="D306" t="inlineStr">
        <is>
          <t>b3bdd965d81f6295ce34f69cd2229065180d63cf9e8209fe504a1a6b742ca2cc</t>
        </is>
      </c>
    </row>
    <row r="307">
      <c r="A307" t="inlineStr">
        <is>
          <t>附表6</t>
        </is>
      </c>
      <c r="B307" t="inlineStr">
        <is>
          <t>K9</t>
        </is>
      </c>
      <c r="C307" t="inlineStr">
        <is>
          <t>'=E23</t>
        </is>
      </c>
      <c r="D307" t="inlineStr">
        <is>
          <t>c3381f8b31a876fe4cdf2e75626f8d1b8fc95ad920bef3b8f94b1508359587c0</t>
        </is>
      </c>
    </row>
    <row r="308">
      <c r="A308" t="inlineStr">
        <is>
          <t>附表6</t>
        </is>
      </c>
      <c r="B308" t="inlineStr">
        <is>
          <t>L9</t>
        </is>
      </c>
      <c r="C308" t="inlineStr">
        <is>
          <t>'=E24</t>
        </is>
      </c>
      <c r="D308" t="inlineStr">
        <is>
          <t>ff40c724feadaf7d60cfcbeb2bb4506626a7d1d584e20c3572e046372ca103a0</t>
        </is>
      </c>
    </row>
    <row r="309">
      <c r="A309" t="inlineStr">
        <is>
          <t>附表6</t>
        </is>
      </c>
      <c r="B309" t="inlineStr">
        <is>
          <t>M9</t>
        </is>
      </c>
      <c r="C309" t="inlineStr">
        <is>
          <t>'=E25</t>
        </is>
      </c>
      <c r="D309" t="inlineStr">
        <is>
          <t>bee489adc18703ca78293e5fa79dbe2fc039df6f5a0897bd29f2afc1f0f44f4f</t>
        </is>
      </c>
    </row>
    <row r="310">
      <c r="A310" t="inlineStr">
        <is>
          <t>附表6</t>
        </is>
      </c>
      <c r="B310" t="inlineStr">
        <is>
          <t>N9</t>
        </is>
      </c>
      <c r="C310" t="inlineStr">
        <is>
          <t>'=E26</t>
        </is>
      </c>
      <c r="D310" t="inlineStr">
        <is>
          <t>d528036d55c16bc8bb929bca4c1c8c7bb5c4220cf8c44f3c65ebdced4feaa2d6</t>
        </is>
      </c>
    </row>
    <row r="311">
      <c r="A311" t="inlineStr">
        <is>
          <t>附表6</t>
        </is>
      </c>
      <c r="B311" t="inlineStr">
        <is>
          <t>O9</t>
        </is>
      </c>
      <c r="C311" t="inlineStr">
        <is>
          <t>'=E27</t>
        </is>
      </c>
      <c r="D311" t="inlineStr">
        <is>
          <t>b18c01b39373e16b82f579f4ff9f16b35c9ab8e4983583d5bb6e660a4c67f7ae</t>
        </is>
      </c>
    </row>
    <row r="312">
      <c r="A312" t="inlineStr">
        <is>
          <t>附表6</t>
        </is>
      </c>
      <c r="B312" t="inlineStr">
        <is>
          <t>P9</t>
        </is>
      </c>
      <c r="C312" t="inlineStr">
        <is>
          <t>'=E28</t>
        </is>
      </c>
      <c r="D312" t="inlineStr">
        <is>
          <t>7631880322d74cf866bc65bf42898faec259e43e467b54ea5c9af511e68e6fd3</t>
        </is>
      </c>
    </row>
    <row r="313">
      <c r="A313" t="inlineStr">
        <is>
          <t>附表6</t>
        </is>
      </c>
      <c r="B313" t="inlineStr">
        <is>
          <t>Q9</t>
        </is>
      </c>
      <c r="C313" t="inlineStr">
        <is>
          <t>'=E29</t>
        </is>
      </c>
      <c r="D313" t="inlineStr">
        <is>
          <t>029d731d4663e03c8520795799642b96638809daed8bf0eb23339c0ba23a73f5</t>
        </is>
      </c>
    </row>
    <row r="314">
      <c r="A314" t="inlineStr">
        <is>
          <t>附表6</t>
        </is>
      </c>
      <c r="B314" t="inlineStr">
        <is>
          <t>R9</t>
        </is>
      </c>
      <c r="C314" t="inlineStr">
        <is>
          <t>'=E30</t>
        </is>
      </c>
      <c r="D314" t="inlineStr">
        <is>
          <t>f9d1044436f187ad9ffde2b6f00aa4c37acdb8c819ce9bfaa0f9515b303dfff1</t>
        </is>
      </c>
    </row>
    <row r="315">
      <c r="A315" t="inlineStr">
        <is>
          <t>附表6</t>
        </is>
      </c>
      <c r="B315" t="inlineStr">
        <is>
          <t>S9</t>
        </is>
      </c>
      <c r="C315" t="inlineStr">
        <is>
          <t>'=E31</t>
        </is>
      </c>
      <c r="D315" t="inlineStr">
        <is>
          <t>ccb0bd9c84094861b829aaaf09075d3c7ff6aafd759aeeb9215e2031d1c57476</t>
        </is>
      </c>
    </row>
    <row r="316">
      <c r="A316" t="inlineStr">
        <is>
          <t>附表6</t>
        </is>
      </c>
      <c r="B316" t="inlineStr">
        <is>
          <t>T9</t>
        </is>
      </c>
      <c r="C316" t="inlineStr">
        <is>
          <t>'=E32</t>
        </is>
      </c>
      <c r="D316" t="inlineStr">
        <is>
          <t>5c2a9afdbd4b0ba3b6a28bbaea56a5310c357764c67edcff1106f88069e55777</t>
        </is>
      </c>
    </row>
    <row r="317">
      <c r="A317" t="inlineStr">
        <is>
          <t>附表6</t>
        </is>
      </c>
      <c r="B317" t="inlineStr">
        <is>
          <t>U9</t>
        </is>
      </c>
      <c r="C317" t="inlineStr">
        <is>
          <t>'=E33</t>
        </is>
      </c>
      <c r="D317" t="inlineStr">
        <is>
          <t>8fabd9c5fe8cc507d064eddbc6fe9ea8c6e41213dbb42ffe37a6b88d49f6ab0c</t>
        </is>
      </c>
    </row>
    <row r="318">
      <c r="A318" t="inlineStr">
        <is>
          <t>附表6</t>
        </is>
      </c>
      <c r="B318" t="inlineStr">
        <is>
          <t>V9</t>
        </is>
      </c>
      <c r="C318" t="inlineStr">
        <is>
          <t>'=E34</t>
        </is>
      </c>
      <c r="D318" t="inlineStr">
        <is>
          <t>87bbd2477ff72ff7af7fdabda66289421d5f5adebb9dfd3f1d3e7c2dbebbb27a</t>
        </is>
      </c>
    </row>
    <row r="319">
      <c r="A319" t="inlineStr">
        <is>
          <t>附表6</t>
        </is>
      </c>
      <c r="B319" t="inlineStr">
        <is>
          <t>W9</t>
        </is>
      </c>
      <c r="C319" t="inlineStr">
        <is>
          <t>'=E35</t>
        </is>
      </c>
      <c r="D319" t="inlineStr">
        <is>
          <t>ee2ff98424ffd4f6db529a5ecb297178271832fdbf4e970635feb7414c8509b0</t>
        </is>
      </c>
    </row>
    <row r="320">
      <c r="A320" t="inlineStr">
        <is>
          <t>附表6</t>
        </is>
      </c>
      <c r="B320" t="inlineStr">
        <is>
          <t>X9</t>
        </is>
      </c>
      <c r="C320" t="inlineStr">
        <is>
          <t>'=E36</t>
        </is>
      </c>
      <c r="D320" t="inlineStr">
        <is>
          <t>e03c280f19d18115f9033f7f0461af62082bd0820db7049321cea8a442ff8b7f</t>
        </is>
      </c>
    </row>
    <row r="321">
      <c r="A321" t="inlineStr">
        <is>
          <t>附表6</t>
        </is>
      </c>
      <c r="B321" t="inlineStr">
        <is>
          <t>Y9</t>
        </is>
      </c>
      <c r="C321" t="inlineStr">
        <is>
          <t>'=E37</t>
        </is>
      </c>
      <c r="D321" t="inlineStr">
        <is>
          <t>449f92e3bbc37b7984e20507510a886f3541bb4216353fee56c0bd03f8422e76</t>
        </is>
      </c>
    </row>
    <row r="322">
      <c r="A322" t="inlineStr">
        <is>
          <t>附表6</t>
        </is>
      </c>
      <c r="B322" t="inlineStr">
        <is>
          <t>Z9</t>
        </is>
      </c>
      <c r="C322" t="inlineStr">
        <is>
          <t>'=E38</t>
        </is>
      </c>
      <c r="D322" t="inlineStr">
        <is>
          <t>ae14f5f36d788372e885fbd1715a2f03db3885b298775270bfcd1fc38cf6139b</t>
        </is>
      </c>
    </row>
    <row r="323">
      <c r="A323" t="inlineStr">
        <is>
          <t>附表6</t>
        </is>
      </c>
      <c r="B323" t="inlineStr">
        <is>
          <t>AA9</t>
        </is>
      </c>
      <c r="C323" t="inlineStr">
        <is>
          <t>'=E39</t>
        </is>
      </c>
      <c r="D323" t="inlineStr">
        <is>
          <t>18114e6dbb02cc34e72eddfc241655b4f0225f99f8dea3788846c10a1261c6b1</t>
        </is>
      </c>
    </row>
    <row r="324">
      <c r="A324" t="inlineStr">
        <is>
          <t>附表6</t>
        </is>
      </c>
      <c r="B324" t="inlineStr">
        <is>
          <t>C10</t>
        </is>
      </c>
      <c r="C324" t="inlineStr">
        <is>
          <t>'=SUM(D10,E10,F10,G10,H10,I10,J10,K10,L10,M10,N10,O10,P10,Q10,R10,S10,T10,U10,V10,W10,X10,Y10,Z10,AA10)</t>
        </is>
      </c>
      <c r="D324" t="inlineStr">
        <is>
          <t>26202e72dae2e7a48fa932abc82b7bb234b4ec3176b69056db2c4b2d3bc5ccf4</t>
        </is>
      </c>
    </row>
    <row r="325">
      <c r="A325" t="inlineStr">
        <is>
          <t>附表6</t>
        </is>
      </c>
      <c r="B325" t="inlineStr">
        <is>
          <t>D10</t>
        </is>
      </c>
      <c r="C325" t="inlineStr">
        <is>
          <t>'=F16</t>
        </is>
      </c>
      <c r="D325" t="inlineStr">
        <is>
          <t>6f51fa083a527f1b52d59aa4d4d830dfa56fe6bd1c70463e5a758fffbc5ec699</t>
        </is>
      </c>
    </row>
    <row r="326">
      <c r="A326" t="inlineStr">
        <is>
          <t>附表6</t>
        </is>
      </c>
      <c r="B326" t="inlineStr">
        <is>
          <t>E10</t>
        </is>
      </c>
      <c r="C326" t="inlineStr">
        <is>
          <t>'=F17</t>
        </is>
      </c>
      <c r="D326" t="inlineStr">
        <is>
          <t>0fa2a9242cc5de4bbe86fa948200480473bfa258ac14366ba8d67a7e3e2ac059</t>
        </is>
      </c>
    </row>
    <row r="327">
      <c r="A327" t="inlineStr">
        <is>
          <t>附表6</t>
        </is>
      </c>
      <c r="B327" t="inlineStr">
        <is>
          <t>F10</t>
        </is>
      </c>
      <c r="C327" t="inlineStr">
        <is>
          <t>'=F18</t>
        </is>
      </c>
      <c r="D327" t="inlineStr">
        <is>
          <t>bd4efe3a01f6645f1292cde7eac67ccf65ee7d1097220e9655bdb68c2a3e665a</t>
        </is>
      </c>
    </row>
    <row r="328">
      <c r="A328" t="inlineStr">
        <is>
          <t>附表6</t>
        </is>
      </c>
      <c r="B328" t="inlineStr">
        <is>
          <t>G10</t>
        </is>
      </c>
      <c r="C328" t="inlineStr">
        <is>
          <t>'=F19</t>
        </is>
      </c>
      <c r="D328" t="inlineStr">
        <is>
          <t>dba98ed96bcc33ceb601cd88d164131594e5a6e93cb376c3dbd23180ecba0557</t>
        </is>
      </c>
    </row>
    <row r="329">
      <c r="A329" t="inlineStr">
        <is>
          <t>附表6</t>
        </is>
      </c>
      <c r="B329" t="inlineStr">
        <is>
          <t>H10</t>
        </is>
      </c>
      <c r="C329" t="inlineStr">
        <is>
          <t>'=F20</t>
        </is>
      </c>
      <c r="D329" t="inlineStr">
        <is>
          <t>ba897667d8b2299b24cc916cd51848f3d0dcd44eaf1d89de3b9d30ef3dd2bc64</t>
        </is>
      </c>
    </row>
    <row r="330">
      <c r="A330" t="inlineStr">
        <is>
          <t>附表6</t>
        </is>
      </c>
      <c r="B330" t="inlineStr">
        <is>
          <t>I10</t>
        </is>
      </c>
      <c r="C330" t="inlineStr">
        <is>
          <t>'=F21</t>
        </is>
      </c>
      <c r="D330" t="inlineStr">
        <is>
          <t>abae687d0c6aafa9da45896720f1599a6ba87485b2c73c39b56040a65a42b2e6</t>
        </is>
      </c>
    </row>
    <row r="331">
      <c r="A331" t="inlineStr">
        <is>
          <t>附表6</t>
        </is>
      </c>
      <c r="B331" t="inlineStr">
        <is>
          <t>J10</t>
        </is>
      </c>
      <c r="C331" t="inlineStr">
        <is>
          <t>'=F22</t>
        </is>
      </c>
      <c r="D331" t="inlineStr">
        <is>
          <t>303929953a9a22962770f601fb3e14d2053ccf2723618c7f401cf4b363cb74e6</t>
        </is>
      </c>
    </row>
    <row r="332">
      <c r="A332" t="inlineStr">
        <is>
          <t>附表6</t>
        </is>
      </c>
      <c r="B332" t="inlineStr">
        <is>
          <t>K10</t>
        </is>
      </c>
      <c r="C332" t="inlineStr">
        <is>
          <t>'=F23</t>
        </is>
      </c>
      <c r="D332" t="inlineStr">
        <is>
          <t>8464b8eef7c14cb7336a27b4a74f7670338e734c289032fb540bd56103c9aac5</t>
        </is>
      </c>
    </row>
    <row r="333">
      <c r="A333" t="inlineStr">
        <is>
          <t>附表6</t>
        </is>
      </c>
      <c r="B333" t="inlineStr">
        <is>
          <t>L10</t>
        </is>
      </c>
      <c r="C333" t="inlineStr">
        <is>
          <t>'=F24</t>
        </is>
      </c>
      <c r="D333" t="inlineStr">
        <is>
          <t>9ed367a5e3825d0f50d44fde06665a27a1a5b1d481a22b68505857131cb7ec82</t>
        </is>
      </c>
    </row>
    <row r="334">
      <c r="A334" t="inlineStr">
        <is>
          <t>附表6</t>
        </is>
      </c>
      <c r="B334" t="inlineStr">
        <is>
          <t>M10</t>
        </is>
      </c>
      <c r="C334" t="inlineStr">
        <is>
          <t>'=F25</t>
        </is>
      </c>
      <c r="D334" t="inlineStr">
        <is>
          <t>47314388abee27a224eb6b91587e32b9cbbcdf0f974af9705530b790432232c3</t>
        </is>
      </c>
    </row>
    <row r="335">
      <c r="A335" t="inlineStr">
        <is>
          <t>附表6</t>
        </is>
      </c>
      <c r="B335" t="inlineStr">
        <is>
          <t>N10</t>
        </is>
      </c>
      <c r="C335" t="inlineStr">
        <is>
          <t>'=F26</t>
        </is>
      </c>
      <c r="D335" t="inlineStr">
        <is>
          <t>8e8873507784a884e464929f855f269ae86026be510b312d169ad528e85712ab</t>
        </is>
      </c>
    </row>
    <row r="336">
      <c r="A336" t="inlineStr">
        <is>
          <t>附表6</t>
        </is>
      </c>
      <c r="B336" t="inlineStr">
        <is>
          <t>O10</t>
        </is>
      </c>
      <c r="C336" t="inlineStr">
        <is>
          <t>'=F27</t>
        </is>
      </c>
      <c r="D336" t="inlineStr">
        <is>
          <t>5954ec758fe3318bf4d7f1f341de39825d6bc4eaa209e3196524590f535316c2</t>
        </is>
      </c>
    </row>
    <row r="337">
      <c r="A337" t="inlineStr">
        <is>
          <t>附表6</t>
        </is>
      </c>
      <c r="B337" t="inlineStr">
        <is>
          <t>P10</t>
        </is>
      </c>
      <c r="C337" t="inlineStr">
        <is>
          <t>'=F28</t>
        </is>
      </c>
      <c r="D337" t="inlineStr">
        <is>
          <t>13f4ea59e7fc664f85ea46b2816893f73e36306223e4bdc135741ec0d1fe42b4</t>
        </is>
      </c>
    </row>
    <row r="338">
      <c r="A338" t="inlineStr">
        <is>
          <t>附表6</t>
        </is>
      </c>
      <c r="B338" t="inlineStr">
        <is>
          <t>Q10</t>
        </is>
      </c>
      <c r="C338" t="inlineStr">
        <is>
          <t>'=F29</t>
        </is>
      </c>
      <c r="D338" t="inlineStr">
        <is>
          <t>890e43661b159feafd46522f2327e365b2920f02cc7fbd207e2e3baa215b9f6d</t>
        </is>
      </c>
    </row>
    <row r="339">
      <c r="A339" t="inlineStr">
        <is>
          <t>附表6</t>
        </is>
      </c>
      <c r="B339" t="inlineStr">
        <is>
          <t>R10</t>
        </is>
      </c>
      <c r="C339" t="inlineStr">
        <is>
          <t>'=F30</t>
        </is>
      </c>
      <c r="D339" t="inlineStr">
        <is>
          <t>36a95251f26c1b8da73153b6feb4d5c2fcf0060d1918ed64dc475c458e02475a</t>
        </is>
      </c>
    </row>
    <row r="340">
      <c r="A340" t="inlineStr">
        <is>
          <t>附表6</t>
        </is>
      </c>
      <c r="B340" t="inlineStr">
        <is>
          <t>S10</t>
        </is>
      </c>
      <c r="C340" t="inlineStr">
        <is>
          <t>'=F31</t>
        </is>
      </c>
      <c r="D340" t="inlineStr">
        <is>
          <t>20c870fd001d5c247be7b3fc4a289f983c2c2f12246199d92dcc1102b343ca6b</t>
        </is>
      </c>
    </row>
    <row r="341">
      <c r="A341" t="inlineStr">
        <is>
          <t>附表6</t>
        </is>
      </c>
      <c r="B341" t="inlineStr">
        <is>
          <t>T10</t>
        </is>
      </c>
      <c r="C341" t="inlineStr">
        <is>
          <t>'=F32</t>
        </is>
      </c>
      <c r="D341" t="inlineStr">
        <is>
          <t>c5ae83bf4079b265fbe8e53096c13e8d016f1c3cff2d7006581c001eb2606b11</t>
        </is>
      </c>
    </row>
    <row r="342">
      <c r="A342" t="inlineStr">
        <is>
          <t>附表6</t>
        </is>
      </c>
      <c r="B342" t="inlineStr">
        <is>
          <t>U10</t>
        </is>
      </c>
      <c r="C342" t="inlineStr">
        <is>
          <t>'=F33</t>
        </is>
      </c>
      <c r="D342" t="inlineStr">
        <is>
          <t>72589d5a055938823a5f2078e039aff33eb904440acbb0faeafe94847d6a4b96</t>
        </is>
      </c>
    </row>
    <row r="343">
      <c r="A343" t="inlineStr">
        <is>
          <t>附表6</t>
        </is>
      </c>
      <c r="B343" t="inlineStr">
        <is>
          <t>V10</t>
        </is>
      </c>
      <c r="C343" t="inlineStr">
        <is>
          <t>'=F34</t>
        </is>
      </c>
      <c r="D343" t="inlineStr">
        <is>
          <t>e3c7865be4287277c5f6870291e7b2c5c43544c67056f211dbafbba1dacc87e0</t>
        </is>
      </c>
    </row>
    <row r="344">
      <c r="A344" t="inlineStr">
        <is>
          <t>附表6</t>
        </is>
      </c>
      <c r="B344" t="inlineStr">
        <is>
          <t>W10</t>
        </is>
      </c>
      <c r="C344" t="inlineStr">
        <is>
          <t>'=F35</t>
        </is>
      </c>
      <c r="D344" t="inlineStr">
        <is>
          <t>a3c5399eb56df218770a83790a52696db93845721fa43ca553ce45bf51e93f4e</t>
        </is>
      </c>
    </row>
    <row r="345">
      <c r="A345" t="inlineStr">
        <is>
          <t>附表6</t>
        </is>
      </c>
      <c r="B345" t="inlineStr">
        <is>
          <t>X10</t>
        </is>
      </c>
      <c r="C345" t="inlineStr">
        <is>
          <t>'=F36</t>
        </is>
      </c>
      <c r="D345" t="inlineStr">
        <is>
          <t>81f7c878de8b0183e578fd1938bf26fd7bdfdc595bd979ce4326cfa1bbe9c46b</t>
        </is>
      </c>
    </row>
    <row r="346">
      <c r="A346" t="inlineStr">
        <is>
          <t>附表6</t>
        </is>
      </c>
      <c r="B346" t="inlineStr">
        <is>
          <t>Y10</t>
        </is>
      </c>
      <c r="C346" t="inlineStr">
        <is>
          <t>'=F37</t>
        </is>
      </c>
      <c r="D346" t="inlineStr">
        <is>
          <t>d5b9cceb096710596835f0ce8f26a4b71d69869b1ff997a5749fdd39ea712e82</t>
        </is>
      </c>
    </row>
    <row r="347">
      <c r="A347" t="inlineStr">
        <is>
          <t>附表6</t>
        </is>
      </c>
      <c r="B347" t="inlineStr">
        <is>
          <t>Z10</t>
        </is>
      </c>
      <c r="C347" t="inlineStr">
        <is>
          <t>'=F38</t>
        </is>
      </c>
      <c r="D347" t="inlineStr">
        <is>
          <t>61ccbb4367dfe2753e4c74c260a0782c0ee06d8b8b15ccce22921359181715c1</t>
        </is>
      </c>
    </row>
    <row r="348">
      <c r="A348" t="inlineStr">
        <is>
          <t>附表6</t>
        </is>
      </c>
      <c r="B348" t="inlineStr">
        <is>
          <t>AA10</t>
        </is>
      </c>
      <c r="C348" t="inlineStr">
        <is>
          <t>'=F39</t>
        </is>
      </c>
      <c r="D348" t="inlineStr">
        <is>
          <t>f87b032df2ba01ff6cef9c2e0ce235b934b6329cc1c727ec535b2c5ef486ca5b</t>
        </is>
      </c>
    </row>
    <row r="349">
      <c r="A349" t="inlineStr">
        <is>
          <t>附表6</t>
        </is>
      </c>
      <c r="B349" t="inlineStr">
        <is>
          <t>F16</t>
        </is>
      </c>
      <c r="C349" t="inlineStr">
        <is>
          <t>'=SUM(B16,C16,D16,E16)</t>
        </is>
      </c>
      <c r="D349" t="inlineStr">
        <is>
          <t>213561c663962fd16caabda2baf1401ccd119f4ea58fe70a1bfbf477ce5b96f8</t>
        </is>
      </c>
    </row>
    <row r="350">
      <c r="A350" t="inlineStr">
        <is>
          <t>附表6</t>
        </is>
      </c>
      <c r="B350" t="inlineStr">
        <is>
          <t>F17</t>
        </is>
      </c>
      <c r="C350" t="inlineStr">
        <is>
          <t>'=SUM(B17,C17,D17,E17)</t>
        </is>
      </c>
      <c r="D350" t="inlineStr">
        <is>
          <t>81009cf7b6458d6b132be914ad5180d4dbdf3916ac76e78bdd79293b103357e8</t>
        </is>
      </c>
    </row>
    <row r="351">
      <c r="A351" t="inlineStr">
        <is>
          <t>附表6</t>
        </is>
      </c>
      <c r="B351" t="inlineStr">
        <is>
          <t>F18</t>
        </is>
      </c>
      <c r="C351" t="inlineStr">
        <is>
          <t>'=SUM(B18,C18,D18,E18)</t>
        </is>
      </c>
      <c r="D351" t="inlineStr">
        <is>
          <t>26ab263fa6698c8b43255c124a4d98a8523563d397abc228db348f86af43aea2</t>
        </is>
      </c>
    </row>
    <row r="352">
      <c r="A352" t="inlineStr">
        <is>
          <t>附表6</t>
        </is>
      </c>
      <c r="B352" t="inlineStr">
        <is>
          <t>F19</t>
        </is>
      </c>
      <c r="C352" t="inlineStr">
        <is>
          <t>'=SUM(B19,C19,D19,E19)</t>
        </is>
      </c>
      <c r="D352" t="inlineStr">
        <is>
          <t>a5d9436bbd1ed314124541f13bca2bbfdebc33999e7277520634dceb0679424d</t>
        </is>
      </c>
    </row>
    <row r="353">
      <c r="A353" t="inlineStr">
        <is>
          <t>附表6</t>
        </is>
      </c>
      <c r="B353" t="inlineStr">
        <is>
          <t>F20</t>
        </is>
      </c>
      <c r="C353" t="inlineStr">
        <is>
          <t>'=SUM(B20,C20,D20,E20)</t>
        </is>
      </c>
      <c r="D353" t="inlineStr">
        <is>
          <t>c7e6d200d892e2d6ee986ffba5c3b6fab8a6ba88af435c5357b6a7ffcba5a038</t>
        </is>
      </c>
    </row>
    <row r="354">
      <c r="A354" t="inlineStr">
        <is>
          <t>附表6</t>
        </is>
      </c>
      <c r="B354" t="inlineStr">
        <is>
          <t>F21</t>
        </is>
      </c>
      <c r="C354" t="inlineStr">
        <is>
          <t>'=SUM(B21,C21,D21,E21)</t>
        </is>
      </c>
      <c r="D354" t="inlineStr">
        <is>
          <t>439d350dd7015ece2a38d1b5305c6866594d250c0cc4f66c6c8d706171aaab1d</t>
        </is>
      </c>
    </row>
    <row r="355">
      <c r="A355" t="inlineStr">
        <is>
          <t>附表6</t>
        </is>
      </c>
      <c r="B355" t="inlineStr">
        <is>
          <t>F22</t>
        </is>
      </c>
      <c r="C355" t="inlineStr">
        <is>
          <t>'=SUM(B22,C22,D22,E22)</t>
        </is>
      </c>
      <c r="D355" t="inlineStr">
        <is>
          <t>8eda407d114cc47d2bde37f123a84995dbd5d0b9e359b3db0236a88c064561fa</t>
        </is>
      </c>
    </row>
    <row r="356">
      <c r="A356" t="inlineStr">
        <is>
          <t>附表6</t>
        </is>
      </c>
      <c r="B356" t="inlineStr">
        <is>
          <t>F23</t>
        </is>
      </c>
      <c r="C356" t="inlineStr">
        <is>
          <t>'=SUM(B23,C23,D23,E23)</t>
        </is>
      </c>
      <c r="D356" t="inlineStr">
        <is>
          <t>36c2452f0f1d12557460b8238690a67bf5bdb82a97c8757f5e0ae4ab78c93bdf</t>
        </is>
      </c>
    </row>
    <row r="357">
      <c r="A357" t="inlineStr">
        <is>
          <t>附表6</t>
        </is>
      </c>
      <c r="B357" t="inlineStr">
        <is>
          <t>F24</t>
        </is>
      </c>
      <c r="C357" t="inlineStr">
        <is>
          <t>'=SUM(B24,C24,D24,E24)</t>
        </is>
      </c>
      <c r="D357" t="inlineStr">
        <is>
          <t>9e7315dff7ccd2a3f6e394ad284e58be766f4f817db04fc4d88986bfb08b4161</t>
        </is>
      </c>
    </row>
    <row r="358">
      <c r="A358" t="inlineStr">
        <is>
          <t>附表6</t>
        </is>
      </c>
      <c r="B358" t="inlineStr">
        <is>
          <t>F25</t>
        </is>
      </c>
      <c r="C358" t="inlineStr">
        <is>
          <t>'=SUM(B25,C25,D25,E25)</t>
        </is>
      </c>
      <c r="D358" t="inlineStr">
        <is>
          <t>5ba8862cba871e2fc8339af158b1e5abebb78f64a11188a8ae1c8d8a7a16e470</t>
        </is>
      </c>
    </row>
    <row r="359">
      <c r="A359" t="inlineStr">
        <is>
          <t>附表6</t>
        </is>
      </c>
      <c r="B359" t="inlineStr">
        <is>
          <t>F26</t>
        </is>
      </c>
      <c r="C359" t="inlineStr">
        <is>
          <t>'=SUM(B26,C26,D26,E26)</t>
        </is>
      </c>
      <c r="D359" t="inlineStr">
        <is>
          <t>c9397f29a71160e0a0a908a9d832df5afbe1677527dc2c82c7c1a85899857d4b</t>
        </is>
      </c>
    </row>
    <row r="360">
      <c r="A360" t="inlineStr">
        <is>
          <t>附表6</t>
        </is>
      </c>
      <c r="B360" t="inlineStr">
        <is>
          <t>F27</t>
        </is>
      </c>
      <c r="C360" t="inlineStr">
        <is>
          <t>'=SUM(B27,C27,D27,E27)</t>
        </is>
      </c>
      <c r="D360" t="inlineStr">
        <is>
          <t>bdf6df0fb9cc6572ea428d174bd729f3f5940a2f8ac5f5144c4316dfb5fd457e</t>
        </is>
      </c>
    </row>
    <row r="361">
      <c r="A361" t="inlineStr">
        <is>
          <t>附表6</t>
        </is>
      </c>
      <c r="B361" t="inlineStr">
        <is>
          <t>F28</t>
        </is>
      </c>
      <c r="C361" t="inlineStr">
        <is>
          <t>'=SUM(B28,C28,D28,E28)</t>
        </is>
      </c>
      <c r="D361" t="inlineStr">
        <is>
          <t>40bf56539a402fd5e37a4726085da45133e7492e9db70cd12d69ae78dde6314c</t>
        </is>
      </c>
    </row>
    <row r="362">
      <c r="A362" t="inlineStr">
        <is>
          <t>附表6</t>
        </is>
      </c>
      <c r="B362" t="inlineStr">
        <is>
          <t>F29</t>
        </is>
      </c>
      <c r="C362" t="inlineStr">
        <is>
          <t>'=SUM(B29,C29,D29,E29)</t>
        </is>
      </c>
      <c r="D362" t="inlineStr">
        <is>
          <t>7627997b0f52a5639ed761d83af880c3104f14a5b8e1e4f27abf37193247ce8d</t>
        </is>
      </c>
    </row>
    <row r="363">
      <c r="A363" t="inlineStr">
        <is>
          <t>附表6</t>
        </is>
      </c>
      <c r="B363" t="inlineStr">
        <is>
          <t>F30</t>
        </is>
      </c>
      <c r="C363" t="inlineStr">
        <is>
          <t>'=SUM(B30,C30,D30,E30)</t>
        </is>
      </c>
      <c r="D363" t="inlineStr">
        <is>
          <t>3514af6c431e1dd7032d2837aa39e27db2fd47dea92f385ef819969c82588ba1</t>
        </is>
      </c>
    </row>
    <row r="364">
      <c r="A364" t="inlineStr">
        <is>
          <t>附表6</t>
        </is>
      </c>
      <c r="B364" t="inlineStr">
        <is>
          <t>F31</t>
        </is>
      </c>
      <c r="C364" t="inlineStr">
        <is>
          <t>'=SUM(B31,C31,D31,E31)</t>
        </is>
      </c>
      <c r="D364" t="inlineStr">
        <is>
          <t>bd0fc938df60fe415deb8341d3b8fa53fcde5483c2b2165eb8c1e3bf58192ba9</t>
        </is>
      </c>
    </row>
    <row r="365">
      <c r="A365" t="inlineStr">
        <is>
          <t>附表6</t>
        </is>
      </c>
      <c r="B365" t="inlineStr">
        <is>
          <t>F32</t>
        </is>
      </c>
      <c r="C365" t="inlineStr">
        <is>
          <t>'=SUM(B32,C32,D32,E32)</t>
        </is>
      </c>
      <c r="D365" t="inlineStr">
        <is>
          <t>8eb29a7ca9bc3d2f69a63806f7f3364e6030e01e5f68a14f182106b7d236d4d9</t>
        </is>
      </c>
    </row>
    <row r="366">
      <c r="A366" t="inlineStr">
        <is>
          <t>附表6</t>
        </is>
      </c>
      <c r="B366" t="inlineStr">
        <is>
          <t>F33</t>
        </is>
      </c>
      <c r="C366" t="inlineStr">
        <is>
          <t>'=SUM(B33,C33,D33,E33)</t>
        </is>
      </c>
      <c r="D366" t="inlineStr">
        <is>
          <t>463539253ec07d38862a9753a3c97136ed6ee07b616d54ed10ae55134ac007de</t>
        </is>
      </c>
    </row>
    <row r="367">
      <c r="A367" t="inlineStr">
        <is>
          <t>附表6</t>
        </is>
      </c>
      <c r="B367" t="inlineStr">
        <is>
          <t>F34</t>
        </is>
      </c>
      <c r="C367" t="inlineStr">
        <is>
          <t>'=SUM(B34,C34,D34,E34)</t>
        </is>
      </c>
      <c r="D367" t="inlineStr">
        <is>
          <t>f4ea4b901c264f5c7bf440637622e39332b767b7c6d060d13ea2990af7da8b59</t>
        </is>
      </c>
    </row>
    <row r="368">
      <c r="A368" t="inlineStr">
        <is>
          <t>附表6</t>
        </is>
      </c>
      <c r="B368" t="inlineStr">
        <is>
          <t>F35</t>
        </is>
      </c>
      <c r="C368" t="inlineStr">
        <is>
          <t>'=SUM(B35,C35,D35,E35)</t>
        </is>
      </c>
      <c r="D368" t="inlineStr">
        <is>
          <t>ba0aa5acd3a6fac1ab482b18ea3a97cd25e4c8d3261a7090352b74b951ada788</t>
        </is>
      </c>
    </row>
    <row r="369">
      <c r="A369" t="inlineStr">
        <is>
          <t>附表6</t>
        </is>
      </c>
      <c r="B369" t="inlineStr">
        <is>
          <t>F36</t>
        </is>
      </c>
      <c r="C369" t="inlineStr">
        <is>
          <t>'=SUM(B36,C36,D36,E36)</t>
        </is>
      </c>
      <c r="D369" t="inlineStr">
        <is>
          <t>5f1035cfecca0818c22db799f2f2f70422ac9cf7b28d28aaa32188333e0136a7</t>
        </is>
      </c>
    </row>
    <row r="370">
      <c r="A370" t="inlineStr">
        <is>
          <t>附表6</t>
        </is>
      </c>
      <c r="B370" t="inlineStr">
        <is>
          <t>F37</t>
        </is>
      </c>
      <c r="C370" t="inlineStr">
        <is>
          <t>'=SUM(B37,C37,D37,E37)</t>
        </is>
      </c>
      <c r="D370" t="inlineStr">
        <is>
          <t>c342c3bf36f14b935db3c0b61ba305da60bc998c9676a19611623edd9b2d5aa6</t>
        </is>
      </c>
    </row>
    <row r="371">
      <c r="A371" t="inlineStr">
        <is>
          <t>附表6</t>
        </is>
      </c>
      <c r="B371" t="inlineStr">
        <is>
          <t>F38</t>
        </is>
      </c>
      <c r="C371" t="inlineStr">
        <is>
          <t>'=SUM(B38,C38,D38,E38)</t>
        </is>
      </c>
      <c r="D371" t="inlineStr">
        <is>
          <t>fd8aadd6acfcb151758ca7ba444675405c9720c6229fb7189756b919ed2bf706</t>
        </is>
      </c>
    </row>
    <row r="372">
      <c r="A372" t="inlineStr">
        <is>
          <t>附表6</t>
        </is>
      </c>
      <c r="B372" t="inlineStr">
        <is>
          <t>F39</t>
        </is>
      </c>
      <c r="C372" t="inlineStr">
        <is>
          <t>'=SUM(B39,C39,D39,E39)</t>
        </is>
      </c>
      <c r="D372" t="inlineStr">
        <is>
          <t>5f2d98465a482a8a5abdc596abd08ccfbe49d8cf006642fc566ec3d0e2f0843e</t>
        </is>
      </c>
    </row>
    <row r="373">
      <c r="A373" t="inlineStr">
        <is>
          <t>附表6</t>
        </is>
      </c>
      <c r="B373" t="inlineStr">
        <is>
          <t>B42</t>
        </is>
      </c>
      <c r="C373" t="inlineStr">
        <is>
          <t>'='附表4'!C4</t>
        </is>
      </c>
      <c r="D373" t="inlineStr">
        <is>
          <t>c76fe9cf5b8a85f46342a87fe535ea6567b81b92289573558541f049e52c72a4</t>
        </is>
      </c>
    </row>
    <row r="374">
      <c r="A374" t="inlineStr">
        <is>
          <t>附表6</t>
        </is>
      </c>
      <c r="B374" t="inlineStr">
        <is>
          <t>B43</t>
        </is>
      </c>
      <c r="C374" t="inlineStr">
        <is>
          <t>'='附表5'!A16</t>
        </is>
      </c>
      <c r="D374" t="inlineStr">
        <is>
          <t>9e86d3f6dc5eef08931a266e3af2300dab7e04c81b34c405975043cc7b67e9fc</t>
        </is>
      </c>
    </row>
    <row r="375">
      <c r="A375" t="inlineStr">
        <is>
          <t>附表6</t>
        </is>
      </c>
      <c r="B375" t="inlineStr">
        <is>
          <t>B44</t>
        </is>
      </c>
      <c r="C375" t="inlineStr">
        <is>
          <t>'='附表6-1'!A11</t>
        </is>
      </c>
      <c r="D375" t="inlineStr">
        <is>
          <t>88e30d097bed7df8ef34e978c202b263ee1a62155702bafd225c136b41042fbf</t>
        </is>
      </c>
    </row>
    <row r="376">
      <c r="A376" t="inlineStr">
        <is>
          <t>附表6</t>
        </is>
      </c>
      <c r="B376" t="inlineStr">
        <is>
          <t>B45</t>
        </is>
      </c>
      <c r="C376" t="inlineStr">
        <is>
          <t>'='附表6-2'!A8</t>
        </is>
      </c>
      <c r="D376" t="inlineStr">
        <is>
          <t>8f152fa170dc255184f4fc88ab5e55746015528984a700084027d0f536f1b704</t>
        </is>
      </c>
    </row>
    <row r="377">
      <c r="A377" t="inlineStr">
        <is>
          <t>附表6</t>
        </is>
      </c>
      <c r="B377" t="inlineStr">
        <is>
          <t>B46</t>
        </is>
      </c>
      <c r="C377" t="inlineStr">
        <is>
          <t>'='附表6-3'!A8</t>
        </is>
      </c>
      <c r="D377" t="inlineStr">
        <is>
          <t>7022020bff39c368f22de5c4a85eb288e3621ddf6f5472098ea710b2e15acf7f</t>
        </is>
      </c>
    </row>
    <row r="378">
      <c r="A378" t="inlineStr">
        <is>
          <t>附表6</t>
        </is>
      </c>
      <c r="B378" t="inlineStr">
        <is>
          <t>B47</t>
        </is>
      </c>
      <c r="C378" t="inlineStr">
        <is>
          <t>'='附表8'!A24</t>
        </is>
      </c>
      <c r="D378" t="inlineStr">
        <is>
          <t>c06f761d1fa6d4370344fd2a84df2a044cb0a6706c156d7c12a3dcc9209d7160</t>
        </is>
      </c>
    </row>
    <row r="379">
      <c r="A379" t="inlineStr">
        <is>
          <t>附表6-1</t>
        </is>
      </c>
      <c r="B379" t="inlineStr">
        <is>
          <t>F5</t>
        </is>
      </c>
      <c r="C379" t="inlineStr">
        <is>
          <t>'=SUM(G5,H5,I5,J5,K5,L5,M5,N5,O5,P5,Q5,R5,S5,T5,U5,V5,W5,X5,Y5,Z5,AA5,AB5,AC5,AD5)</t>
        </is>
      </c>
      <c r="D379" t="inlineStr">
        <is>
          <t>f696bd05da48ede816afa23416cebc3edacd84f210a0953bb3afc38ba9555bd6</t>
        </is>
      </c>
    </row>
    <row r="380">
      <c r="A380" t="inlineStr">
        <is>
          <t>附表6-1</t>
        </is>
      </c>
      <c r="B380" t="inlineStr">
        <is>
          <t>G5</t>
        </is>
      </c>
      <c r="C380" t="inlineStr">
        <is>
          <t>'=B11</t>
        </is>
      </c>
      <c r="D380" t="inlineStr">
        <is>
          <t>9a9deec0a1e8a3ba1612e3f94d870909ee00155cc8f299dfe9081478b20ff186</t>
        </is>
      </c>
    </row>
    <row r="381">
      <c r="A381" t="inlineStr">
        <is>
          <t>附表6-1</t>
        </is>
      </c>
      <c r="B381" t="inlineStr">
        <is>
          <t>H5</t>
        </is>
      </c>
      <c r="C381" t="inlineStr">
        <is>
          <t>'=B12</t>
        </is>
      </c>
      <c r="D381" t="inlineStr">
        <is>
          <t>1613d515d9e9d1be5bb640b7bb62cf79ecb1921395abcce246d8d8eae1b80e46</t>
        </is>
      </c>
    </row>
    <row r="382">
      <c r="A382" t="inlineStr">
        <is>
          <t>附表6-1</t>
        </is>
      </c>
      <c r="B382" t="inlineStr">
        <is>
          <t>I5</t>
        </is>
      </c>
      <c r="C382" t="inlineStr">
        <is>
          <t>'=B13</t>
        </is>
      </c>
      <c r="D382" t="inlineStr">
        <is>
          <t>c10e1ec487a26266dde83ba3f35042b8af49ffede6d7f8d294c6b73790b61e3c</t>
        </is>
      </c>
    </row>
    <row r="383">
      <c r="A383" t="inlineStr">
        <is>
          <t>附表6-1</t>
        </is>
      </c>
      <c r="B383" t="inlineStr">
        <is>
          <t>J5</t>
        </is>
      </c>
      <c r="C383" t="inlineStr">
        <is>
          <t>'=B14</t>
        </is>
      </c>
      <c r="D383" t="inlineStr">
        <is>
          <t>1dfe7993e1bb8d917796f7ddca17e1f54a7051743b52c8dcf1f5feeddf1466e3</t>
        </is>
      </c>
    </row>
    <row r="384">
      <c r="A384" t="inlineStr">
        <is>
          <t>附表6-1</t>
        </is>
      </c>
      <c r="B384" t="inlineStr">
        <is>
          <t>K5</t>
        </is>
      </c>
      <c r="C384" t="inlineStr">
        <is>
          <t>'=B15</t>
        </is>
      </c>
      <c r="D384" t="inlineStr">
        <is>
          <t>23afada2c5036d8814c29f7fda2b5e7799c97c2f17aa332d8a1ac7bf5b15d346</t>
        </is>
      </c>
    </row>
    <row r="385">
      <c r="A385" t="inlineStr">
        <is>
          <t>附表6-1</t>
        </is>
      </c>
      <c r="B385" t="inlineStr">
        <is>
          <t>L5</t>
        </is>
      </c>
      <c r="C385" t="inlineStr">
        <is>
          <t>'=B16</t>
        </is>
      </c>
      <c r="D385" t="inlineStr">
        <is>
          <t>d0857ed5402c2011ed19228a0c3765ae92f82ab289f87483dc4862d42dbd907c</t>
        </is>
      </c>
    </row>
    <row r="386">
      <c r="A386" t="inlineStr">
        <is>
          <t>附表6-1</t>
        </is>
      </c>
      <c r="B386" t="inlineStr">
        <is>
          <t>M5</t>
        </is>
      </c>
      <c r="C386" t="inlineStr">
        <is>
          <t>'=B17</t>
        </is>
      </c>
      <c r="D386" t="inlineStr">
        <is>
          <t>02a9454271dbb7a8285f366e0e7b06e9ef9a43b4d8c0efd177b48badc97a6c30</t>
        </is>
      </c>
    </row>
    <row r="387">
      <c r="A387" t="inlineStr">
        <is>
          <t>附表6-1</t>
        </is>
      </c>
      <c r="B387" t="inlineStr">
        <is>
          <t>N5</t>
        </is>
      </c>
      <c r="C387" t="inlineStr">
        <is>
          <t>'=B18</t>
        </is>
      </c>
      <c r="D387" t="inlineStr">
        <is>
          <t>cfd77b300bfc858339f0558a805e8322e95e8a2719f02c3c985bbcfd156e27ef</t>
        </is>
      </c>
    </row>
    <row r="388">
      <c r="A388" t="inlineStr">
        <is>
          <t>附表6-1</t>
        </is>
      </c>
      <c r="B388" t="inlineStr">
        <is>
          <t>O5</t>
        </is>
      </c>
      <c r="C388" t="inlineStr">
        <is>
          <t>'=B19</t>
        </is>
      </c>
      <c r="D388" t="inlineStr">
        <is>
          <t>3e2ae012073edd4a07e54a8fdb2710ff10c134de84abfb8de6844b154dd8a3b9</t>
        </is>
      </c>
    </row>
    <row r="389">
      <c r="A389" t="inlineStr">
        <is>
          <t>附表6-1</t>
        </is>
      </c>
      <c r="B389" t="inlineStr">
        <is>
          <t>P5</t>
        </is>
      </c>
      <c r="C389" t="inlineStr">
        <is>
          <t>'=B20</t>
        </is>
      </c>
      <c r="D389" t="inlineStr">
        <is>
          <t>a1fa19e9a6ee38ef5da4fd2ce60e31d82093c91aba8b5382f3eaf6c647fda908</t>
        </is>
      </c>
    </row>
    <row r="390">
      <c r="A390" t="inlineStr">
        <is>
          <t>附表6-1</t>
        </is>
      </c>
      <c r="B390" t="inlineStr">
        <is>
          <t>Q5</t>
        </is>
      </c>
      <c r="C390" t="inlineStr">
        <is>
          <t>'=B21</t>
        </is>
      </c>
      <c r="D390" t="inlineStr">
        <is>
          <t>2334565805e22a2e57c89495083e0dfecabce53afceb7dab4e2a7a295b5e482a</t>
        </is>
      </c>
    </row>
    <row r="391">
      <c r="A391" t="inlineStr">
        <is>
          <t>附表6-1</t>
        </is>
      </c>
      <c r="B391" t="inlineStr">
        <is>
          <t>R5</t>
        </is>
      </c>
      <c r="C391" t="inlineStr">
        <is>
          <t>'=B22</t>
        </is>
      </c>
      <c r="D391" t="inlineStr">
        <is>
          <t>bd55956b52c5699d827d55ed878fb4555be7e127e0fc9166eddba521ca32cf20</t>
        </is>
      </c>
    </row>
    <row r="392">
      <c r="A392" t="inlineStr">
        <is>
          <t>附表6-1</t>
        </is>
      </c>
      <c r="B392" t="inlineStr">
        <is>
          <t>S5</t>
        </is>
      </c>
      <c r="C392" t="inlineStr">
        <is>
          <t>'=B23</t>
        </is>
      </c>
      <c r="D392" t="inlineStr">
        <is>
          <t>5158e88df38b56e53b2fcc616f157d4ebcbaf9f5cf28ff781d2282e26fc56d12</t>
        </is>
      </c>
    </row>
    <row r="393">
      <c r="A393" t="inlineStr">
        <is>
          <t>附表6-1</t>
        </is>
      </c>
      <c r="B393" t="inlineStr">
        <is>
          <t>T5</t>
        </is>
      </c>
      <c r="C393" t="inlineStr">
        <is>
          <t>'=B24</t>
        </is>
      </c>
      <c r="D393" t="inlineStr">
        <is>
          <t>730ae340688638a1a27e70cd6c0feac2f8dfddd026da6b70f7a92767282ac1a7</t>
        </is>
      </c>
    </row>
    <row r="394">
      <c r="A394" t="inlineStr">
        <is>
          <t>附表6-1</t>
        </is>
      </c>
      <c r="B394" t="inlineStr">
        <is>
          <t>U5</t>
        </is>
      </c>
      <c r="C394" t="inlineStr">
        <is>
          <t>'=B25</t>
        </is>
      </c>
      <c r="D394" t="inlineStr">
        <is>
          <t>c21ed6eaeeaff854fbfc0606c99b43d86641bfc3849e8a054136c1cac2d287f9</t>
        </is>
      </c>
    </row>
    <row r="395">
      <c r="A395" t="inlineStr">
        <is>
          <t>附表6-1</t>
        </is>
      </c>
      <c r="B395" t="inlineStr">
        <is>
          <t>V5</t>
        </is>
      </c>
      <c r="C395" t="inlineStr">
        <is>
          <t>'=B26</t>
        </is>
      </c>
      <c r="D395" t="inlineStr">
        <is>
          <t>4decc89728bfcc1c2aa9917cc46d876371a0ea32aaf679167d722770a80bc615</t>
        </is>
      </c>
    </row>
    <row r="396">
      <c r="A396" t="inlineStr">
        <is>
          <t>附表6-1</t>
        </is>
      </c>
      <c r="B396" t="inlineStr">
        <is>
          <t>W5</t>
        </is>
      </c>
      <c r="C396" t="inlineStr">
        <is>
          <t>'=B27</t>
        </is>
      </c>
      <c r="D396" t="inlineStr">
        <is>
          <t>35edf781c8cfa2cfa5acda1a912d588d3cc55565144e9c1be4d5d8e1231d8c14</t>
        </is>
      </c>
    </row>
    <row r="397">
      <c r="A397" t="inlineStr">
        <is>
          <t>附表6-1</t>
        </is>
      </c>
      <c r="B397" t="inlineStr">
        <is>
          <t>X5</t>
        </is>
      </c>
      <c r="C397" t="inlineStr">
        <is>
          <t>'=B28</t>
        </is>
      </c>
      <c r="D397" t="inlineStr">
        <is>
          <t>8213bbad3ef16d77a645a6d4b8f67525a2d9d7686c52bf681588f0708915cd16</t>
        </is>
      </c>
    </row>
    <row r="398">
      <c r="A398" t="inlineStr">
        <is>
          <t>附表6-1</t>
        </is>
      </c>
      <c r="B398" t="inlineStr">
        <is>
          <t>Y5</t>
        </is>
      </c>
      <c r="C398" t="inlineStr">
        <is>
          <t>'=B29</t>
        </is>
      </c>
      <c r="D398" t="inlineStr">
        <is>
          <t>18a599c3727733e7da2c2ce7ef2bfcd7db41fbe9b2440bf38d8a966076790399</t>
        </is>
      </c>
    </row>
    <row r="399">
      <c r="A399" t="inlineStr">
        <is>
          <t>附表6-1</t>
        </is>
      </c>
      <c r="B399" t="inlineStr">
        <is>
          <t>Z5</t>
        </is>
      </c>
      <c r="C399" t="inlineStr">
        <is>
          <t>'=B30</t>
        </is>
      </c>
      <c r="D399" t="inlineStr">
        <is>
          <t>7d60414b56386b27d6ca510adb8e9b97c26c7028a90da9ead19ee06dc4718ec3</t>
        </is>
      </c>
    </row>
    <row r="400">
      <c r="A400" t="inlineStr">
        <is>
          <t>附表6-1</t>
        </is>
      </c>
      <c r="B400" t="inlineStr">
        <is>
          <t>AA5</t>
        </is>
      </c>
      <c r="C400" t="inlineStr">
        <is>
          <t>'=B31</t>
        </is>
      </c>
      <c r="D400" t="inlineStr">
        <is>
          <t>abccdd472cd69b2c7da65d1710eec828869b6e65bd053ebc6edd9a0ccd6fd8ae</t>
        </is>
      </c>
    </row>
    <row r="401">
      <c r="A401" t="inlineStr">
        <is>
          <t>附表6-1</t>
        </is>
      </c>
      <c r="B401" t="inlineStr">
        <is>
          <t>AB5</t>
        </is>
      </c>
      <c r="C401" t="inlineStr">
        <is>
          <t>'=B32</t>
        </is>
      </c>
      <c r="D401" t="inlineStr">
        <is>
          <t>3077aa330b73350bcce41e9dadebfd0fcb7b7c5b85503121270d7b0d96d17f93</t>
        </is>
      </c>
    </row>
    <row r="402">
      <c r="A402" t="inlineStr">
        <is>
          <t>附表6-1</t>
        </is>
      </c>
      <c r="B402" t="inlineStr">
        <is>
          <t>AC5</t>
        </is>
      </c>
      <c r="C402" t="inlineStr">
        <is>
          <t>'=B33</t>
        </is>
      </c>
      <c r="D402" t="inlineStr">
        <is>
          <t>c1ba1c9812a1b4b9224eb3ded96378cd1be4d6dd4b8113c5a63fdefd419de1a5</t>
        </is>
      </c>
    </row>
    <row r="403">
      <c r="A403" t="inlineStr">
        <is>
          <t>附表6-1</t>
        </is>
      </c>
      <c r="B403" t="inlineStr">
        <is>
          <t>AD5</t>
        </is>
      </c>
      <c r="C403" t="inlineStr">
        <is>
          <t>'=B34</t>
        </is>
      </c>
      <c r="D403" t="inlineStr">
        <is>
          <t>59c2543dbd59c4cb098c37ec6ba4ff0573708c937fb318b3fc2efebf1e849171</t>
        </is>
      </c>
    </row>
    <row r="404">
      <c r="A404" t="inlineStr">
        <is>
          <t>附表6-1</t>
        </is>
      </c>
      <c r="B404" t="inlineStr">
        <is>
          <t>F6</t>
        </is>
      </c>
      <c r="C404" t="inlineStr">
        <is>
          <t>'=SUM(G6,H6,I6,J6,K6,L6,M6,N6,O6,P6,Q6,R6,S6,T6,U6,V6,W6,X6,Y6,Z6,AA6,AB6,AC6,AD6)</t>
        </is>
      </c>
      <c r="D404" t="inlineStr">
        <is>
          <t>cf50c36c2421263287b37600cb644cf5a12c581f7667c59e5017764c25c9e72e</t>
        </is>
      </c>
    </row>
    <row r="405">
      <c r="A405" t="inlineStr">
        <is>
          <t>附表6-1</t>
        </is>
      </c>
      <c r="B405" t="inlineStr">
        <is>
          <t>G6</t>
        </is>
      </c>
      <c r="C405" t="inlineStr">
        <is>
          <t>'=C11</t>
        </is>
      </c>
      <c r="D405" t="inlineStr">
        <is>
          <t>7eb32a73d3d35d3fbca4b0bba79d0bfed13ffd70aa868b8f3c68cfa260753476</t>
        </is>
      </c>
    </row>
    <row r="406">
      <c r="A406" t="inlineStr">
        <is>
          <t>附表6-1</t>
        </is>
      </c>
      <c r="B406" t="inlineStr">
        <is>
          <t>H6</t>
        </is>
      </c>
      <c r="C406" t="inlineStr">
        <is>
          <t>'=C12</t>
        </is>
      </c>
      <c r="D406" t="inlineStr">
        <is>
          <t>d989733e2ba50b71e38b0c6d352a1ce216b5b28f07b7514f06f5ca678fbcfdfe</t>
        </is>
      </c>
    </row>
    <row r="407">
      <c r="A407" t="inlineStr">
        <is>
          <t>附表6-1</t>
        </is>
      </c>
      <c r="B407" t="inlineStr">
        <is>
          <t>I6</t>
        </is>
      </c>
      <c r="C407" t="inlineStr">
        <is>
          <t>'=C13</t>
        </is>
      </c>
      <c r="D407" t="inlineStr">
        <is>
          <t>4a078af60226b87006d4703867f0e3ed4ae722072cbdd38158ead60cf1f8125f</t>
        </is>
      </c>
    </row>
    <row r="408">
      <c r="A408" t="inlineStr">
        <is>
          <t>附表6-1</t>
        </is>
      </c>
      <c r="B408" t="inlineStr">
        <is>
          <t>J6</t>
        </is>
      </c>
      <c r="C408" t="inlineStr">
        <is>
          <t>'=C14</t>
        </is>
      </c>
      <c r="D408" t="inlineStr">
        <is>
          <t>99daac6288748c0d35a7bcae338f86bf5738d7bb2e82b19b3df550c5adfa95a2</t>
        </is>
      </c>
    </row>
    <row r="409">
      <c r="A409" t="inlineStr">
        <is>
          <t>附表6-1</t>
        </is>
      </c>
      <c r="B409" t="inlineStr">
        <is>
          <t>K6</t>
        </is>
      </c>
      <c r="C409" t="inlineStr">
        <is>
          <t>'=C15</t>
        </is>
      </c>
      <c r="D409" t="inlineStr">
        <is>
          <t>0b0e9932ac1972e7b5cd76dba5fa58997db6b4cec11ced0a10f7e8029a610ec3</t>
        </is>
      </c>
    </row>
    <row r="410">
      <c r="A410" t="inlineStr">
        <is>
          <t>附表6-1</t>
        </is>
      </c>
      <c r="B410" t="inlineStr">
        <is>
          <t>L6</t>
        </is>
      </c>
      <c r="C410" t="inlineStr">
        <is>
          <t>'=C16</t>
        </is>
      </c>
      <c r="D410" t="inlineStr">
        <is>
          <t>6aa82f91fc064548a7d8a91f75ab340ed9cb1f518c73c99e6b010fa1e307a643</t>
        </is>
      </c>
    </row>
    <row r="411">
      <c r="A411" t="inlineStr">
        <is>
          <t>附表6-1</t>
        </is>
      </c>
      <c r="B411" t="inlineStr">
        <is>
          <t>M6</t>
        </is>
      </c>
      <c r="C411" t="inlineStr">
        <is>
          <t>'=C17</t>
        </is>
      </c>
      <c r="D411" t="inlineStr">
        <is>
          <t>da8a543faf334e550b7c6b7c0f9456ae45a58cd3cba9e7d6460e9d48dbd65f29</t>
        </is>
      </c>
    </row>
    <row r="412">
      <c r="A412" t="inlineStr">
        <is>
          <t>附表6-1</t>
        </is>
      </c>
      <c r="B412" t="inlineStr">
        <is>
          <t>N6</t>
        </is>
      </c>
      <c r="C412" t="inlineStr">
        <is>
          <t>'=C18</t>
        </is>
      </c>
      <c r="D412" t="inlineStr">
        <is>
          <t>a8ce5e60f2979a7ae7ba81a83bc9064dfce1fd8f9a80c956464623465f68cd5b</t>
        </is>
      </c>
    </row>
    <row r="413">
      <c r="A413" t="inlineStr">
        <is>
          <t>附表6-1</t>
        </is>
      </c>
      <c r="B413" t="inlineStr">
        <is>
          <t>O6</t>
        </is>
      </c>
      <c r="C413" t="inlineStr">
        <is>
          <t>'=C19</t>
        </is>
      </c>
      <c r="D413" t="inlineStr">
        <is>
          <t>0e0e88f3a974ee67ae174e1fd3e8b6198f0b7cfa6216e3cf5536fdc2efc7f66e</t>
        </is>
      </c>
    </row>
    <row r="414">
      <c r="A414" t="inlineStr">
        <is>
          <t>附表6-1</t>
        </is>
      </c>
      <c r="B414" t="inlineStr">
        <is>
          <t>P6</t>
        </is>
      </c>
      <c r="C414" t="inlineStr">
        <is>
          <t>'=C20</t>
        </is>
      </c>
      <c r="D414" t="inlineStr">
        <is>
          <t>3af5621e34aadf68971d356d9efa547567a481ccff556263c8ba281f03bc43a6</t>
        </is>
      </c>
    </row>
    <row r="415">
      <c r="A415" t="inlineStr">
        <is>
          <t>附表6-1</t>
        </is>
      </c>
      <c r="B415" t="inlineStr">
        <is>
          <t>Q6</t>
        </is>
      </c>
      <c r="C415" t="inlineStr">
        <is>
          <t>'=C21</t>
        </is>
      </c>
      <c r="D415" t="inlineStr">
        <is>
          <t>193d833d5845b71462b0e6a7b8b7020e53dde9a9ed39e179c34bc0f0adc0b4c9</t>
        </is>
      </c>
    </row>
    <row r="416">
      <c r="A416" t="inlineStr">
        <is>
          <t>附表6-1</t>
        </is>
      </c>
      <c r="B416" t="inlineStr">
        <is>
          <t>R6</t>
        </is>
      </c>
      <c r="C416" t="inlineStr">
        <is>
          <t>'=C22</t>
        </is>
      </c>
      <c r="D416" t="inlineStr">
        <is>
          <t>b54cb7b64dd32ac59e29d233fecbde4cd312e1feece9875bd2e06af3b567e145</t>
        </is>
      </c>
    </row>
    <row r="417">
      <c r="A417" t="inlineStr">
        <is>
          <t>附表6-1</t>
        </is>
      </c>
      <c r="B417" t="inlineStr">
        <is>
          <t>S6</t>
        </is>
      </c>
      <c r="C417" t="inlineStr">
        <is>
          <t>'=C23</t>
        </is>
      </c>
      <c r="D417" t="inlineStr">
        <is>
          <t>5c58f73364d112963d14b8d9d1acc46721d8fcf964f5079173fab94af4c2d65c</t>
        </is>
      </c>
    </row>
    <row r="418">
      <c r="A418" t="inlineStr">
        <is>
          <t>附表6-1</t>
        </is>
      </c>
      <c r="B418" t="inlineStr">
        <is>
          <t>T6</t>
        </is>
      </c>
      <c r="C418" t="inlineStr">
        <is>
          <t>'=C24</t>
        </is>
      </c>
      <c r="D418" t="inlineStr">
        <is>
          <t>43de46d09a807da850b11cf4b9f825e6af7dfa0f1e1d17f3b5132f95ade83149</t>
        </is>
      </c>
    </row>
    <row r="419">
      <c r="A419" t="inlineStr">
        <is>
          <t>附表6-1</t>
        </is>
      </c>
      <c r="B419" t="inlineStr">
        <is>
          <t>U6</t>
        </is>
      </c>
      <c r="C419" t="inlineStr">
        <is>
          <t>'=C25</t>
        </is>
      </c>
      <c r="D419" t="inlineStr">
        <is>
          <t>c3acf3980d9d88544df14844f1b5fd3b75c5cd442835abb01f8b548fe4691fb8</t>
        </is>
      </c>
    </row>
    <row r="420">
      <c r="A420" t="inlineStr">
        <is>
          <t>附表6-1</t>
        </is>
      </c>
      <c r="B420" t="inlineStr">
        <is>
          <t>V6</t>
        </is>
      </c>
      <c r="C420" t="inlineStr">
        <is>
          <t>'=C26</t>
        </is>
      </c>
      <c r="D420" t="inlineStr">
        <is>
          <t>e4753ba3f76f3fc83415ab8d8cdd8a77e5b51ec6d834ff84419687a0d53db51d</t>
        </is>
      </c>
    </row>
    <row r="421">
      <c r="A421" t="inlineStr">
        <is>
          <t>附表6-1</t>
        </is>
      </c>
      <c r="B421" t="inlineStr">
        <is>
          <t>W6</t>
        </is>
      </c>
      <c r="C421" t="inlineStr">
        <is>
          <t>'=C27</t>
        </is>
      </c>
      <c r="D421" t="inlineStr">
        <is>
          <t>ab0890b218feaa9f139fb33cb49c96ae21bf6b19ff47660914d0ddfe03c0c89d</t>
        </is>
      </c>
    </row>
    <row r="422">
      <c r="A422" t="inlineStr">
        <is>
          <t>附表6-1</t>
        </is>
      </c>
      <c r="B422" t="inlineStr">
        <is>
          <t>X6</t>
        </is>
      </c>
      <c r="C422" t="inlineStr">
        <is>
          <t>'=C28</t>
        </is>
      </c>
      <c r="D422" t="inlineStr">
        <is>
          <t>6f165d5c9a22dffda1501afe7729c38a8ed47bbf34119815eb6eb389fc2efa8c</t>
        </is>
      </c>
    </row>
    <row r="423">
      <c r="A423" t="inlineStr">
        <is>
          <t>附表6-1</t>
        </is>
      </c>
      <c r="B423" t="inlineStr">
        <is>
          <t>Y6</t>
        </is>
      </c>
      <c r="C423" t="inlineStr">
        <is>
          <t>'=C29</t>
        </is>
      </c>
      <c r="D423" t="inlineStr">
        <is>
          <t>91618ce5f53efbc38bc637dfecc12775fb5be6fac2a45d04b3242b703f91946f</t>
        </is>
      </c>
    </row>
    <row r="424">
      <c r="A424" t="inlineStr">
        <is>
          <t>附表6-1</t>
        </is>
      </c>
      <c r="B424" t="inlineStr">
        <is>
          <t>Z6</t>
        </is>
      </c>
      <c r="C424" t="inlineStr">
        <is>
          <t>'=C30</t>
        </is>
      </c>
      <c r="D424" t="inlineStr">
        <is>
          <t>7053b1f84c72798ad508eec0f3c2f765842a6bba85da663101b39bbd58c7eda0</t>
        </is>
      </c>
    </row>
    <row r="425">
      <c r="A425" t="inlineStr">
        <is>
          <t>附表6-1</t>
        </is>
      </c>
      <c r="B425" t="inlineStr">
        <is>
          <t>AA6</t>
        </is>
      </c>
      <c r="C425" t="inlineStr">
        <is>
          <t>'=C31</t>
        </is>
      </c>
      <c r="D425" t="inlineStr">
        <is>
          <t>3af8c58aa833fff592c980eedb0711e9c708061c49798f04722298d64d9f80b7</t>
        </is>
      </c>
    </row>
    <row r="426">
      <c r="A426" t="inlineStr">
        <is>
          <t>附表6-1</t>
        </is>
      </c>
      <c r="B426" t="inlineStr">
        <is>
          <t>AB6</t>
        </is>
      </c>
      <c r="C426" t="inlineStr">
        <is>
          <t>'=C32</t>
        </is>
      </c>
      <c r="D426" t="inlineStr">
        <is>
          <t>64bed7883bbcb4cee222cf94bd9058653bf9c19cbfad6f7c876d439826db21a7</t>
        </is>
      </c>
    </row>
    <row r="427">
      <c r="A427" t="inlineStr">
        <is>
          <t>附表6-1</t>
        </is>
      </c>
      <c r="B427" t="inlineStr">
        <is>
          <t>AC6</t>
        </is>
      </c>
      <c r="C427" t="inlineStr">
        <is>
          <t>'=C33</t>
        </is>
      </c>
      <c r="D427" t="inlineStr">
        <is>
          <t>107f76788d629db052c128792f733da226e3970752f3807f05fe92d0ba77ffcc</t>
        </is>
      </c>
    </row>
    <row r="428">
      <c r="A428" t="inlineStr">
        <is>
          <t>附表6-1</t>
        </is>
      </c>
      <c r="B428" t="inlineStr">
        <is>
          <t>AD6</t>
        </is>
      </c>
      <c r="C428" t="inlineStr">
        <is>
          <t>'=C34</t>
        </is>
      </c>
      <c r="D428" t="inlineStr">
        <is>
          <t>1f7b734b8ef59d0aa0d31dafe489144061301fd53957fd6c4b107290278fb509</t>
        </is>
      </c>
    </row>
    <row r="429">
      <c r="A429" t="inlineStr">
        <is>
          <t>附表6-1</t>
        </is>
      </c>
      <c r="B429" t="inlineStr">
        <is>
          <t>F7</t>
        </is>
      </c>
      <c r="C429" t="inlineStr">
        <is>
          <t>'=SUM(G7,H7,I7,J7,K7,L7,M7,N7,O7,P7,Q7,R7,S7,T7,U7,V7,W7,X7,Y7,Z7,AA7,AB7,AC7,AD7)</t>
        </is>
      </c>
      <c r="D429" t="inlineStr">
        <is>
          <t>dff5192bac7ed71d49755224add62700ff9c97c35d7dc749e24a452b0d9135e9</t>
        </is>
      </c>
    </row>
    <row r="430">
      <c r="A430" t="inlineStr">
        <is>
          <t>附表6-1</t>
        </is>
      </c>
      <c r="B430" t="inlineStr">
        <is>
          <t>G7</t>
        </is>
      </c>
      <c r="C430" t="inlineStr">
        <is>
          <t>'=D11</t>
        </is>
      </c>
      <c r="D430" t="inlineStr">
        <is>
          <t>c6ae6dc4e4b2de6c7026eaa0b576393b71d4c5241a49352042b4381906b7454e</t>
        </is>
      </c>
    </row>
    <row r="431">
      <c r="A431" t="inlineStr">
        <is>
          <t>附表6-1</t>
        </is>
      </c>
      <c r="B431" t="inlineStr">
        <is>
          <t>H7</t>
        </is>
      </c>
      <c r="C431" t="inlineStr">
        <is>
          <t>'=D12</t>
        </is>
      </c>
      <c r="D431" t="inlineStr">
        <is>
          <t>9879eeda46dc76cd49ce8db9c53278b4de6eeb8237f9fca7c2ce16761a4b6f31</t>
        </is>
      </c>
    </row>
    <row r="432">
      <c r="A432" t="inlineStr">
        <is>
          <t>附表6-1</t>
        </is>
      </c>
      <c r="B432" t="inlineStr">
        <is>
          <t>I7</t>
        </is>
      </c>
      <c r="C432" t="inlineStr">
        <is>
          <t>'=D13</t>
        </is>
      </c>
      <c r="D432" t="inlineStr">
        <is>
          <t>96360dff0673b15be9a57a7efc7d5d2e4c927663f437c485e4cda7319f2d51dc</t>
        </is>
      </c>
    </row>
    <row r="433">
      <c r="A433" t="inlineStr">
        <is>
          <t>附表6-1</t>
        </is>
      </c>
      <c r="B433" t="inlineStr">
        <is>
          <t>J7</t>
        </is>
      </c>
      <c r="C433" t="inlineStr">
        <is>
          <t>'=D14</t>
        </is>
      </c>
      <c r="D433" t="inlineStr">
        <is>
          <t>7dfdad839b12affde988e4dc5d3cbd5c49a451595d71fdd2fcf0af79628da081</t>
        </is>
      </c>
    </row>
    <row r="434">
      <c r="A434" t="inlineStr">
        <is>
          <t>附表6-1</t>
        </is>
      </c>
      <c r="B434" t="inlineStr">
        <is>
          <t>K7</t>
        </is>
      </c>
      <c r="C434" t="inlineStr">
        <is>
          <t>'=D15</t>
        </is>
      </c>
      <c r="D434" t="inlineStr">
        <is>
          <t>c681b53ee7eccb8a05778222f89ff5ac0f062cc41d87ae461da9208da2bd7abb</t>
        </is>
      </c>
    </row>
    <row r="435">
      <c r="A435" t="inlineStr">
        <is>
          <t>附表6-1</t>
        </is>
      </c>
      <c r="B435" t="inlineStr">
        <is>
          <t>L7</t>
        </is>
      </c>
      <c r="C435" t="inlineStr">
        <is>
          <t>'=D16</t>
        </is>
      </c>
      <c r="D435" t="inlineStr">
        <is>
          <t>4933de0e42195dc70057de0653480f2b4dc3430df6e7fa1de596f85881ba9ea8</t>
        </is>
      </c>
    </row>
    <row r="436">
      <c r="A436" t="inlineStr">
        <is>
          <t>附表6-1</t>
        </is>
      </c>
      <c r="B436" t="inlineStr">
        <is>
          <t>M7</t>
        </is>
      </c>
      <c r="C436" t="inlineStr">
        <is>
          <t>'=D17</t>
        </is>
      </c>
      <c r="D436" t="inlineStr">
        <is>
          <t>4c12c77f7bd76195e49c7f3cda790b15731842f9115ec11d9765a9bd97229e4a</t>
        </is>
      </c>
    </row>
    <row r="437">
      <c r="A437" t="inlineStr">
        <is>
          <t>附表6-1</t>
        </is>
      </c>
      <c r="B437" t="inlineStr">
        <is>
          <t>N7</t>
        </is>
      </c>
      <c r="C437" t="inlineStr">
        <is>
          <t>'=D18</t>
        </is>
      </c>
      <c r="D437" t="inlineStr">
        <is>
          <t>5a573c7c7b1b4a2b3cd5014d2afc926a1dbc973dad79b424ee138ab67b47118e</t>
        </is>
      </c>
    </row>
    <row r="438">
      <c r="A438" t="inlineStr">
        <is>
          <t>附表6-1</t>
        </is>
      </c>
      <c r="B438" t="inlineStr">
        <is>
          <t>O7</t>
        </is>
      </c>
      <c r="C438" t="inlineStr">
        <is>
          <t>'=D19</t>
        </is>
      </c>
      <c r="D438" t="inlineStr">
        <is>
          <t>b9ce757d84572521733385e492b83ed1bbcaa31d54c693fd40595346ce5a728b</t>
        </is>
      </c>
    </row>
    <row r="439">
      <c r="A439" t="inlineStr">
        <is>
          <t>附表6-1</t>
        </is>
      </c>
      <c r="B439" t="inlineStr">
        <is>
          <t>P7</t>
        </is>
      </c>
      <c r="C439" t="inlineStr">
        <is>
          <t>'=D20</t>
        </is>
      </c>
      <c r="D439" t="inlineStr">
        <is>
          <t>a7ebc1ac7c294fd511bf92a9846923716743862e317dbab420a3fdd6ad55d715</t>
        </is>
      </c>
    </row>
    <row r="440">
      <c r="A440" t="inlineStr">
        <is>
          <t>附表6-1</t>
        </is>
      </c>
      <c r="B440" t="inlineStr">
        <is>
          <t>Q7</t>
        </is>
      </c>
      <c r="C440" t="inlineStr">
        <is>
          <t>'=D21</t>
        </is>
      </c>
      <c r="D440" t="inlineStr">
        <is>
          <t>dd2c0535b2cc2d2c7d9a728a52b268e4ca6d8357c7d40bb9a11e60dd7b2b3342</t>
        </is>
      </c>
    </row>
    <row r="441">
      <c r="A441" t="inlineStr">
        <is>
          <t>附表6-1</t>
        </is>
      </c>
      <c r="B441" t="inlineStr">
        <is>
          <t>R7</t>
        </is>
      </c>
      <c r="C441" t="inlineStr">
        <is>
          <t>'=D22</t>
        </is>
      </c>
      <c r="D441" t="inlineStr">
        <is>
          <t>fd81278826c022b876b4fa0e13b8bcc9fd3f5fd12822f1296ad925b9ba200de0</t>
        </is>
      </c>
    </row>
    <row r="442">
      <c r="A442" t="inlineStr">
        <is>
          <t>附表6-1</t>
        </is>
      </c>
      <c r="B442" t="inlineStr">
        <is>
          <t>S7</t>
        </is>
      </c>
      <c r="C442" t="inlineStr">
        <is>
          <t>'=D23</t>
        </is>
      </c>
      <c r="D442" t="inlineStr">
        <is>
          <t>4e3edd7bef1ccd13bc3da04ebe6e214d591e81eba0f2923cbea5f9cbf520563b</t>
        </is>
      </c>
    </row>
    <row r="443">
      <c r="A443" t="inlineStr">
        <is>
          <t>附表6-1</t>
        </is>
      </c>
      <c r="B443" t="inlineStr">
        <is>
          <t>T7</t>
        </is>
      </c>
      <c r="C443" t="inlineStr">
        <is>
          <t>'=D24</t>
        </is>
      </c>
      <c r="D443" t="inlineStr">
        <is>
          <t>83962ae917357542afddcffd7deabde725a4dc0147ac1cc8f05b62607d7c05c5</t>
        </is>
      </c>
    </row>
    <row r="444">
      <c r="A444" t="inlineStr">
        <is>
          <t>附表6-1</t>
        </is>
      </c>
      <c r="B444" t="inlineStr">
        <is>
          <t>U7</t>
        </is>
      </c>
      <c r="C444" t="inlineStr">
        <is>
          <t>'=D25</t>
        </is>
      </c>
      <c r="D444" t="inlineStr">
        <is>
          <t>70a86fa2f4144bbf9e0d7d6fdb3c866ef1c49841783d113dcff9dfa0c1880a90</t>
        </is>
      </c>
    </row>
    <row r="445">
      <c r="A445" t="inlineStr">
        <is>
          <t>附表6-1</t>
        </is>
      </c>
      <c r="B445" t="inlineStr">
        <is>
          <t>V7</t>
        </is>
      </c>
      <c r="C445" t="inlineStr">
        <is>
          <t>'=D26</t>
        </is>
      </c>
      <c r="D445" t="inlineStr">
        <is>
          <t>9a55e00dd06b8284dbb16ea2569f22d39b44edb2192d639b187b5213751b9ac0</t>
        </is>
      </c>
    </row>
    <row r="446">
      <c r="A446" t="inlineStr">
        <is>
          <t>附表6-1</t>
        </is>
      </c>
      <c r="B446" t="inlineStr">
        <is>
          <t>W7</t>
        </is>
      </c>
      <c r="C446" t="inlineStr">
        <is>
          <t>'=D27</t>
        </is>
      </c>
      <c r="D446" t="inlineStr">
        <is>
          <t>7b6527143aed96de549d67657faef4d6a5d8a376b29e6cb60dc8c87b9f5be9c8</t>
        </is>
      </c>
    </row>
    <row r="447">
      <c r="A447" t="inlineStr">
        <is>
          <t>附表6-1</t>
        </is>
      </c>
      <c r="B447" t="inlineStr">
        <is>
          <t>X7</t>
        </is>
      </c>
      <c r="C447" t="inlineStr">
        <is>
          <t>'=D28</t>
        </is>
      </c>
      <c r="D447" t="inlineStr">
        <is>
          <t>f4a4e5645f63873576816d4418f3286215cdde8a791baaf3df4123f32366f5eb</t>
        </is>
      </c>
    </row>
    <row r="448">
      <c r="A448" t="inlineStr">
        <is>
          <t>附表6-1</t>
        </is>
      </c>
      <c r="B448" t="inlineStr">
        <is>
          <t>Y7</t>
        </is>
      </c>
      <c r="C448" t="inlineStr">
        <is>
          <t>'=D29</t>
        </is>
      </c>
      <c r="D448" t="inlineStr">
        <is>
          <t>0808dcd0831c3bb83c02fd37f813019f5a5996b7601f2d2e23c52a8d9253fcdf</t>
        </is>
      </c>
    </row>
    <row r="449">
      <c r="A449" t="inlineStr">
        <is>
          <t>附表6-1</t>
        </is>
      </c>
      <c r="B449" t="inlineStr">
        <is>
          <t>Z7</t>
        </is>
      </c>
      <c r="C449" t="inlineStr">
        <is>
          <t>'=D30</t>
        </is>
      </c>
      <c r="D449" t="inlineStr">
        <is>
          <t>d136345226829fe529f1ceefb48854ff74a102a1e4ad1374f6303396e0ac70b1</t>
        </is>
      </c>
    </row>
    <row r="450">
      <c r="A450" t="inlineStr">
        <is>
          <t>附表6-1</t>
        </is>
      </c>
      <c r="B450" t="inlineStr">
        <is>
          <t>AA7</t>
        </is>
      </c>
      <c r="C450" t="inlineStr">
        <is>
          <t>'=D31</t>
        </is>
      </c>
      <c r="D450" t="inlineStr">
        <is>
          <t>8456b36e3ecf4270892831a6a677ca706dc24b4ec9dcefd41118cad6c8ae8b50</t>
        </is>
      </c>
    </row>
    <row r="451">
      <c r="A451" t="inlineStr">
        <is>
          <t>附表6-1</t>
        </is>
      </c>
      <c r="B451" t="inlineStr">
        <is>
          <t>AB7</t>
        </is>
      </c>
      <c r="C451" t="inlineStr">
        <is>
          <t>'=D32</t>
        </is>
      </c>
      <c r="D451" t="inlineStr">
        <is>
          <t>eb8d486dbf1c5bc57f13658d2c864a1bd90fa4789992bc0d4206672c02dd4eff</t>
        </is>
      </c>
    </row>
    <row r="452">
      <c r="A452" t="inlineStr">
        <is>
          <t>附表6-1</t>
        </is>
      </c>
      <c r="B452" t="inlineStr">
        <is>
          <t>AC7</t>
        </is>
      </c>
      <c r="C452" t="inlineStr">
        <is>
          <t>'=D33</t>
        </is>
      </c>
      <c r="D452" t="inlineStr">
        <is>
          <t>36b97dde108fc21156ffadd4bda9311e922f29e1bd8ca690a03b0d99fcb86b7f</t>
        </is>
      </c>
    </row>
    <row r="453">
      <c r="A453" t="inlineStr">
        <is>
          <t>附表6-1</t>
        </is>
      </c>
      <c r="B453" t="inlineStr">
        <is>
          <t>AD7</t>
        </is>
      </c>
      <c r="C453" t="inlineStr">
        <is>
          <t>'=D34</t>
        </is>
      </c>
      <c r="D453" t="inlineStr">
        <is>
          <t>14f4f9a4e44905b9a54b85c7feedeb755fbb94bb9811aece074fb7a3bb82c794</t>
        </is>
      </c>
    </row>
    <row r="454">
      <c r="A454" t="inlineStr">
        <is>
          <t>附表6-1</t>
        </is>
      </c>
      <c r="B454" t="inlineStr">
        <is>
          <t>D11</t>
        </is>
      </c>
      <c r="C454" t="inlineStr">
        <is>
          <t>'=B11+C11</t>
        </is>
      </c>
      <c r="D454" t="inlineStr">
        <is>
          <t>2617aafb67cbd38289f30fd84cacd806f5563ae7500cf781a96e54e736f2c7e9</t>
        </is>
      </c>
    </row>
    <row r="455">
      <c r="A455" t="inlineStr">
        <is>
          <t>附表6-1</t>
        </is>
      </c>
      <c r="B455" t="inlineStr">
        <is>
          <t>D12</t>
        </is>
      </c>
      <c r="C455" t="inlineStr">
        <is>
          <t>'=B12+C12</t>
        </is>
      </c>
      <c r="D455" t="inlineStr">
        <is>
          <t>341e5244c336650ee9638ac597d7b097944654ae3492ce3a2919bbc581e3d218</t>
        </is>
      </c>
    </row>
    <row r="456">
      <c r="A456" t="inlineStr">
        <is>
          <t>附表6-1</t>
        </is>
      </c>
      <c r="B456" t="inlineStr">
        <is>
          <t>D13</t>
        </is>
      </c>
      <c r="C456" t="inlineStr">
        <is>
          <t>'=B13+C13</t>
        </is>
      </c>
      <c r="D456" t="inlineStr">
        <is>
          <t>dd8c7ada4a59f179fbaf5e75998ecb3285f6f1fa81733caf09caab5c0de8b229</t>
        </is>
      </c>
    </row>
    <row r="457">
      <c r="A457" t="inlineStr">
        <is>
          <t>附表6-1</t>
        </is>
      </c>
      <c r="B457" t="inlineStr">
        <is>
          <t>D14</t>
        </is>
      </c>
      <c r="C457" t="inlineStr">
        <is>
          <t>'=B14+C14</t>
        </is>
      </c>
      <c r="D457" t="inlineStr">
        <is>
          <t>108d29a60cdde809b112a236349f348dcea4789c99dd9a6e71aeedb97e3fa0d8</t>
        </is>
      </c>
    </row>
    <row r="458">
      <c r="A458" t="inlineStr">
        <is>
          <t>附表6-1</t>
        </is>
      </c>
      <c r="B458" t="inlineStr">
        <is>
          <t>D15</t>
        </is>
      </c>
      <c r="C458" t="inlineStr">
        <is>
          <t>'=B15+C15</t>
        </is>
      </c>
      <c r="D458" t="inlineStr">
        <is>
          <t>c5027a30b2eaaaa749122e8cc31d2be1eeadcff4146cba12e2d0237d794202b5</t>
        </is>
      </c>
    </row>
    <row r="459">
      <c r="A459" t="inlineStr">
        <is>
          <t>附表6-1</t>
        </is>
      </c>
      <c r="B459" t="inlineStr">
        <is>
          <t>D16</t>
        </is>
      </c>
      <c r="C459" t="inlineStr">
        <is>
          <t>'=B16+C16</t>
        </is>
      </c>
      <c r="D459" t="inlineStr">
        <is>
          <t>db76685d8660733e534ca03fbc9029889fa0521a0bbd82a2e1f7ebca0fc0f8b5</t>
        </is>
      </c>
    </row>
    <row r="460">
      <c r="A460" t="inlineStr">
        <is>
          <t>附表6-1</t>
        </is>
      </c>
      <c r="B460" t="inlineStr">
        <is>
          <t>D17</t>
        </is>
      </c>
      <c r="C460" t="inlineStr">
        <is>
          <t>'=B17+C17</t>
        </is>
      </c>
      <c r="D460" t="inlineStr">
        <is>
          <t>b26ba9efa644b8e493d92e95897e1938aa2230790eae79d72f53b8bfde770616</t>
        </is>
      </c>
    </row>
    <row r="461">
      <c r="A461" t="inlineStr">
        <is>
          <t>附表6-1</t>
        </is>
      </c>
      <c r="B461" t="inlineStr">
        <is>
          <t>D18</t>
        </is>
      </c>
      <c r="C461" t="inlineStr">
        <is>
          <t>'=B18+C18</t>
        </is>
      </c>
      <c r="D461" t="inlineStr">
        <is>
          <t>67ab98c2b295ac07a5bd511eae016330cc05292b4b60a1f492d1ea9e7a71680e</t>
        </is>
      </c>
    </row>
    <row r="462">
      <c r="A462" t="inlineStr">
        <is>
          <t>附表6-1</t>
        </is>
      </c>
      <c r="B462" t="inlineStr">
        <is>
          <t>D19</t>
        </is>
      </c>
      <c r="C462" t="inlineStr">
        <is>
          <t>'=B19+C19</t>
        </is>
      </c>
      <c r="D462" t="inlineStr">
        <is>
          <t>8abea1a79b897d9b32f93f2a6b3b71f5e555b6fad1cc18f916baf30228dec64d</t>
        </is>
      </c>
    </row>
    <row r="463">
      <c r="A463" t="inlineStr">
        <is>
          <t>附表6-1</t>
        </is>
      </c>
      <c r="B463" t="inlineStr">
        <is>
          <t>D20</t>
        </is>
      </c>
      <c r="C463" t="inlineStr">
        <is>
          <t>'=B20+C20</t>
        </is>
      </c>
      <c r="D463" t="inlineStr">
        <is>
          <t>324f390133766fd5e23734d4937c43d1d03a79682b47250cde8c23720a84904d</t>
        </is>
      </c>
    </row>
    <row r="464">
      <c r="A464" t="inlineStr">
        <is>
          <t>附表6-1</t>
        </is>
      </c>
      <c r="B464" t="inlineStr">
        <is>
          <t>D21</t>
        </is>
      </c>
      <c r="C464" t="inlineStr">
        <is>
          <t>'=B21+C21</t>
        </is>
      </c>
      <c r="D464" t="inlineStr">
        <is>
          <t>d97002262f3f58a7cb4ab4a9dbfc7e681eb5b864bf202a4dc55477975ae8e102</t>
        </is>
      </c>
    </row>
    <row r="465">
      <c r="A465" t="inlineStr">
        <is>
          <t>附表6-1</t>
        </is>
      </c>
      <c r="B465" t="inlineStr">
        <is>
          <t>D22</t>
        </is>
      </c>
      <c r="C465" t="inlineStr">
        <is>
          <t>'=B22+C22</t>
        </is>
      </c>
      <c r="D465" t="inlineStr">
        <is>
          <t>7aaa837be56ff1cfd373e9bb82a08f3feafea197471893f8956b96d7b3fc0b05</t>
        </is>
      </c>
    </row>
    <row r="466">
      <c r="A466" t="inlineStr">
        <is>
          <t>附表6-1</t>
        </is>
      </c>
      <c r="B466" t="inlineStr">
        <is>
          <t>D23</t>
        </is>
      </c>
      <c r="C466" t="inlineStr">
        <is>
          <t>'=B23+C23</t>
        </is>
      </c>
      <c r="D466" t="inlineStr">
        <is>
          <t>25540c70c0309300cef3d650aec9612c63e6f2053634d5e500e6f2a226a5fc88</t>
        </is>
      </c>
    </row>
    <row r="467">
      <c r="A467" t="inlineStr">
        <is>
          <t>附表6-1</t>
        </is>
      </c>
      <c r="B467" t="inlineStr">
        <is>
          <t>D24</t>
        </is>
      </c>
      <c r="C467" t="inlineStr">
        <is>
          <t>'=B24+C24</t>
        </is>
      </c>
      <c r="D467" t="inlineStr">
        <is>
          <t>b909d95d689c8df5ac62f67dff2c251919e690a396650150a0dfb97542d2bbd7</t>
        </is>
      </c>
    </row>
    <row r="468">
      <c r="A468" t="inlineStr">
        <is>
          <t>附表6-1</t>
        </is>
      </c>
      <c r="B468" t="inlineStr">
        <is>
          <t>D25</t>
        </is>
      </c>
      <c r="C468" t="inlineStr">
        <is>
          <t>'=B25+C25</t>
        </is>
      </c>
      <c r="D468" t="inlineStr">
        <is>
          <t>8eb935b8feb32c98afa9d26790079194a7175fb36314e3978e71b9cb4892ed48</t>
        </is>
      </c>
    </row>
    <row r="469">
      <c r="A469" t="inlineStr">
        <is>
          <t>附表6-1</t>
        </is>
      </c>
      <c r="B469" t="inlineStr">
        <is>
          <t>D26</t>
        </is>
      </c>
      <c r="C469" t="inlineStr">
        <is>
          <t>'=B26+C26</t>
        </is>
      </c>
      <c r="D469" t="inlineStr">
        <is>
          <t>1edd9e0b6cd96e26dd746a9f868c767cb6fa24626babc72d8df4bb640983763b</t>
        </is>
      </c>
    </row>
    <row r="470">
      <c r="A470" t="inlineStr">
        <is>
          <t>附表6-1</t>
        </is>
      </c>
      <c r="B470" t="inlineStr">
        <is>
          <t>D27</t>
        </is>
      </c>
      <c r="C470" t="inlineStr">
        <is>
          <t>'=B27+C27</t>
        </is>
      </c>
      <c r="D470" t="inlineStr">
        <is>
          <t>8c7c1883bec84aed523c8ee22c255c879813ad34f484e535038f9b0a9d20f499</t>
        </is>
      </c>
    </row>
    <row r="471">
      <c r="A471" t="inlineStr">
        <is>
          <t>附表6-1</t>
        </is>
      </c>
      <c r="B471" t="inlineStr">
        <is>
          <t>D28</t>
        </is>
      </c>
      <c r="C471" t="inlineStr">
        <is>
          <t>'=B28+C28</t>
        </is>
      </c>
      <c r="D471" t="inlineStr">
        <is>
          <t>8a3ddc6f8d142a7f38b2397bf372225f4eff65c7514b205bfdae9fcf3200f499</t>
        </is>
      </c>
    </row>
    <row r="472">
      <c r="A472" t="inlineStr">
        <is>
          <t>附表6-1</t>
        </is>
      </c>
      <c r="B472" t="inlineStr">
        <is>
          <t>D29</t>
        </is>
      </c>
      <c r="C472" t="inlineStr">
        <is>
          <t>'=B29+C29</t>
        </is>
      </c>
      <c r="D472" t="inlineStr">
        <is>
          <t>009653a6c0e6139290337b3eb9df02a17ea9edf2f2238a07e430991e6572f38b</t>
        </is>
      </c>
    </row>
    <row r="473">
      <c r="A473" t="inlineStr">
        <is>
          <t>附表6-1</t>
        </is>
      </c>
      <c r="B473" t="inlineStr">
        <is>
          <t>D30</t>
        </is>
      </c>
      <c r="C473" t="inlineStr">
        <is>
          <t>'=B30+C30</t>
        </is>
      </c>
      <c r="D473" t="inlineStr">
        <is>
          <t>bae410e248699aebbc45eccbe1298820e077eee99375c96fe7125882143446d9</t>
        </is>
      </c>
    </row>
    <row r="474">
      <c r="A474" t="inlineStr">
        <is>
          <t>附表6-1</t>
        </is>
      </c>
      <c r="B474" t="inlineStr">
        <is>
          <t>D31</t>
        </is>
      </c>
      <c r="C474" t="inlineStr">
        <is>
          <t>'=B31+C31</t>
        </is>
      </c>
      <c r="D474" t="inlineStr">
        <is>
          <t>5dcff7cc868203a35d0c808ebb53db7891a0c889168d969a85d91cfcc5ec7bc6</t>
        </is>
      </c>
    </row>
    <row r="475">
      <c r="A475" t="inlineStr">
        <is>
          <t>附表6-1</t>
        </is>
      </c>
      <c r="B475" t="inlineStr">
        <is>
          <t>D32</t>
        </is>
      </c>
      <c r="C475" t="inlineStr">
        <is>
          <t>'=B32+C32</t>
        </is>
      </c>
      <c r="D475" t="inlineStr">
        <is>
          <t>dfe64bdcbbbc67f53c834a6b6083f39f233e8bd7edf928328692462c453d058f</t>
        </is>
      </c>
    </row>
    <row r="476">
      <c r="A476" t="inlineStr">
        <is>
          <t>附表6-1</t>
        </is>
      </c>
      <c r="B476" t="inlineStr">
        <is>
          <t>D33</t>
        </is>
      </c>
      <c r="C476" t="inlineStr">
        <is>
          <t>'=B33+C33</t>
        </is>
      </c>
      <c r="D476" t="inlineStr">
        <is>
          <t>ef77c18a9fca84a027f8de370d6f73c64cfe11525439dea7bc2dc8bd8db7dfe2</t>
        </is>
      </c>
    </row>
    <row r="477">
      <c r="A477" t="inlineStr">
        <is>
          <t>附表6-1</t>
        </is>
      </c>
      <c r="B477" t="inlineStr">
        <is>
          <t>D34</t>
        </is>
      </c>
      <c r="C477" t="inlineStr">
        <is>
          <t>'=B34+C34</t>
        </is>
      </c>
      <c r="D477" t="inlineStr">
        <is>
          <t>e500403e8d467a955a9bb8f9829d8f4243f2d15f607b9bc58887bb368bba1211</t>
        </is>
      </c>
    </row>
    <row r="478">
      <c r="A478" t="inlineStr">
        <is>
          <t>附表6-2</t>
        </is>
      </c>
      <c r="B478" t="inlineStr">
        <is>
          <t>C4</t>
        </is>
      </c>
      <c r="C478" t="inlineStr">
        <is>
          <t>'=SUM(E4,F4,G4,H4,I4,J4,K4,L4,M4,N4,O4,P4,Q4,R4,S4,T4,U4,V4,W4,X4,Y4,Z4,AA4,AB4)</t>
        </is>
      </c>
      <c r="D478" t="inlineStr">
        <is>
          <t>ce08352246041e2ee0bbe23a944ab523053fac0d98397e05cde5a02aec10c3bd</t>
        </is>
      </c>
    </row>
    <row r="479">
      <c r="A479" t="inlineStr">
        <is>
          <t>附表6-2</t>
        </is>
      </c>
      <c r="B479" t="inlineStr">
        <is>
          <t>E4</t>
        </is>
      </c>
      <c r="C479" t="inlineStr">
        <is>
          <t>'=E8</t>
        </is>
      </c>
      <c r="D479" t="inlineStr">
        <is>
          <t>a9d172c9d51b9823971f6061f1bd0fa77569c9feb2474ff0889081365f2f4351</t>
        </is>
      </c>
    </row>
    <row r="480">
      <c r="A480" t="inlineStr">
        <is>
          <t>附表6-2</t>
        </is>
      </c>
      <c r="B480" t="inlineStr">
        <is>
          <t>F4</t>
        </is>
      </c>
      <c r="C480" t="inlineStr">
        <is>
          <t>'=E9</t>
        </is>
      </c>
      <c r="D480" t="inlineStr">
        <is>
          <t>ddb42917441daa63172d9ef759c25426d4754d12dbd4c0a9125c6ac975cb35e6</t>
        </is>
      </c>
    </row>
    <row r="481">
      <c r="A481" t="inlineStr">
        <is>
          <t>附表6-2</t>
        </is>
      </c>
      <c r="B481" t="inlineStr">
        <is>
          <t>G4</t>
        </is>
      </c>
      <c r="C481" t="inlineStr">
        <is>
          <t>'=E10</t>
        </is>
      </c>
      <c r="D481" t="inlineStr">
        <is>
          <t>589a54cbc01190a336eeb4bb2cc8cba1e96a717b9953960a0d8c4caeda6d0bd4</t>
        </is>
      </c>
    </row>
    <row r="482">
      <c r="A482" t="inlineStr">
        <is>
          <t>附表6-2</t>
        </is>
      </c>
      <c r="B482" t="inlineStr">
        <is>
          <t>H4</t>
        </is>
      </c>
      <c r="C482" t="inlineStr">
        <is>
          <t>'=E11</t>
        </is>
      </c>
      <c r="D482" t="inlineStr">
        <is>
          <t>41157f79d04ab05658b9b55633ab1e56ef6cfa2a737e56643ea998b4f6de3762</t>
        </is>
      </c>
    </row>
    <row r="483">
      <c r="A483" t="inlineStr">
        <is>
          <t>附表6-2</t>
        </is>
      </c>
      <c r="B483" t="inlineStr">
        <is>
          <t>I4</t>
        </is>
      </c>
      <c r="C483" t="inlineStr">
        <is>
          <t>'=E12</t>
        </is>
      </c>
      <c r="D483" t="inlineStr">
        <is>
          <t>02c56c1b781d8daa8d3c962f646b3830d3a1dc9d2e98dc9091d7d966e604f0ac</t>
        </is>
      </c>
    </row>
    <row r="484">
      <c r="A484" t="inlineStr">
        <is>
          <t>附表6-2</t>
        </is>
      </c>
      <c r="B484" t="inlineStr">
        <is>
          <t>J4</t>
        </is>
      </c>
      <c r="C484" t="inlineStr">
        <is>
          <t>'=E13</t>
        </is>
      </c>
      <c r="D484" t="inlineStr">
        <is>
          <t>df83e99cc7e55f80b702499c67b20015f2002b1dfbc9e66d3a48737737ba6bcd</t>
        </is>
      </c>
    </row>
    <row r="485">
      <c r="A485" t="inlineStr">
        <is>
          <t>附表6-2</t>
        </is>
      </c>
      <c r="B485" t="inlineStr">
        <is>
          <t>K4</t>
        </is>
      </c>
      <c r="C485" t="inlineStr">
        <is>
          <t>'=E14</t>
        </is>
      </c>
      <c r="D485" t="inlineStr">
        <is>
          <t>0b38b8070e568336e2f2d9eae744caf11e7e2fcbb6c8a12d8faf5de290d16f88</t>
        </is>
      </c>
    </row>
    <row r="486">
      <c r="A486" t="inlineStr">
        <is>
          <t>附表6-2</t>
        </is>
      </c>
      <c r="B486" t="inlineStr">
        <is>
          <t>L4</t>
        </is>
      </c>
      <c r="C486" t="inlineStr">
        <is>
          <t>'=E15</t>
        </is>
      </c>
      <c r="D486" t="inlineStr">
        <is>
          <t>ce2b6e480a6fd30a693ca1155073716d2c1c2b37d53f840e33aa244aa971fa40</t>
        </is>
      </c>
    </row>
    <row r="487">
      <c r="A487" t="inlineStr">
        <is>
          <t>附表6-2</t>
        </is>
      </c>
      <c r="B487" t="inlineStr">
        <is>
          <t>M4</t>
        </is>
      </c>
      <c r="C487" t="inlineStr">
        <is>
          <t>'=E16</t>
        </is>
      </c>
      <c r="D487" t="inlineStr">
        <is>
          <t>392c3ecb8dbba1328898d2e72ac1f65213cd214c0922906adaf8b944688fe320</t>
        </is>
      </c>
    </row>
    <row r="488">
      <c r="A488" t="inlineStr">
        <is>
          <t>附表6-2</t>
        </is>
      </c>
      <c r="B488" t="inlineStr">
        <is>
          <t>N4</t>
        </is>
      </c>
      <c r="C488" t="inlineStr">
        <is>
          <t>'=E17</t>
        </is>
      </c>
      <c r="D488" t="inlineStr">
        <is>
          <t>7ebb09d52f527aac240f33bcdaffa5428c4275d957ad6636ee656d9e9532a745</t>
        </is>
      </c>
    </row>
    <row r="489">
      <c r="A489" t="inlineStr">
        <is>
          <t>附表6-2</t>
        </is>
      </c>
      <c r="B489" t="inlineStr">
        <is>
          <t>O4</t>
        </is>
      </c>
      <c r="C489" t="inlineStr">
        <is>
          <t>'=E18</t>
        </is>
      </c>
      <c r="D489" t="inlineStr">
        <is>
          <t>df4f89535d3525e7de44ab274aa5976c717bb0071800409f09b4050c83de6741</t>
        </is>
      </c>
    </row>
    <row r="490">
      <c r="A490" t="inlineStr">
        <is>
          <t>附表6-2</t>
        </is>
      </c>
      <c r="B490" t="inlineStr">
        <is>
          <t>P4</t>
        </is>
      </c>
      <c r="C490" t="inlineStr">
        <is>
          <t>'=E19</t>
        </is>
      </c>
      <c r="D490" t="inlineStr">
        <is>
          <t>9fb11cfb1f7fd598878a665010cbbcc7034db274d5ba256b5e28a77f92d041bd</t>
        </is>
      </c>
    </row>
    <row r="491">
      <c r="A491" t="inlineStr">
        <is>
          <t>附表6-2</t>
        </is>
      </c>
      <c r="B491" t="inlineStr">
        <is>
          <t>Q4</t>
        </is>
      </c>
      <c r="C491" t="inlineStr">
        <is>
          <t>'=E20</t>
        </is>
      </c>
      <c r="D491" t="inlineStr">
        <is>
          <t>05082b7bd2c44cd5cfb16ada282235d7b09ab7de9c712999913356dc013a2276</t>
        </is>
      </c>
    </row>
    <row r="492">
      <c r="A492" t="inlineStr">
        <is>
          <t>附表6-2</t>
        </is>
      </c>
      <c r="B492" t="inlineStr">
        <is>
          <t>R4</t>
        </is>
      </c>
      <c r="C492" t="inlineStr">
        <is>
          <t>'=E21</t>
        </is>
      </c>
      <c r="D492" t="inlineStr">
        <is>
          <t>cbccd5e5dfa9c73ccf73f4c06e608cccf30117948f5a3a8e0bebd9f87030268b</t>
        </is>
      </c>
    </row>
    <row r="493">
      <c r="A493" t="inlineStr">
        <is>
          <t>附表6-2</t>
        </is>
      </c>
      <c r="B493" t="inlineStr">
        <is>
          <t>S4</t>
        </is>
      </c>
      <c r="C493" t="inlineStr">
        <is>
          <t>'=E22</t>
        </is>
      </c>
      <c r="D493" t="inlineStr">
        <is>
          <t>b3bdd965d81f6295ce34f69cd2229065180d63cf9e8209fe504a1a6b742ca2cc</t>
        </is>
      </c>
    </row>
    <row r="494">
      <c r="A494" t="inlineStr">
        <is>
          <t>附表6-2</t>
        </is>
      </c>
      <c r="B494" t="inlineStr">
        <is>
          <t>T4</t>
        </is>
      </c>
      <c r="C494" t="inlineStr">
        <is>
          <t>'=E23</t>
        </is>
      </c>
      <c r="D494" t="inlineStr">
        <is>
          <t>c3381f8b31a876fe4cdf2e75626f8d1b8fc95ad920bef3b8f94b1508359587c0</t>
        </is>
      </c>
    </row>
    <row r="495">
      <c r="A495" t="inlineStr">
        <is>
          <t>附表6-2</t>
        </is>
      </c>
      <c r="B495" t="inlineStr">
        <is>
          <t>U4</t>
        </is>
      </c>
      <c r="C495" t="inlineStr">
        <is>
          <t>'=E24</t>
        </is>
      </c>
      <c r="D495" t="inlineStr">
        <is>
          <t>ff40c724feadaf7d60cfcbeb2bb4506626a7d1d584e20c3572e046372ca103a0</t>
        </is>
      </c>
    </row>
    <row r="496">
      <c r="A496" t="inlineStr">
        <is>
          <t>附表6-2</t>
        </is>
      </c>
      <c r="B496" t="inlineStr">
        <is>
          <t>V4</t>
        </is>
      </c>
      <c r="C496" t="inlineStr">
        <is>
          <t>'=E25</t>
        </is>
      </c>
      <c r="D496" t="inlineStr">
        <is>
          <t>bee489adc18703ca78293e5fa79dbe2fc039df6f5a0897bd29f2afc1f0f44f4f</t>
        </is>
      </c>
    </row>
    <row r="497">
      <c r="A497" t="inlineStr">
        <is>
          <t>附表6-2</t>
        </is>
      </c>
      <c r="B497" t="inlineStr">
        <is>
          <t>W4</t>
        </is>
      </c>
      <c r="C497" t="inlineStr">
        <is>
          <t>'=E26</t>
        </is>
      </c>
      <c r="D497" t="inlineStr">
        <is>
          <t>d528036d55c16bc8bb929bca4c1c8c7bb5c4220cf8c44f3c65ebdced4feaa2d6</t>
        </is>
      </c>
    </row>
    <row r="498">
      <c r="A498" t="inlineStr">
        <is>
          <t>附表6-2</t>
        </is>
      </c>
      <c r="B498" t="inlineStr">
        <is>
          <t>X4</t>
        </is>
      </c>
      <c r="C498" t="inlineStr">
        <is>
          <t>'=E27</t>
        </is>
      </c>
      <c r="D498" t="inlineStr">
        <is>
          <t>b18c01b39373e16b82f579f4ff9f16b35c9ab8e4983583d5bb6e660a4c67f7ae</t>
        </is>
      </c>
    </row>
    <row r="499">
      <c r="A499" t="inlineStr">
        <is>
          <t>附表6-2</t>
        </is>
      </c>
      <c r="B499" t="inlineStr">
        <is>
          <t>Y4</t>
        </is>
      </c>
      <c r="C499" t="inlineStr">
        <is>
          <t>'=E28</t>
        </is>
      </c>
      <c r="D499" t="inlineStr">
        <is>
          <t>7631880322d74cf866bc65bf42898faec259e43e467b54ea5c9af511e68e6fd3</t>
        </is>
      </c>
    </row>
    <row r="500">
      <c r="A500" t="inlineStr">
        <is>
          <t>附表6-2</t>
        </is>
      </c>
      <c r="B500" t="inlineStr">
        <is>
          <t>Z4</t>
        </is>
      </c>
      <c r="C500" t="inlineStr">
        <is>
          <t>'=E29</t>
        </is>
      </c>
      <c r="D500" t="inlineStr">
        <is>
          <t>029d731d4663e03c8520795799642b96638809daed8bf0eb23339c0ba23a73f5</t>
        </is>
      </c>
    </row>
    <row r="501">
      <c r="A501" t="inlineStr">
        <is>
          <t>附表6-2</t>
        </is>
      </c>
      <c r="B501" t="inlineStr">
        <is>
          <t>AA4</t>
        </is>
      </c>
      <c r="C501" t="inlineStr">
        <is>
          <t>'=E30</t>
        </is>
      </c>
      <c r="D501" t="inlineStr">
        <is>
          <t>f9d1044436f187ad9ffde2b6f00aa4c37acdb8c819ce9bfaa0f9515b303dfff1</t>
        </is>
      </c>
    </row>
    <row r="502">
      <c r="A502" t="inlineStr">
        <is>
          <t>附表6-2</t>
        </is>
      </c>
      <c r="B502" t="inlineStr">
        <is>
          <t>AB4</t>
        </is>
      </c>
      <c r="C502" t="inlineStr">
        <is>
          <t>'=E31</t>
        </is>
      </c>
      <c r="D502" t="inlineStr">
        <is>
          <t>ccb0bd9c84094861b829aaaf09075d3c7ff6aafd759aeeb9215e2031d1c57476</t>
        </is>
      </c>
    </row>
    <row r="503">
      <c r="A503" t="inlineStr">
        <is>
          <t>附表6-2</t>
        </is>
      </c>
      <c r="B503" t="inlineStr">
        <is>
          <t>F8</t>
        </is>
      </c>
      <c r="C503" t="inlineStr">
        <is>
          <t>'=E8</t>
        </is>
      </c>
      <c r="D503" t="inlineStr">
        <is>
          <t>a9d172c9d51b9823971f6061f1bd0fa77569c9feb2474ff0889081365f2f4351</t>
        </is>
      </c>
    </row>
    <row r="504">
      <c r="A504" t="inlineStr">
        <is>
          <t>附表6-2</t>
        </is>
      </c>
      <c r="B504" t="inlineStr">
        <is>
          <t>G8</t>
        </is>
      </c>
      <c r="C504" t="inlineStr">
        <is>
          <t>'=B8-F8</t>
        </is>
      </c>
      <c r="D504" t="inlineStr">
        <is>
          <t>939b8c5673def3778750ebacceb82561e79064a97f580b96557cd4abdcbb49ea</t>
        </is>
      </c>
    </row>
    <row r="505">
      <c r="A505" t="inlineStr">
        <is>
          <t>附表6-2</t>
        </is>
      </c>
      <c r="B505" t="inlineStr">
        <is>
          <t>F9</t>
        </is>
      </c>
      <c r="C505" t="inlineStr">
        <is>
          <t>'=F8+E9</t>
        </is>
      </c>
      <c r="D505" t="inlineStr">
        <is>
          <t>9af4f263395fe1f98ac9a494bcb2db045ea1a3f90524428d9a28ee8dd7395019</t>
        </is>
      </c>
    </row>
    <row r="506">
      <c r="A506" t="inlineStr">
        <is>
          <t>附表6-2</t>
        </is>
      </c>
      <c r="B506" t="inlineStr">
        <is>
          <t>G9</t>
        </is>
      </c>
      <c r="C506" t="inlineStr">
        <is>
          <t>'=B9-F9</t>
        </is>
      </c>
      <c r="D506" t="inlineStr">
        <is>
          <t>f6782b44953c96581fd4efa384833310ba04b193dc49b462a5809b6bf6572325</t>
        </is>
      </c>
    </row>
    <row r="507">
      <c r="A507" t="inlineStr">
        <is>
          <t>附表6-2</t>
        </is>
      </c>
      <c r="B507" t="inlineStr">
        <is>
          <t>F10</t>
        </is>
      </c>
      <c r="C507" t="inlineStr">
        <is>
          <t>'=F9+E10</t>
        </is>
      </c>
      <c r="D507" t="inlineStr">
        <is>
          <t>22be055deee3cbc6d8017dd9a8e13d3f8f1ec0ab2066dad29bf66a4fec427622</t>
        </is>
      </c>
    </row>
    <row r="508">
      <c r="A508" t="inlineStr">
        <is>
          <t>附表6-2</t>
        </is>
      </c>
      <c r="B508" t="inlineStr">
        <is>
          <t>G10</t>
        </is>
      </c>
      <c r="C508" t="inlineStr">
        <is>
          <t>'=B10-F10</t>
        </is>
      </c>
      <c r="D508" t="inlineStr">
        <is>
          <t>49a93382fe8b9a23072b3a42b6676ed852c03c8b37bd76ec8c2fb6c49b0c35e9</t>
        </is>
      </c>
    </row>
    <row r="509">
      <c r="A509" t="inlineStr">
        <is>
          <t>附表6-2</t>
        </is>
      </c>
      <c r="B509" t="inlineStr">
        <is>
          <t>F11</t>
        </is>
      </c>
      <c r="C509" t="inlineStr">
        <is>
          <t>'=F10+E11</t>
        </is>
      </c>
      <c r="D509" t="inlineStr">
        <is>
          <t>c52c794bb740d42c936628d3983cbce489db5ec4183cedc0da2d1ea46ab887c1</t>
        </is>
      </c>
    </row>
    <row r="510">
      <c r="A510" t="inlineStr">
        <is>
          <t>附表6-2</t>
        </is>
      </c>
      <c r="B510" t="inlineStr">
        <is>
          <t>G11</t>
        </is>
      </c>
      <c r="C510" t="inlineStr">
        <is>
          <t>'=B11-F11</t>
        </is>
      </c>
      <c r="D510" t="inlineStr">
        <is>
          <t>9614134c2c4c7108ca9956a00f79c635ca0280da5f938cb0361ab20cbe8c7598</t>
        </is>
      </c>
    </row>
    <row r="511">
      <c r="A511" t="inlineStr">
        <is>
          <t>附表6-2</t>
        </is>
      </c>
      <c r="B511" t="inlineStr">
        <is>
          <t>F12</t>
        </is>
      </c>
      <c r="C511" t="inlineStr">
        <is>
          <t>'=F11+E12</t>
        </is>
      </c>
      <c r="D511" t="inlineStr">
        <is>
          <t>0c6b97fd2773ee39bf61a2d0e807193eea4b12d2821e1021b312c2402cc95e17</t>
        </is>
      </c>
    </row>
    <row r="512">
      <c r="A512" t="inlineStr">
        <is>
          <t>附表6-2</t>
        </is>
      </c>
      <c r="B512" t="inlineStr">
        <is>
          <t>G12</t>
        </is>
      </c>
      <c r="C512" t="inlineStr">
        <is>
          <t>'=B12-F12</t>
        </is>
      </c>
      <c r="D512" t="inlineStr">
        <is>
          <t>f01e250b9f9b31136ea5c387d1063fb486d35e46592e366a9b5bb44c62aeb906</t>
        </is>
      </c>
    </row>
    <row r="513">
      <c r="A513" t="inlineStr">
        <is>
          <t>附表6-2</t>
        </is>
      </c>
      <c r="B513" t="inlineStr">
        <is>
          <t>F13</t>
        </is>
      </c>
      <c r="C513" t="inlineStr">
        <is>
          <t>'=F12+E13</t>
        </is>
      </c>
      <c r="D513" t="inlineStr">
        <is>
          <t>a7a30e3a0670229ec36c7a6ab0b444acf3cfbd3317ae9aca413a1206ef1aff86</t>
        </is>
      </c>
    </row>
    <row r="514">
      <c r="A514" t="inlineStr">
        <is>
          <t>附表6-2</t>
        </is>
      </c>
      <c r="B514" t="inlineStr">
        <is>
          <t>G13</t>
        </is>
      </c>
      <c r="C514" t="inlineStr">
        <is>
          <t>'=B13-F13</t>
        </is>
      </c>
      <c r="D514" t="inlineStr">
        <is>
          <t>b5abc90e42975fffc981ef952a981fcbe823e8d7b437f75d5088cf1728f96d8e</t>
        </is>
      </c>
    </row>
    <row r="515">
      <c r="A515" t="inlineStr">
        <is>
          <t>附表6-2</t>
        </is>
      </c>
      <c r="B515" t="inlineStr">
        <is>
          <t>F14</t>
        </is>
      </c>
      <c r="C515" t="inlineStr">
        <is>
          <t>'=F13+E14</t>
        </is>
      </c>
      <c r="D515" t="inlineStr">
        <is>
          <t>9f6750394a0af1622c347a87414341afe554a10711b63f97406b513dce7faa7c</t>
        </is>
      </c>
    </row>
    <row r="516">
      <c r="A516" t="inlineStr">
        <is>
          <t>附表6-2</t>
        </is>
      </c>
      <c r="B516" t="inlineStr">
        <is>
          <t>G14</t>
        </is>
      </c>
      <c r="C516" t="inlineStr">
        <is>
          <t>'=B14-F14</t>
        </is>
      </c>
      <c r="D516" t="inlineStr">
        <is>
          <t>04893ed59d97463a1e60de633b091cea259ae3fc88d4a51c7760e2a0e57eb251</t>
        </is>
      </c>
    </row>
    <row r="517">
      <c r="A517" t="inlineStr">
        <is>
          <t>附表6-2</t>
        </is>
      </c>
      <c r="B517" t="inlineStr">
        <is>
          <t>F15</t>
        </is>
      </c>
      <c r="C517" t="inlineStr">
        <is>
          <t>'=F14+E15</t>
        </is>
      </c>
      <c r="D517" t="inlineStr">
        <is>
          <t>6c02b7915ddb80d3cc84e0dc4af40bcd14d2bf4ae8bb8777b39db2ac25e2dd64</t>
        </is>
      </c>
    </row>
    <row r="518">
      <c r="A518" t="inlineStr">
        <is>
          <t>附表6-2</t>
        </is>
      </c>
      <c r="B518" t="inlineStr">
        <is>
          <t>G15</t>
        </is>
      </c>
      <c r="C518" t="inlineStr">
        <is>
          <t>'=B15-F15</t>
        </is>
      </c>
      <c r="D518" t="inlineStr">
        <is>
          <t>f8002d62ee8e75c851b6aec9cd2e6325574140829b84747b1472936a481b1b51</t>
        </is>
      </c>
    </row>
    <row r="519">
      <c r="A519" t="inlineStr">
        <is>
          <t>附表6-2</t>
        </is>
      </c>
      <c r="B519" t="inlineStr">
        <is>
          <t>F16</t>
        </is>
      </c>
      <c r="C519" t="inlineStr">
        <is>
          <t>'=F15+E16</t>
        </is>
      </c>
      <c r="D519" t="inlineStr">
        <is>
          <t>ae79ed71dddd5e909e89c10092e6bb96c9c0ab1c6a7f2506870d7fe3e6b2294b</t>
        </is>
      </c>
    </row>
    <row r="520">
      <c r="A520" t="inlineStr">
        <is>
          <t>附表6-2</t>
        </is>
      </c>
      <c r="B520" t="inlineStr">
        <is>
          <t>G16</t>
        </is>
      </c>
      <c r="C520" t="inlineStr">
        <is>
          <t>'=B16-F16</t>
        </is>
      </c>
      <c r="D520" t="inlineStr">
        <is>
          <t>7effea90de273a3b6a2c0f68e7882de723cf15dab0113d9b2da34f463e86fb85</t>
        </is>
      </c>
    </row>
    <row r="521">
      <c r="A521" t="inlineStr">
        <is>
          <t>附表6-2</t>
        </is>
      </c>
      <c r="B521" t="inlineStr">
        <is>
          <t>F17</t>
        </is>
      </c>
      <c r="C521" t="inlineStr">
        <is>
          <t>'=F16+E17</t>
        </is>
      </c>
      <c r="D521" t="inlineStr">
        <is>
          <t>46e64719c9a8c5167f8080c22950f971c2e4631c12e86e9111cac675578b5484</t>
        </is>
      </c>
    </row>
    <row r="522">
      <c r="A522" t="inlineStr">
        <is>
          <t>附表6-2</t>
        </is>
      </c>
      <c r="B522" t="inlineStr">
        <is>
          <t>G17</t>
        </is>
      </c>
      <c r="C522" t="inlineStr">
        <is>
          <t>'=B17-F17</t>
        </is>
      </c>
      <c r="D522" t="inlineStr">
        <is>
          <t>baf7cd01ca1ecdb573a32dbb2a7311b2076822a869559402304d00d563d3722d</t>
        </is>
      </c>
    </row>
    <row r="523">
      <c r="A523" t="inlineStr">
        <is>
          <t>附表6-2</t>
        </is>
      </c>
      <c r="B523" t="inlineStr">
        <is>
          <t>F18</t>
        </is>
      </c>
      <c r="C523" t="inlineStr">
        <is>
          <t>'=F17+E18</t>
        </is>
      </c>
      <c r="D523" t="inlineStr">
        <is>
          <t>9747a6c1e2ae6eae0e6dcc8f1f35595c88bb96e2800815515a8a735c1dbca396</t>
        </is>
      </c>
    </row>
    <row r="524">
      <c r="A524" t="inlineStr">
        <is>
          <t>附表6-2</t>
        </is>
      </c>
      <c r="B524" t="inlineStr">
        <is>
          <t>G18</t>
        </is>
      </c>
      <c r="C524" t="inlineStr">
        <is>
          <t>'=B18-F18</t>
        </is>
      </c>
      <c r="D524" t="inlineStr">
        <is>
          <t>7b89c9be393595e57f5326df34da44fcc93e0e14e05702de9bfb588fbade9c01</t>
        </is>
      </c>
    </row>
    <row r="525">
      <c r="A525" t="inlineStr">
        <is>
          <t>附表6-2</t>
        </is>
      </c>
      <c r="B525" t="inlineStr">
        <is>
          <t>F19</t>
        </is>
      </c>
      <c r="C525" t="inlineStr">
        <is>
          <t>'=F18+E19</t>
        </is>
      </c>
      <c r="D525" t="inlineStr">
        <is>
          <t>4deb9518c4c92768f8643f277d6fea8c38a1aa6be1c9b7fb11deac8f0af77246</t>
        </is>
      </c>
    </row>
    <row r="526">
      <c r="A526" t="inlineStr">
        <is>
          <t>附表6-2</t>
        </is>
      </c>
      <c r="B526" t="inlineStr">
        <is>
          <t>G19</t>
        </is>
      </c>
      <c r="C526" t="inlineStr">
        <is>
          <t>'=B19-F19</t>
        </is>
      </c>
      <c r="D526" t="inlineStr">
        <is>
          <t>223b08f627b73bfcc56c6778efa2c5cf776b7998ce0515c5938063b48f1310c9</t>
        </is>
      </c>
    </row>
    <row r="527">
      <c r="A527" t="inlineStr">
        <is>
          <t>附表6-2</t>
        </is>
      </c>
      <c r="B527" t="inlineStr">
        <is>
          <t>F20</t>
        </is>
      </c>
      <c r="C527" t="inlineStr">
        <is>
          <t>'=F19+E20</t>
        </is>
      </c>
      <c r="D527" t="inlineStr">
        <is>
          <t>85edcd4baa18884c6d35a711ab7cb6ab5504efec69c6fa7a34ad98ea6a09e519</t>
        </is>
      </c>
    </row>
    <row r="528">
      <c r="A528" t="inlineStr">
        <is>
          <t>附表6-2</t>
        </is>
      </c>
      <c r="B528" t="inlineStr">
        <is>
          <t>G20</t>
        </is>
      </c>
      <c r="C528" t="inlineStr">
        <is>
          <t>'=B20-F20</t>
        </is>
      </c>
      <c r="D528" t="inlineStr">
        <is>
          <t>0b7408902f9aa06533dab6eadcb71f7f164061045d59613ccb66ea73083d9665</t>
        </is>
      </c>
    </row>
    <row r="529">
      <c r="A529" t="inlineStr">
        <is>
          <t>附表6-2</t>
        </is>
      </c>
      <c r="B529" t="inlineStr">
        <is>
          <t>F21</t>
        </is>
      </c>
      <c r="C529" t="inlineStr">
        <is>
          <t>'=F20+E21</t>
        </is>
      </c>
      <c r="D529" t="inlineStr">
        <is>
          <t>a504c0099bb5bd566b90ea8be5b2757af720023ec863a760f6010c6df2ccbeea</t>
        </is>
      </c>
    </row>
    <row r="530">
      <c r="A530" t="inlineStr">
        <is>
          <t>附表6-2</t>
        </is>
      </c>
      <c r="B530" t="inlineStr">
        <is>
          <t>G21</t>
        </is>
      </c>
      <c r="C530" t="inlineStr">
        <is>
          <t>'=B21-F21</t>
        </is>
      </c>
      <c r="D530" t="inlineStr">
        <is>
          <t>9e8eac770c135e699b42d11eb0ebcf435c54a01875432d36fce03ff0ea4d34e3</t>
        </is>
      </c>
    </row>
    <row r="531">
      <c r="A531" t="inlineStr">
        <is>
          <t>附表6-2</t>
        </is>
      </c>
      <c r="B531" t="inlineStr">
        <is>
          <t>F22</t>
        </is>
      </c>
      <c r="C531" t="inlineStr">
        <is>
          <t>'=F21+E22</t>
        </is>
      </c>
      <c r="D531" t="inlineStr">
        <is>
          <t>4b4ae9a1242665efa48579db72fec2b7bdc10ff455e593cdbfc02cba2917c782</t>
        </is>
      </c>
    </row>
    <row r="532">
      <c r="A532" t="inlineStr">
        <is>
          <t>附表6-2</t>
        </is>
      </c>
      <c r="B532" t="inlineStr">
        <is>
          <t>G22</t>
        </is>
      </c>
      <c r="C532" t="inlineStr">
        <is>
          <t>'=B22-F22</t>
        </is>
      </c>
      <c r="D532" t="inlineStr">
        <is>
          <t>55528e1efc807604ef580139101b60a44fa6930af2e409c0c71ef7f9c2be19ed</t>
        </is>
      </c>
    </row>
    <row r="533">
      <c r="A533" t="inlineStr">
        <is>
          <t>附表6-2</t>
        </is>
      </c>
      <c r="B533" t="inlineStr">
        <is>
          <t>F23</t>
        </is>
      </c>
      <c r="C533" t="inlineStr">
        <is>
          <t>'=F22+E23</t>
        </is>
      </c>
      <c r="D533" t="inlineStr">
        <is>
          <t>2270bd2a87aeeaaff0d890a3930b61f86362c05b014fefc2347060056afa319f</t>
        </is>
      </c>
    </row>
    <row r="534">
      <c r="A534" t="inlineStr">
        <is>
          <t>附表6-2</t>
        </is>
      </c>
      <c r="B534" t="inlineStr">
        <is>
          <t>G23</t>
        </is>
      </c>
      <c r="C534" t="inlineStr">
        <is>
          <t>'=B23-F23</t>
        </is>
      </c>
      <c r="D534" t="inlineStr">
        <is>
          <t>e50772b0d02e5a4f9ceebc6dd00f3e10c303dbf68f2203eef502b795ba5fef27</t>
        </is>
      </c>
    </row>
    <row r="535">
      <c r="A535" t="inlineStr">
        <is>
          <t>附表6-2</t>
        </is>
      </c>
      <c r="B535" t="inlineStr">
        <is>
          <t>F24</t>
        </is>
      </c>
      <c r="C535" t="inlineStr">
        <is>
          <t>'=F23+E24</t>
        </is>
      </c>
      <c r="D535" t="inlineStr">
        <is>
          <t>53c79e8226e1eb3b9ccea59304da3af6907105f490ad29a2201236ddfd834da8</t>
        </is>
      </c>
    </row>
    <row r="536">
      <c r="A536" t="inlineStr">
        <is>
          <t>附表6-2</t>
        </is>
      </c>
      <c r="B536" t="inlineStr">
        <is>
          <t>G24</t>
        </is>
      </c>
      <c r="C536" t="inlineStr">
        <is>
          <t>'=B24-F24</t>
        </is>
      </c>
      <c r="D536" t="inlineStr">
        <is>
          <t>cfec15d4cfc376017cee35c2a0b15df2158f09968fdd3699c884f0e0ac936373</t>
        </is>
      </c>
    </row>
    <row r="537">
      <c r="A537" t="inlineStr">
        <is>
          <t>附表6-2</t>
        </is>
      </c>
      <c r="B537" t="inlineStr">
        <is>
          <t>F25</t>
        </is>
      </c>
      <c r="C537" t="inlineStr">
        <is>
          <t>'=F24+E25</t>
        </is>
      </c>
      <c r="D537" t="inlineStr">
        <is>
          <t>c6458015f466dad8a83772e8a877ad336e8123397c36bfe35cb266fc4bb0721a</t>
        </is>
      </c>
    </row>
    <row r="538">
      <c r="A538" t="inlineStr">
        <is>
          <t>附表6-2</t>
        </is>
      </c>
      <c r="B538" t="inlineStr">
        <is>
          <t>G25</t>
        </is>
      </c>
      <c r="C538" t="inlineStr">
        <is>
          <t>'=B25-F25</t>
        </is>
      </c>
      <c r="D538" t="inlineStr">
        <is>
          <t>40f4a4e3eac303cab1c10341ec8b5faad2fd34ebf8751b73be9b9742b1cb8c00</t>
        </is>
      </c>
    </row>
    <row r="539">
      <c r="A539" t="inlineStr">
        <is>
          <t>附表6-2</t>
        </is>
      </c>
      <c r="B539" t="inlineStr">
        <is>
          <t>F26</t>
        </is>
      </c>
      <c r="C539" t="inlineStr">
        <is>
          <t>'=F25+E26</t>
        </is>
      </c>
      <c r="D539" t="inlineStr">
        <is>
          <t>375cadc974a6e66a9d952973ee0705dbd6cb14cf2c69d4c9d220a4cbec21263f</t>
        </is>
      </c>
    </row>
    <row r="540">
      <c r="A540" t="inlineStr">
        <is>
          <t>附表6-2</t>
        </is>
      </c>
      <c r="B540" t="inlineStr">
        <is>
          <t>G26</t>
        </is>
      </c>
      <c r="C540" t="inlineStr">
        <is>
          <t>'=B26-F26</t>
        </is>
      </c>
      <c r="D540" t="inlineStr">
        <is>
          <t>0e3e0ed35de15100755800d86d8b202eac01d6f52a5527bed97855e6b167b0d7</t>
        </is>
      </c>
    </row>
    <row r="541">
      <c r="A541" t="inlineStr">
        <is>
          <t>附表6-2</t>
        </is>
      </c>
      <c r="B541" t="inlineStr">
        <is>
          <t>F27</t>
        </is>
      </c>
      <c r="C541" t="inlineStr">
        <is>
          <t>'=F26+E27</t>
        </is>
      </c>
      <c r="D541" t="inlineStr">
        <is>
          <t>001557dc5e15829d6e99826db6d4706bb6fd1c508af61da2c53c70ae15409acd</t>
        </is>
      </c>
    </row>
    <row r="542">
      <c r="A542" t="inlineStr">
        <is>
          <t>附表6-2</t>
        </is>
      </c>
      <c r="B542" t="inlineStr">
        <is>
          <t>G27</t>
        </is>
      </c>
      <c r="C542" t="inlineStr">
        <is>
          <t>'=B27-F27</t>
        </is>
      </c>
      <c r="D542" t="inlineStr">
        <is>
          <t>a3b4ebf18eea77d4b4e40b025e00d60b8182fce7fcd7c009803632451936aba3</t>
        </is>
      </c>
    </row>
    <row r="543">
      <c r="A543" t="inlineStr">
        <is>
          <t>附表6-2</t>
        </is>
      </c>
      <c r="B543" t="inlineStr">
        <is>
          <t>F28</t>
        </is>
      </c>
      <c r="C543" t="inlineStr">
        <is>
          <t>'=F27+E28</t>
        </is>
      </c>
      <c r="D543" t="inlineStr">
        <is>
          <t>cf5973145398b53bdc678d9fef16b1ff14001dda9cc21f661cfa0afbeb432e9d</t>
        </is>
      </c>
    </row>
    <row r="544">
      <c r="A544" t="inlineStr">
        <is>
          <t>附表6-2</t>
        </is>
      </c>
      <c r="B544" t="inlineStr">
        <is>
          <t>G28</t>
        </is>
      </c>
      <c r="C544" t="inlineStr">
        <is>
          <t>'=B28-F28</t>
        </is>
      </c>
      <c r="D544" t="inlineStr">
        <is>
          <t>fbf86e9e4923bb870036675ca242342adebec68396a16bc177f9c8456d5b643b</t>
        </is>
      </c>
    </row>
    <row r="545">
      <c r="A545" t="inlineStr">
        <is>
          <t>附表6-2</t>
        </is>
      </c>
      <c r="B545" t="inlineStr">
        <is>
          <t>F29</t>
        </is>
      </c>
      <c r="C545" t="inlineStr">
        <is>
          <t>'=F28+E29</t>
        </is>
      </c>
      <c r="D545" t="inlineStr">
        <is>
          <t>16e2eb584792857c61142cdd5b2db8f337b499bec6a76aa0603de3d921b98c3c</t>
        </is>
      </c>
    </row>
    <row r="546">
      <c r="A546" t="inlineStr">
        <is>
          <t>附表6-2</t>
        </is>
      </c>
      <c r="B546" t="inlineStr">
        <is>
          <t>G29</t>
        </is>
      </c>
      <c r="C546" t="inlineStr">
        <is>
          <t>'=B29-F29</t>
        </is>
      </c>
      <c r="D546" t="inlineStr">
        <is>
          <t>7eb982806cc70edea71d5372ece544e677c4baafeac27c7248136c88c213d0ed</t>
        </is>
      </c>
    </row>
    <row r="547">
      <c r="A547" t="inlineStr">
        <is>
          <t>附表6-2</t>
        </is>
      </c>
      <c r="B547" t="inlineStr">
        <is>
          <t>F30</t>
        </is>
      </c>
      <c r="C547" t="inlineStr">
        <is>
          <t>'=F29+E30</t>
        </is>
      </c>
      <c r="D547" t="inlineStr">
        <is>
          <t>0ac88d79bf2d3633021244c3ebc69f14632561134bdde4ca5ee6902e986eb889</t>
        </is>
      </c>
    </row>
    <row r="548">
      <c r="A548" t="inlineStr">
        <is>
          <t>附表6-2</t>
        </is>
      </c>
      <c r="B548" t="inlineStr">
        <is>
          <t>G30</t>
        </is>
      </c>
      <c r="C548" t="inlineStr">
        <is>
          <t>'=B30-F30</t>
        </is>
      </c>
      <c r="D548" t="inlineStr">
        <is>
          <t>c765c13703e397f3de97b83c73bc4f7724eddc7513f1cf995bc132dacab162a0</t>
        </is>
      </c>
    </row>
    <row r="549">
      <c r="A549" t="inlineStr">
        <is>
          <t>附表6-2</t>
        </is>
      </c>
      <c r="B549" t="inlineStr">
        <is>
          <t>F31</t>
        </is>
      </c>
      <c r="C549" t="inlineStr">
        <is>
          <t>'=F30+E31</t>
        </is>
      </c>
      <c r="D549" t="inlineStr">
        <is>
          <t>582a363e7412d67410fc41fd6b71be2f0cadba245cb263bdcce593ff5dbead1b</t>
        </is>
      </c>
    </row>
    <row r="550">
      <c r="A550" t="inlineStr">
        <is>
          <t>附表6-2</t>
        </is>
      </c>
      <c r="B550" t="inlineStr">
        <is>
          <t>G31</t>
        </is>
      </c>
      <c r="C550" t="inlineStr">
        <is>
          <t>'=B31-F31</t>
        </is>
      </c>
      <c r="D550" t="inlineStr">
        <is>
          <t>00f0c70766114ee9252382624b6852e476888994cc0c784f91ee5df56fdab98f</t>
        </is>
      </c>
    </row>
    <row r="551">
      <c r="A551" t="inlineStr">
        <is>
          <t>附表6-2</t>
        </is>
      </c>
      <c r="B551" t="inlineStr">
        <is>
          <t>B34</t>
        </is>
      </c>
      <c r="C551" t="inlineStr">
        <is>
          <t>'='附表1'!J4</t>
        </is>
      </c>
      <c r="D551" t="inlineStr">
        <is>
          <t>db396c3d07a9391ec3638d3e4afb22c417e87b0dba67099357132d099c44d455</t>
        </is>
      </c>
    </row>
    <row r="552">
      <c r="A552" t="inlineStr">
        <is>
          <t>附表6-3</t>
        </is>
      </c>
      <c r="B552" t="inlineStr">
        <is>
          <t>C4</t>
        </is>
      </c>
      <c r="C552" t="inlineStr">
        <is>
          <t>'=SUM(E4,F4,G4,H4,I4,J4,K4,L4,M4,N4,O4,P4,Q4,R4,S4,T4,U4,V4,W4,X4,Y4,Z4,AA4,AB4)</t>
        </is>
      </c>
      <c r="D552" t="inlineStr">
        <is>
          <t>ce08352246041e2ee0bbe23a944ab523053fac0d98397e05cde5a02aec10c3bd</t>
        </is>
      </c>
    </row>
    <row r="553">
      <c r="A553" t="inlineStr">
        <is>
          <t>附表6-3</t>
        </is>
      </c>
      <c r="B553" t="inlineStr">
        <is>
          <t>E4</t>
        </is>
      </c>
      <c r="C553" t="inlineStr">
        <is>
          <t>'=D8</t>
        </is>
      </c>
      <c r="D553" t="inlineStr">
        <is>
          <t>146ea7fe6cb8a61648d95a53e564c4b4b44d9447191211db22d0bcb3bcff2cf5</t>
        </is>
      </c>
    </row>
    <row r="554">
      <c r="A554" t="inlineStr">
        <is>
          <t>附表6-3</t>
        </is>
      </c>
      <c r="B554" t="inlineStr">
        <is>
          <t>F4</t>
        </is>
      </c>
      <c r="C554" t="inlineStr">
        <is>
          <t>'=D9</t>
        </is>
      </c>
      <c r="D554" t="inlineStr">
        <is>
          <t>6e40032aa1b62566a4531d2069a8238a2d4471ddb68aecbb29aa18557248f24b</t>
        </is>
      </c>
    </row>
    <row r="555">
      <c r="A555" t="inlineStr">
        <is>
          <t>附表6-3</t>
        </is>
      </c>
      <c r="B555" t="inlineStr">
        <is>
          <t>G4</t>
        </is>
      </c>
      <c r="C555" t="inlineStr">
        <is>
          <t>'=D10</t>
        </is>
      </c>
      <c r="D555" t="inlineStr">
        <is>
          <t>6795cbfbde9f076e31bf85de1608a3008690f866809137ef658f3dee9e286ace</t>
        </is>
      </c>
    </row>
    <row r="556">
      <c r="A556" t="inlineStr">
        <is>
          <t>附表6-3</t>
        </is>
      </c>
      <c r="B556" t="inlineStr">
        <is>
          <t>H4</t>
        </is>
      </c>
      <c r="C556" t="inlineStr">
        <is>
          <t>'=D11</t>
        </is>
      </c>
      <c r="D556" t="inlineStr">
        <is>
          <t>c6ae6dc4e4b2de6c7026eaa0b576393b71d4c5241a49352042b4381906b7454e</t>
        </is>
      </c>
    </row>
    <row r="557">
      <c r="A557" t="inlineStr">
        <is>
          <t>附表6-3</t>
        </is>
      </c>
      <c r="B557" t="inlineStr">
        <is>
          <t>I4</t>
        </is>
      </c>
      <c r="C557" t="inlineStr">
        <is>
          <t>'=D12</t>
        </is>
      </c>
      <c r="D557" t="inlineStr">
        <is>
          <t>9879eeda46dc76cd49ce8db9c53278b4de6eeb8237f9fca7c2ce16761a4b6f31</t>
        </is>
      </c>
    </row>
    <row r="558">
      <c r="A558" t="inlineStr">
        <is>
          <t>附表6-3</t>
        </is>
      </c>
      <c r="B558" t="inlineStr">
        <is>
          <t>J4</t>
        </is>
      </c>
      <c r="C558" t="inlineStr">
        <is>
          <t>'=D13</t>
        </is>
      </c>
      <c r="D558" t="inlineStr">
        <is>
          <t>96360dff0673b15be9a57a7efc7d5d2e4c927663f437c485e4cda7319f2d51dc</t>
        </is>
      </c>
    </row>
    <row r="559">
      <c r="A559" t="inlineStr">
        <is>
          <t>附表6-3</t>
        </is>
      </c>
      <c r="B559" t="inlineStr">
        <is>
          <t>K4</t>
        </is>
      </c>
      <c r="C559" t="inlineStr">
        <is>
          <t>'=D14</t>
        </is>
      </c>
      <c r="D559" t="inlineStr">
        <is>
          <t>7dfdad839b12affde988e4dc5d3cbd5c49a451595d71fdd2fcf0af79628da081</t>
        </is>
      </c>
    </row>
    <row r="560">
      <c r="A560" t="inlineStr">
        <is>
          <t>附表6-3</t>
        </is>
      </c>
      <c r="B560" t="inlineStr">
        <is>
          <t>L4</t>
        </is>
      </c>
      <c r="C560" t="inlineStr">
        <is>
          <t>'=D15</t>
        </is>
      </c>
      <c r="D560" t="inlineStr">
        <is>
          <t>c681b53ee7eccb8a05778222f89ff5ac0f062cc41d87ae461da9208da2bd7abb</t>
        </is>
      </c>
    </row>
    <row r="561">
      <c r="A561" t="inlineStr">
        <is>
          <t>附表6-3</t>
        </is>
      </c>
      <c r="B561" t="inlineStr">
        <is>
          <t>M4</t>
        </is>
      </c>
      <c r="C561" t="inlineStr">
        <is>
          <t>'=D16</t>
        </is>
      </c>
      <c r="D561" t="inlineStr">
        <is>
          <t>4933de0e42195dc70057de0653480f2b4dc3430df6e7fa1de596f85881ba9ea8</t>
        </is>
      </c>
    </row>
    <row r="562">
      <c r="A562" t="inlineStr">
        <is>
          <t>附表6-3</t>
        </is>
      </c>
      <c r="B562" t="inlineStr">
        <is>
          <t>N4</t>
        </is>
      </c>
      <c r="C562" t="inlineStr">
        <is>
          <t>'=D17</t>
        </is>
      </c>
      <c r="D562" t="inlineStr">
        <is>
          <t>4c12c77f7bd76195e49c7f3cda790b15731842f9115ec11d9765a9bd97229e4a</t>
        </is>
      </c>
    </row>
    <row r="563">
      <c r="A563" t="inlineStr">
        <is>
          <t>附表6-3</t>
        </is>
      </c>
      <c r="B563" t="inlineStr">
        <is>
          <t>O4</t>
        </is>
      </c>
      <c r="C563" t="inlineStr">
        <is>
          <t>'=D18</t>
        </is>
      </c>
      <c r="D563" t="inlineStr">
        <is>
          <t>5a573c7c7b1b4a2b3cd5014d2afc926a1dbc973dad79b424ee138ab67b47118e</t>
        </is>
      </c>
    </row>
    <row r="564">
      <c r="A564" t="inlineStr">
        <is>
          <t>附表6-3</t>
        </is>
      </c>
      <c r="B564" t="inlineStr">
        <is>
          <t>P4</t>
        </is>
      </c>
      <c r="C564" t="inlineStr">
        <is>
          <t>'=D19</t>
        </is>
      </c>
      <c r="D564" t="inlineStr">
        <is>
          <t>b9ce757d84572521733385e492b83ed1bbcaa31d54c693fd40595346ce5a728b</t>
        </is>
      </c>
    </row>
    <row r="565">
      <c r="A565" t="inlineStr">
        <is>
          <t>附表6-3</t>
        </is>
      </c>
      <c r="B565" t="inlineStr">
        <is>
          <t>Q4</t>
        </is>
      </c>
      <c r="C565" t="inlineStr">
        <is>
          <t>'=D20</t>
        </is>
      </c>
      <c r="D565" t="inlineStr">
        <is>
          <t>a7ebc1ac7c294fd511bf92a9846923716743862e317dbab420a3fdd6ad55d715</t>
        </is>
      </c>
    </row>
    <row r="566">
      <c r="A566" t="inlineStr">
        <is>
          <t>附表6-3</t>
        </is>
      </c>
      <c r="B566" t="inlineStr">
        <is>
          <t>R4</t>
        </is>
      </c>
      <c r="C566" t="inlineStr">
        <is>
          <t>'=D21</t>
        </is>
      </c>
      <c r="D566" t="inlineStr">
        <is>
          <t>dd2c0535b2cc2d2c7d9a728a52b268e4ca6d8357c7d40bb9a11e60dd7b2b3342</t>
        </is>
      </c>
    </row>
    <row r="567">
      <c r="A567" t="inlineStr">
        <is>
          <t>附表6-3</t>
        </is>
      </c>
      <c r="B567" t="inlineStr">
        <is>
          <t>S4</t>
        </is>
      </c>
      <c r="C567" t="inlineStr">
        <is>
          <t>'=D22</t>
        </is>
      </c>
      <c r="D567" t="inlineStr">
        <is>
          <t>fd81278826c022b876b4fa0e13b8bcc9fd3f5fd12822f1296ad925b9ba200de0</t>
        </is>
      </c>
    </row>
    <row r="568">
      <c r="A568" t="inlineStr">
        <is>
          <t>附表6-3</t>
        </is>
      </c>
      <c r="B568" t="inlineStr">
        <is>
          <t>T4</t>
        </is>
      </c>
      <c r="C568" t="inlineStr">
        <is>
          <t>'=D23</t>
        </is>
      </c>
      <c r="D568" t="inlineStr">
        <is>
          <t>4e3edd7bef1ccd13bc3da04ebe6e214d591e81eba0f2923cbea5f9cbf520563b</t>
        </is>
      </c>
    </row>
    <row r="569">
      <c r="A569" t="inlineStr">
        <is>
          <t>附表6-3</t>
        </is>
      </c>
      <c r="B569" t="inlineStr">
        <is>
          <t>U4</t>
        </is>
      </c>
      <c r="C569" t="inlineStr">
        <is>
          <t>'=D24</t>
        </is>
      </c>
      <c r="D569" t="inlineStr">
        <is>
          <t>83962ae917357542afddcffd7deabde725a4dc0147ac1cc8f05b62607d7c05c5</t>
        </is>
      </c>
    </row>
    <row r="570">
      <c r="A570" t="inlineStr">
        <is>
          <t>附表6-3</t>
        </is>
      </c>
      <c r="B570" t="inlineStr">
        <is>
          <t>V4</t>
        </is>
      </c>
      <c r="C570" t="inlineStr">
        <is>
          <t>'=D25</t>
        </is>
      </c>
      <c r="D570" t="inlineStr">
        <is>
          <t>70a86fa2f4144bbf9e0d7d6fdb3c866ef1c49841783d113dcff9dfa0c1880a90</t>
        </is>
      </c>
    </row>
    <row r="571">
      <c r="A571" t="inlineStr">
        <is>
          <t>附表6-3</t>
        </is>
      </c>
      <c r="B571" t="inlineStr">
        <is>
          <t>W4</t>
        </is>
      </c>
      <c r="C571" t="inlineStr">
        <is>
          <t>'=D26</t>
        </is>
      </c>
      <c r="D571" t="inlineStr">
        <is>
          <t>9a55e00dd06b8284dbb16ea2569f22d39b44edb2192d639b187b5213751b9ac0</t>
        </is>
      </c>
    </row>
    <row r="572">
      <c r="A572" t="inlineStr">
        <is>
          <t>附表6-3</t>
        </is>
      </c>
      <c r="B572" t="inlineStr">
        <is>
          <t>X4</t>
        </is>
      </c>
      <c r="C572" t="inlineStr">
        <is>
          <t>'=D27</t>
        </is>
      </c>
      <c r="D572" t="inlineStr">
        <is>
          <t>7b6527143aed96de549d67657faef4d6a5d8a376b29e6cb60dc8c87b9f5be9c8</t>
        </is>
      </c>
    </row>
    <row r="573">
      <c r="A573" t="inlineStr">
        <is>
          <t>附表6-3</t>
        </is>
      </c>
      <c r="B573" t="inlineStr">
        <is>
          <t>Y4</t>
        </is>
      </c>
      <c r="C573" t="inlineStr">
        <is>
          <t>'=D28</t>
        </is>
      </c>
      <c r="D573" t="inlineStr">
        <is>
          <t>f4a4e5645f63873576816d4418f3286215cdde8a791baaf3df4123f32366f5eb</t>
        </is>
      </c>
    </row>
    <row r="574">
      <c r="A574" t="inlineStr">
        <is>
          <t>附表6-3</t>
        </is>
      </c>
      <c r="B574" t="inlineStr">
        <is>
          <t>Z4</t>
        </is>
      </c>
      <c r="C574" t="inlineStr">
        <is>
          <t>'=D29</t>
        </is>
      </c>
      <c r="D574" t="inlineStr">
        <is>
          <t>0808dcd0831c3bb83c02fd37f813019f5a5996b7601f2d2e23c52a8d9253fcdf</t>
        </is>
      </c>
    </row>
    <row r="575">
      <c r="A575" t="inlineStr">
        <is>
          <t>附表6-3</t>
        </is>
      </c>
      <c r="B575" t="inlineStr">
        <is>
          <t>AA4</t>
        </is>
      </c>
      <c r="C575" t="inlineStr">
        <is>
          <t>'=D30</t>
        </is>
      </c>
      <c r="D575" t="inlineStr">
        <is>
          <t>d136345226829fe529f1ceefb48854ff74a102a1e4ad1374f6303396e0ac70b1</t>
        </is>
      </c>
    </row>
    <row r="576">
      <c r="A576" t="inlineStr">
        <is>
          <t>附表6-3</t>
        </is>
      </c>
      <c r="B576" t="inlineStr">
        <is>
          <t>AB4</t>
        </is>
      </c>
      <c r="C576" t="inlineStr">
        <is>
          <t>'=D31</t>
        </is>
      </c>
      <c r="D576" t="inlineStr">
        <is>
          <t>8456b36e3ecf4270892831a6a677ca706dc24b4ec9dcefd41118cad6c8ae8b50</t>
        </is>
      </c>
    </row>
    <row r="577">
      <c r="A577" t="inlineStr">
        <is>
          <t>附表6-3</t>
        </is>
      </c>
      <c r="B577" t="inlineStr">
        <is>
          <t>D8</t>
        </is>
      </c>
      <c r="C577" t="inlineStr">
        <is>
          <t>'=IF(A8&lt;=C8,B8/C8,0)</t>
        </is>
      </c>
      <c r="D577" t="inlineStr">
        <is>
          <t>697384b4c23b02a872d7fc86b8be185d11ef6dfa109e20a0434dd961fd6d81c6</t>
        </is>
      </c>
    </row>
    <row r="578">
      <c r="A578" t="inlineStr">
        <is>
          <t>附表6-3</t>
        </is>
      </c>
      <c r="B578" t="inlineStr">
        <is>
          <t>D9</t>
        </is>
      </c>
      <c r="C578" t="inlineStr">
        <is>
          <t>'=IF(A9&lt;=C9,B9/C9,0)</t>
        </is>
      </c>
      <c r="D578" t="inlineStr">
        <is>
          <t>f722c3540998e9ed525eab06e2f51cce3c712cda358822fc7330b3cb8b38fdf4</t>
        </is>
      </c>
    </row>
    <row r="579">
      <c r="A579" t="inlineStr">
        <is>
          <t>附表6-3</t>
        </is>
      </c>
      <c r="B579" t="inlineStr">
        <is>
          <t>D10</t>
        </is>
      </c>
      <c r="C579" t="inlineStr">
        <is>
          <t>'=IF(A10&lt;=C10,B10/C10,0)</t>
        </is>
      </c>
      <c r="D579" t="inlineStr">
        <is>
          <t>f93cf0e9f86ed1f609b31836e08de60c473bcf84cb064f65ae64b78fdd931f3a</t>
        </is>
      </c>
    </row>
    <row r="580">
      <c r="A580" t="inlineStr">
        <is>
          <t>附表6-3</t>
        </is>
      </c>
      <c r="B580" t="inlineStr">
        <is>
          <t>D11</t>
        </is>
      </c>
      <c r="C580" t="inlineStr">
        <is>
          <t>'=IF(A11&lt;=C11,B11/C11,0)</t>
        </is>
      </c>
      <c r="D580" t="inlineStr">
        <is>
          <t>c89b94a0ed599600b8bc6f9bca5deee52ddadced1f47caca67089a7aa118042b</t>
        </is>
      </c>
    </row>
    <row r="581">
      <c r="A581" t="inlineStr">
        <is>
          <t>附表6-3</t>
        </is>
      </c>
      <c r="B581" t="inlineStr">
        <is>
          <t>D12</t>
        </is>
      </c>
      <c r="C581" t="inlineStr">
        <is>
          <t>'=IF(A12&lt;=C12,B12/C12,0)</t>
        </is>
      </c>
      <c r="D581" t="inlineStr">
        <is>
          <t>dfd4180a1213e874dafdf1121709e20db46417eb17555c2a99d38a8f80bf84c7</t>
        </is>
      </c>
    </row>
    <row r="582">
      <c r="A582" t="inlineStr">
        <is>
          <t>附表6-3</t>
        </is>
      </c>
      <c r="B582" t="inlineStr">
        <is>
          <t>D13</t>
        </is>
      </c>
      <c r="C582" t="inlineStr">
        <is>
          <t>'=IF(A13&lt;=C13,B13/C13,0)</t>
        </is>
      </c>
      <c r="D582" t="inlineStr">
        <is>
          <t>279eb590c9924c3e853b57453ced76e114dea331febef04e4c19dd1a57f19c84</t>
        </is>
      </c>
    </row>
    <row r="583">
      <c r="A583" t="inlineStr">
        <is>
          <t>附表6-3</t>
        </is>
      </c>
      <c r="B583" t="inlineStr">
        <is>
          <t>D14</t>
        </is>
      </c>
      <c r="C583" t="inlineStr">
        <is>
          <t>'=IF(A14&lt;=C14,B14/C14,0)</t>
        </is>
      </c>
      <c r="D583" t="inlineStr">
        <is>
          <t>dd93cd5afb58c1320c52ea9a36bff7e2118b76962b02252866e63bda1c2b9860</t>
        </is>
      </c>
    </row>
    <row r="584">
      <c r="A584" t="inlineStr">
        <is>
          <t>附表6-3</t>
        </is>
      </c>
      <c r="B584" t="inlineStr">
        <is>
          <t>D15</t>
        </is>
      </c>
      <c r="C584" t="inlineStr">
        <is>
          <t>'=IF(A15&lt;=C15,B15/C15,0)</t>
        </is>
      </c>
      <c r="D584" t="inlineStr">
        <is>
          <t>064ef266680dbea06abd87341303aca2db4174931c52d7a4772b1e2b6c7ab9f7</t>
        </is>
      </c>
    </row>
    <row r="585">
      <c r="A585" t="inlineStr">
        <is>
          <t>附表6-3</t>
        </is>
      </c>
      <c r="B585" t="inlineStr">
        <is>
          <t>D16</t>
        </is>
      </c>
      <c r="C585" t="inlineStr">
        <is>
          <t>'=IF(A16&lt;=C16,B16/C16,0)</t>
        </is>
      </c>
      <c r="D585" t="inlineStr">
        <is>
          <t>cf379e35394a0f468b56a7a6219e24747e2eadca0abff4908de6cf83f8d0a526</t>
        </is>
      </c>
    </row>
    <row r="586">
      <c r="A586" t="inlineStr">
        <is>
          <t>附表6-3</t>
        </is>
      </c>
      <c r="B586" t="inlineStr">
        <is>
          <t>D17</t>
        </is>
      </c>
      <c r="C586" t="inlineStr">
        <is>
          <t>'=IF(A17&lt;=C17,B17/C17,0)</t>
        </is>
      </c>
      <c r="D586" t="inlineStr">
        <is>
          <t>2a8d1130f2621c993c3d02456b9f91fc22f60d2a99e3efcb13013b28ed679251</t>
        </is>
      </c>
    </row>
    <row r="587">
      <c r="A587" t="inlineStr">
        <is>
          <t>附表6-3</t>
        </is>
      </c>
      <c r="B587" t="inlineStr">
        <is>
          <t>D18</t>
        </is>
      </c>
      <c r="C587" t="inlineStr">
        <is>
          <t>'=IF(A18&lt;=C18,B18/C18,0)</t>
        </is>
      </c>
      <c r="D587" t="inlineStr">
        <is>
          <t>cfe84854537a59ae1e5828e647bed1eaa7e503a138ce062e96133cadc524b171</t>
        </is>
      </c>
    </row>
    <row r="588">
      <c r="A588" t="inlineStr">
        <is>
          <t>附表6-3</t>
        </is>
      </c>
      <c r="B588" t="inlineStr">
        <is>
          <t>D19</t>
        </is>
      </c>
      <c r="C588" t="inlineStr">
        <is>
          <t>'=IF(A19&lt;=C19,B19/C19,0)</t>
        </is>
      </c>
      <c r="D588" t="inlineStr">
        <is>
          <t>38f4467c7fdcaaabb51ecbb1d7dc9899aa0b9d3d3aa5fcd8385bf013850e11a3</t>
        </is>
      </c>
    </row>
    <row r="589">
      <c r="A589" t="inlineStr">
        <is>
          <t>附表6-3</t>
        </is>
      </c>
      <c r="B589" t="inlineStr">
        <is>
          <t>D20</t>
        </is>
      </c>
      <c r="C589" t="inlineStr">
        <is>
          <t>'=IF(A20&lt;=C20,B20/C20,0)</t>
        </is>
      </c>
      <c r="D589" t="inlineStr">
        <is>
          <t>9cda7777cce815657924144bf7ce0ec06f11a67e1c2a5912d1ca59caaf25b0ec</t>
        </is>
      </c>
    </row>
    <row r="590">
      <c r="A590" t="inlineStr">
        <is>
          <t>附表6-3</t>
        </is>
      </c>
      <c r="B590" t="inlineStr">
        <is>
          <t>D21</t>
        </is>
      </c>
      <c r="C590" t="inlineStr">
        <is>
          <t>'=IF(A21&lt;=C21,B21/C21,0)</t>
        </is>
      </c>
      <c r="D590" t="inlineStr">
        <is>
          <t>b6675f056f8c4bc5dc2b79aaa429deffdaa479b539c9de9ae33ed79792464b9a</t>
        </is>
      </c>
    </row>
    <row r="591">
      <c r="A591" t="inlineStr">
        <is>
          <t>附表6-3</t>
        </is>
      </c>
      <c r="B591" t="inlineStr">
        <is>
          <t>D22</t>
        </is>
      </c>
      <c r="C591" t="inlineStr">
        <is>
          <t>'=IF(A22&lt;=C22,B22/C22,0)</t>
        </is>
      </c>
      <c r="D591" t="inlineStr">
        <is>
          <t>ef325dd216021fbf5e491ccac2a63a1c0b76c71a76c3b1f0f10f32cbc971c653</t>
        </is>
      </c>
    </row>
    <row r="592">
      <c r="A592" t="inlineStr">
        <is>
          <t>附表6-3</t>
        </is>
      </c>
      <c r="B592" t="inlineStr">
        <is>
          <t>D23</t>
        </is>
      </c>
      <c r="C592" t="inlineStr">
        <is>
          <t>'=IF(A23&lt;=C23,B23/C23,0)</t>
        </is>
      </c>
      <c r="D592" t="inlineStr">
        <is>
          <t>a9b0261afa4c6a87301250dcd99f3862276ebeba229cd7c655e31ef1dd1bc809</t>
        </is>
      </c>
    </row>
    <row r="593">
      <c r="A593" t="inlineStr">
        <is>
          <t>附表6-3</t>
        </is>
      </c>
      <c r="B593" t="inlineStr">
        <is>
          <t>D24</t>
        </is>
      </c>
      <c r="C593" t="inlineStr">
        <is>
          <t>'=IF(A24&lt;=C24,B24/C24,0)</t>
        </is>
      </c>
      <c r="D593" t="inlineStr">
        <is>
          <t>af7d0ddde6313c2042ded9e04cd5c5ad77fe831fbdf42794e95d6d4a94246c7c</t>
        </is>
      </c>
    </row>
    <row r="594">
      <c r="A594" t="inlineStr">
        <is>
          <t>附表6-3</t>
        </is>
      </c>
      <c r="B594" t="inlineStr">
        <is>
          <t>D25</t>
        </is>
      </c>
      <c r="C594" t="inlineStr">
        <is>
          <t>'=IF(A25&lt;=C25,B25/C25,0)</t>
        </is>
      </c>
      <c r="D594" t="inlineStr">
        <is>
          <t>2e513bae6ceddd6c38f3ef4f655f4115dc188f743289492c57fe2fcc85a97ebf</t>
        </is>
      </c>
    </row>
    <row r="595">
      <c r="A595" t="inlineStr">
        <is>
          <t>附表6-3</t>
        </is>
      </c>
      <c r="B595" t="inlineStr">
        <is>
          <t>D26</t>
        </is>
      </c>
      <c r="C595" t="inlineStr">
        <is>
          <t>'=IF(A26&lt;=C26,B26/C26,0)</t>
        </is>
      </c>
      <c r="D595" t="inlineStr">
        <is>
          <t>8ded9a455b74175e69da3dcf996b512f0b7ca8dff6851bb9d672a1c194efa310</t>
        </is>
      </c>
    </row>
    <row r="596">
      <c r="A596" t="inlineStr">
        <is>
          <t>附表6-3</t>
        </is>
      </c>
      <c r="B596" t="inlineStr">
        <is>
          <t>D27</t>
        </is>
      </c>
      <c r="C596" t="inlineStr">
        <is>
          <t>'=IF(A27&lt;=C27,B27/C27,0)</t>
        </is>
      </c>
      <c r="D596" t="inlineStr">
        <is>
          <t>49c554bc183393a196af90b2cd598ffc7624105bd35c38a91b2197736bce3f1e</t>
        </is>
      </c>
    </row>
    <row r="597">
      <c r="A597" t="inlineStr">
        <is>
          <t>附表6-3</t>
        </is>
      </c>
      <c r="B597" t="inlineStr">
        <is>
          <t>D28</t>
        </is>
      </c>
      <c r="C597" t="inlineStr">
        <is>
          <t>'=IF(A28&lt;=C28,B28/C28,0)</t>
        </is>
      </c>
      <c r="D597" t="inlineStr">
        <is>
          <t>d4f080309304023e397b31715242b20a7856d703e5362d036783b7a1c304c4ac</t>
        </is>
      </c>
    </row>
    <row r="598">
      <c r="A598" t="inlineStr">
        <is>
          <t>附表6-3</t>
        </is>
      </c>
      <c r="B598" t="inlineStr">
        <is>
          <t>D29</t>
        </is>
      </c>
      <c r="C598" t="inlineStr">
        <is>
          <t>'=IF(A29&lt;=C29,B29/C29,0)</t>
        </is>
      </c>
      <c r="D598" t="inlineStr">
        <is>
          <t>7df9f768ea34d684f644763ff994d6b2beeddf30fd02b745b3fa2b222cfdb745</t>
        </is>
      </c>
    </row>
    <row r="599">
      <c r="A599" t="inlineStr">
        <is>
          <t>附表6-3</t>
        </is>
      </c>
      <c r="B599" t="inlineStr">
        <is>
          <t>D30</t>
        </is>
      </c>
      <c r="C599" t="inlineStr">
        <is>
          <t>'=IF(A30&lt;=C30,B30/C30,0)</t>
        </is>
      </c>
      <c r="D599" t="inlineStr">
        <is>
          <t>05ca5138d4ac6deb3901840f9caa06b63c78c3c1cbfd621f54d9ccf6a48557c1</t>
        </is>
      </c>
    </row>
    <row r="600">
      <c r="A600" t="inlineStr">
        <is>
          <t>附表6-3</t>
        </is>
      </c>
      <c r="B600" t="inlineStr">
        <is>
          <t>D31</t>
        </is>
      </c>
      <c r="C600" t="inlineStr">
        <is>
          <t>'=IF(A31&lt;=C31,B31/C31,0)</t>
        </is>
      </c>
      <c r="D600" t="inlineStr">
        <is>
          <t>04821aa85808db95ee28825600304e7084ba7d95ca67495ec831715d141eaf5a</t>
        </is>
      </c>
    </row>
    <row r="601">
      <c r="A601" t="inlineStr">
        <is>
          <t>附表6-3</t>
        </is>
      </c>
      <c r="B601" t="inlineStr">
        <is>
          <t>B32</t>
        </is>
      </c>
      <c r="C601" t="inlineStr">
        <is>
          <t>'='附表1'!J4</t>
        </is>
      </c>
      <c r="D601" t="inlineStr">
        <is>
          <t>db396c3d07a9391ec3638d3e4afb22c417e87b0dba67099357132d099c44d455</t>
        </is>
      </c>
    </row>
    <row r="602">
      <c r="A602" t="inlineStr">
        <is>
          <t>附表7</t>
        </is>
      </c>
      <c r="B602" t="inlineStr">
        <is>
          <t>C4</t>
        </is>
      </c>
      <c r="C602" t="inlineStr">
        <is>
          <t>'=SUM(D4,E4,F4,G4,H4,I4,J4,K4,L4,M4,N4,O4,P4,Q4,R4,S4,T4,U4,V4,W4,X4,Y4,Z4,AA4)</t>
        </is>
      </c>
      <c r="D602" t="inlineStr">
        <is>
          <t>11ea54d0cd11bfbf760613a9c7ab38ff4151139e3746a893bb2acc4113dba899</t>
        </is>
      </c>
    </row>
    <row r="603">
      <c r="A603" t="inlineStr">
        <is>
          <t>附表7</t>
        </is>
      </c>
      <c r="B603" t="inlineStr">
        <is>
          <t>D4</t>
        </is>
      </c>
      <c r="C603" t="inlineStr">
        <is>
          <t>'=B24</t>
        </is>
      </c>
      <c r="D603" t="inlineStr">
        <is>
          <t>730ae340688638a1a27e70cd6c0feac2f8dfddd026da6b70f7a92767282ac1a7</t>
        </is>
      </c>
    </row>
    <row r="604">
      <c r="A604" t="inlineStr">
        <is>
          <t>附表7</t>
        </is>
      </c>
      <c r="B604" t="inlineStr">
        <is>
          <t>E4</t>
        </is>
      </c>
      <c r="C604" t="inlineStr">
        <is>
          <t>'=B25</t>
        </is>
      </c>
      <c r="D604" t="inlineStr">
        <is>
          <t>c21ed6eaeeaff854fbfc0606c99b43d86641bfc3849e8a054136c1cac2d287f9</t>
        </is>
      </c>
    </row>
    <row r="605">
      <c r="A605" t="inlineStr">
        <is>
          <t>附表7</t>
        </is>
      </c>
      <c r="B605" t="inlineStr">
        <is>
          <t>F4</t>
        </is>
      </c>
      <c r="C605" t="inlineStr">
        <is>
          <t>'=B26</t>
        </is>
      </c>
      <c r="D605" t="inlineStr">
        <is>
          <t>4decc89728bfcc1c2aa9917cc46d876371a0ea32aaf679167d722770a80bc615</t>
        </is>
      </c>
    </row>
    <row r="606">
      <c r="A606" t="inlineStr">
        <is>
          <t>附表7</t>
        </is>
      </c>
      <c r="B606" t="inlineStr">
        <is>
          <t>G4</t>
        </is>
      </c>
      <c r="C606" t="inlineStr">
        <is>
          <t>'=B27</t>
        </is>
      </c>
      <c r="D606" t="inlineStr">
        <is>
          <t>35edf781c8cfa2cfa5acda1a912d588d3cc55565144e9c1be4d5d8e1231d8c14</t>
        </is>
      </c>
    </row>
    <row r="607">
      <c r="A607" t="inlineStr">
        <is>
          <t>附表7</t>
        </is>
      </c>
      <c r="B607" t="inlineStr">
        <is>
          <t>H4</t>
        </is>
      </c>
      <c r="C607" t="inlineStr">
        <is>
          <t>'=B28</t>
        </is>
      </c>
      <c r="D607" t="inlineStr">
        <is>
          <t>8213bbad3ef16d77a645a6d4b8f67525a2d9d7686c52bf681588f0708915cd16</t>
        </is>
      </c>
    </row>
    <row r="608">
      <c r="A608" t="inlineStr">
        <is>
          <t>附表7</t>
        </is>
      </c>
      <c r="B608" t="inlineStr">
        <is>
          <t>I4</t>
        </is>
      </c>
      <c r="C608" t="inlineStr">
        <is>
          <t>'=B29</t>
        </is>
      </c>
      <c r="D608" t="inlineStr">
        <is>
          <t>18a599c3727733e7da2c2ce7ef2bfcd7db41fbe9b2440bf38d8a966076790399</t>
        </is>
      </c>
    </row>
    <row r="609">
      <c r="A609" t="inlineStr">
        <is>
          <t>附表7</t>
        </is>
      </c>
      <c r="B609" t="inlineStr">
        <is>
          <t>J4</t>
        </is>
      </c>
      <c r="C609" t="inlineStr">
        <is>
          <t>'=B30</t>
        </is>
      </c>
      <c r="D609" t="inlineStr">
        <is>
          <t>7d60414b56386b27d6ca510adb8e9b97c26c7028a90da9ead19ee06dc4718ec3</t>
        </is>
      </c>
    </row>
    <row r="610">
      <c r="A610" t="inlineStr">
        <is>
          <t>附表7</t>
        </is>
      </c>
      <c r="B610" t="inlineStr">
        <is>
          <t>K4</t>
        </is>
      </c>
      <c r="C610" t="inlineStr">
        <is>
          <t>'=B31</t>
        </is>
      </c>
      <c r="D610" t="inlineStr">
        <is>
          <t>abccdd472cd69b2c7da65d1710eec828869b6e65bd053ebc6edd9a0ccd6fd8ae</t>
        </is>
      </c>
    </row>
    <row r="611">
      <c r="A611" t="inlineStr">
        <is>
          <t>附表7</t>
        </is>
      </c>
      <c r="B611" t="inlineStr">
        <is>
          <t>L4</t>
        </is>
      </c>
      <c r="C611" t="inlineStr">
        <is>
          <t>'=B32</t>
        </is>
      </c>
      <c r="D611" t="inlineStr">
        <is>
          <t>3077aa330b73350bcce41e9dadebfd0fcb7b7c5b85503121270d7b0d96d17f93</t>
        </is>
      </c>
    </row>
    <row r="612">
      <c r="A612" t="inlineStr">
        <is>
          <t>附表7</t>
        </is>
      </c>
      <c r="B612" t="inlineStr">
        <is>
          <t>M4</t>
        </is>
      </c>
      <c r="C612" t="inlineStr">
        <is>
          <t>'=B33</t>
        </is>
      </c>
      <c r="D612" t="inlineStr">
        <is>
          <t>c1ba1c9812a1b4b9224eb3ded96378cd1be4d6dd4b8113c5a63fdefd419de1a5</t>
        </is>
      </c>
    </row>
    <row r="613">
      <c r="A613" t="inlineStr">
        <is>
          <t>附表7</t>
        </is>
      </c>
      <c r="B613" t="inlineStr">
        <is>
          <t>N4</t>
        </is>
      </c>
      <c r="C613" t="inlineStr">
        <is>
          <t>'=B34</t>
        </is>
      </c>
      <c r="D613" t="inlineStr">
        <is>
          <t>59c2543dbd59c4cb098c37ec6ba4ff0573708c937fb318b3fc2efebf1e849171</t>
        </is>
      </c>
    </row>
    <row r="614">
      <c r="A614" t="inlineStr">
        <is>
          <t>附表7</t>
        </is>
      </c>
      <c r="B614" t="inlineStr">
        <is>
          <t>O4</t>
        </is>
      </c>
      <c r="C614" t="inlineStr">
        <is>
          <t>'=B35</t>
        </is>
      </c>
      <c r="D614" t="inlineStr">
        <is>
          <t>b510efda07cced1658ffc3ba167329bbf2e1a3e67eeff3064c1e313940ccd558</t>
        </is>
      </c>
    </row>
    <row r="615">
      <c r="A615" t="inlineStr">
        <is>
          <t>附表7</t>
        </is>
      </c>
      <c r="B615" t="inlineStr">
        <is>
          <t>P4</t>
        </is>
      </c>
      <c r="C615" t="inlineStr">
        <is>
          <t>'=B36</t>
        </is>
      </c>
      <c r="D615" t="inlineStr">
        <is>
          <t>9cc4653054b3b00a4899449a791405dd1f3f20d6bea0298c5d35e49c6ceabd30</t>
        </is>
      </c>
    </row>
    <row r="616">
      <c r="A616" t="inlineStr">
        <is>
          <t>附表7</t>
        </is>
      </c>
      <c r="B616" t="inlineStr">
        <is>
          <t>Q4</t>
        </is>
      </c>
      <c r="C616" t="inlineStr">
        <is>
          <t>'=B37</t>
        </is>
      </c>
      <c r="D616" t="inlineStr">
        <is>
          <t>b49709eb7129425f298b72beace6f4f071554e76db3592ac289d7d48b6c2cdbb</t>
        </is>
      </c>
    </row>
    <row r="617">
      <c r="A617" t="inlineStr">
        <is>
          <t>附表7</t>
        </is>
      </c>
      <c r="B617" t="inlineStr">
        <is>
          <t>R4</t>
        </is>
      </c>
      <c r="C617" t="inlineStr">
        <is>
          <t>'=B38</t>
        </is>
      </c>
      <c r="D617" t="inlineStr">
        <is>
          <t>ca6fb43762cb4a9675bf3cc6c00130b70563b37c1717fee363fa5ca0b7ae3e15</t>
        </is>
      </c>
    </row>
    <row r="618">
      <c r="A618" t="inlineStr">
        <is>
          <t>附表7</t>
        </is>
      </c>
      <c r="B618" t="inlineStr">
        <is>
          <t>S4</t>
        </is>
      </c>
      <c r="C618" t="inlineStr">
        <is>
          <t>'=B39</t>
        </is>
      </c>
      <c r="D618" t="inlineStr">
        <is>
          <t>4443f76d6fe7712dd63282662e3fffc237f1d3b5d376e569fe662ca15da98f13</t>
        </is>
      </c>
    </row>
    <row r="619">
      <c r="A619" t="inlineStr">
        <is>
          <t>附表7</t>
        </is>
      </c>
      <c r="B619" t="inlineStr">
        <is>
          <t>T4</t>
        </is>
      </c>
      <c r="C619" t="inlineStr">
        <is>
          <t>'=B40</t>
        </is>
      </c>
      <c r="D619" t="inlineStr">
        <is>
          <t>6d49181396cad4b7c9f3707c7db0aea2fa5f764d1f19bc4957db66b7957f4048</t>
        </is>
      </c>
    </row>
    <row r="620">
      <c r="A620" t="inlineStr">
        <is>
          <t>附表7</t>
        </is>
      </c>
      <c r="B620" t="inlineStr">
        <is>
          <t>U4</t>
        </is>
      </c>
      <c r="C620" t="inlineStr">
        <is>
          <t>'=B41</t>
        </is>
      </c>
      <c r="D620" t="inlineStr">
        <is>
          <t>502092e1392f755516bdcfee69362a325f9d3a5ed7d4a93ea9fee6d76144b9be</t>
        </is>
      </c>
    </row>
    <row r="621">
      <c r="A621" t="inlineStr">
        <is>
          <t>附表7</t>
        </is>
      </c>
      <c r="B621" t="inlineStr">
        <is>
          <t>V4</t>
        </is>
      </c>
      <c r="C621" t="inlineStr">
        <is>
          <t>'=B42</t>
        </is>
      </c>
      <c r="D621" t="inlineStr">
        <is>
          <t>c34b9c496ccacadcd3d60a022626c999caf0c07ace6237c6afd9ffa9d84a62a5</t>
        </is>
      </c>
    </row>
    <row r="622">
      <c r="A622" t="inlineStr">
        <is>
          <t>附表7</t>
        </is>
      </c>
      <c r="B622" t="inlineStr">
        <is>
          <t>W4</t>
        </is>
      </c>
      <c r="C622" t="inlineStr">
        <is>
          <t>'=B43</t>
        </is>
      </c>
      <c r="D622" t="inlineStr">
        <is>
          <t>dbe41435bb20c2a908a26de1281199731a98414880967f5e378ad5f744d2415b</t>
        </is>
      </c>
    </row>
    <row r="623">
      <c r="A623" t="inlineStr">
        <is>
          <t>附表7</t>
        </is>
      </c>
      <c r="B623" t="inlineStr">
        <is>
          <t>X4</t>
        </is>
      </c>
      <c r="C623" t="inlineStr">
        <is>
          <t>'=B44</t>
        </is>
      </c>
      <c r="D623" t="inlineStr">
        <is>
          <t>f7d274a116d6d1ca90d0c2bf88bf803c57740ae5259e8b767b6f91af8248d9b1</t>
        </is>
      </c>
    </row>
    <row r="624">
      <c r="A624" t="inlineStr">
        <is>
          <t>附表7</t>
        </is>
      </c>
      <c r="B624" t="inlineStr">
        <is>
          <t>Y4</t>
        </is>
      </c>
      <c r="C624" t="inlineStr">
        <is>
          <t>'=B45</t>
        </is>
      </c>
      <c r="D624" t="inlineStr">
        <is>
          <t>6e2e82900320a5bb784223eb3e43f3695b69e98cd2f90f206a6c7042a9e0de04</t>
        </is>
      </c>
    </row>
    <row r="625">
      <c r="A625" t="inlineStr">
        <is>
          <t>附表7</t>
        </is>
      </c>
      <c r="B625" t="inlineStr">
        <is>
          <t>Z4</t>
        </is>
      </c>
      <c r="C625" t="inlineStr">
        <is>
          <t>'=B46</t>
        </is>
      </c>
      <c r="D625" t="inlineStr">
        <is>
          <t>5fc3524ddee875f687703a1d699d8e22b5c6ce83c40ee2a388323f654d4b241a</t>
        </is>
      </c>
    </row>
    <row r="626">
      <c r="A626" t="inlineStr">
        <is>
          <t>附表7</t>
        </is>
      </c>
      <c r="B626" t="inlineStr">
        <is>
          <t>AA4</t>
        </is>
      </c>
      <c r="C626" t="inlineStr">
        <is>
          <t>'=B47</t>
        </is>
      </c>
      <c r="D626" t="inlineStr">
        <is>
          <t>13180f5fabd3e29f925420290ffe905ff614149628dfdc0475fd29b3de4705a6</t>
        </is>
      </c>
    </row>
    <row r="627">
      <c r="A627" t="inlineStr">
        <is>
          <t>附表7</t>
        </is>
      </c>
      <c r="B627" t="inlineStr">
        <is>
          <t>C5</t>
        </is>
      </c>
      <c r="C627" t="inlineStr">
        <is>
          <t>'=SUM(D5,E5,F5,G5,H5,I5,J5,K5,L5,M5,N5,O5,P5,Q5,R5,S5,T5,U5,V5,W5,X5,Y5,Z5,AA5)</t>
        </is>
      </c>
      <c r="D627" t="inlineStr">
        <is>
          <t>7eb38897a27409e5bfbfdb8ab403ca8076aef30465ca0a03d3f7c643d0faa79a</t>
        </is>
      </c>
    </row>
    <row r="628">
      <c r="A628" t="inlineStr">
        <is>
          <t>附表7</t>
        </is>
      </c>
      <c r="B628" t="inlineStr">
        <is>
          <t>D5</t>
        </is>
      </c>
      <c r="C628" t="inlineStr">
        <is>
          <t>'=D24</t>
        </is>
      </c>
      <c r="D628" t="inlineStr">
        <is>
          <t>83962ae917357542afddcffd7deabde725a4dc0147ac1cc8f05b62607d7c05c5</t>
        </is>
      </c>
    </row>
    <row r="629">
      <c r="A629" t="inlineStr">
        <is>
          <t>附表7</t>
        </is>
      </c>
      <c r="B629" t="inlineStr">
        <is>
          <t>E5</t>
        </is>
      </c>
      <c r="C629" t="inlineStr">
        <is>
          <t>'=D25</t>
        </is>
      </c>
      <c r="D629" t="inlineStr">
        <is>
          <t>70a86fa2f4144bbf9e0d7d6fdb3c866ef1c49841783d113dcff9dfa0c1880a90</t>
        </is>
      </c>
    </row>
    <row r="630">
      <c r="A630" t="inlineStr">
        <is>
          <t>附表7</t>
        </is>
      </c>
      <c r="B630" t="inlineStr">
        <is>
          <t>F5</t>
        </is>
      </c>
      <c r="C630" t="inlineStr">
        <is>
          <t>'=D26</t>
        </is>
      </c>
      <c r="D630" t="inlineStr">
        <is>
          <t>9a55e00dd06b8284dbb16ea2569f22d39b44edb2192d639b187b5213751b9ac0</t>
        </is>
      </c>
    </row>
    <row r="631">
      <c r="A631" t="inlineStr">
        <is>
          <t>附表7</t>
        </is>
      </c>
      <c r="B631" t="inlineStr">
        <is>
          <t>G5</t>
        </is>
      </c>
      <c r="C631" t="inlineStr">
        <is>
          <t>'=D27</t>
        </is>
      </c>
      <c r="D631" t="inlineStr">
        <is>
          <t>7b6527143aed96de549d67657faef4d6a5d8a376b29e6cb60dc8c87b9f5be9c8</t>
        </is>
      </c>
    </row>
    <row r="632">
      <c r="A632" t="inlineStr">
        <is>
          <t>附表7</t>
        </is>
      </c>
      <c r="B632" t="inlineStr">
        <is>
          <t>H5</t>
        </is>
      </c>
      <c r="C632" t="inlineStr">
        <is>
          <t>'=D28</t>
        </is>
      </c>
      <c r="D632" t="inlineStr">
        <is>
          <t>f4a4e5645f63873576816d4418f3286215cdde8a791baaf3df4123f32366f5eb</t>
        </is>
      </c>
    </row>
    <row r="633">
      <c r="A633" t="inlineStr">
        <is>
          <t>附表7</t>
        </is>
      </c>
      <c r="B633" t="inlineStr">
        <is>
          <t>I5</t>
        </is>
      </c>
      <c r="C633" t="inlineStr">
        <is>
          <t>'=D29</t>
        </is>
      </c>
      <c r="D633" t="inlineStr">
        <is>
          <t>0808dcd0831c3bb83c02fd37f813019f5a5996b7601f2d2e23c52a8d9253fcdf</t>
        </is>
      </c>
    </row>
    <row r="634">
      <c r="A634" t="inlineStr">
        <is>
          <t>附表7</t>
        </is>
      </c>
      <c r="B634" t="inlineStr">
        <is>
          <t>J5</t>
        </is>
      </c>
      <c r="C634" t="inlineStr">
        <is>
          <t>'=D30</t>
        </is>
      </c>
      <c r="D634" t="inlineStr">
        <is>
          <t>d136345226829fe529f1ceefb48854ff74a102a1e4ad1374f6303396e0ac70b1</t>
        </is>
      </c>
    </row>
    <row r="635">
      <c r="A635" t="inlineStr">
        <is>
          <t>附表7</t>
        </is>
      </c>
      <c r="B635" t="inlineStr">
        <is>
          <t>K5</t>
        </is>
      </c>
      <c r="C635" t="inlineStr">
        <is>
          <t>'=D31</t>
        </is>
      </c>
      <c r="D635" t="inlineStr">
        <is>
          <t>8456b36e3ecf4270892831a6a677ca706dc24b4ec9dcefd41118cad6c8ae8b50</t>
        </is>
      </c>
    </row>
    <row r="636">
      <c r="A636" t="inlineStr">
        <is>
          <t>附表7</t>
        </is>
      </c>
      <c r="B636" t="inlineStr">
        <is>
          <t>L5</t>
        </is>
      </c>
      <c r="C636" t="inlineStr">
        <is>
          <t>'=D32</t>
        </is>
      </c>
      <c r="D636" t="inlineStr">
        <is>
          <t>eb8d486dbf1c5bc57f13658d2c864a1bd90fa4789992bc0d4206672c02dd4eff</t>
        </is>
      </c>
    </row>
    <row r="637">
      <c r="A637" t="inlineStr">
        <is>
          <t>附表7</t>
        </is>
      </c>
      <c r="B637" t="inlineStr">
        <is>
          <t>M5</t>
        </is>
      </c>
      <c r="C637" t="inlineStr">
        <is>
          <t>'=D33</t>
        </is>
      </c>
      <c r="D637" t="inlineStr">
        <is>
          <t>36b97dde108fc21156ffadd4bda9311e922f29e1bd8ca690a03b0d99fcb86b7f</t>
        </is>
      </c>
    </row>
    <row r="638">
      <c r="A638" t="inlineStr">
        <is>
          <t>附表7</t>
        </is>
      </c>
      <c r="B638" t="inlineStr">
        <is>
          <t>N5</t>
        </is>
      </c>
      <c r="C638" t="inlineStr">
        <is>
          <t>'=D34</t>
        </is>
      </c>
      <c r="D638" t="inlineStr">
        <is>
          <t>14f4f9a4e44905b9a54b85c7feedeb755fbb94bb9811aece074fb7a3bb82c794</t>
        </is>
      </c>
    </row>
    <row r="639">
      <c r="A639" t="inlineStr">
        <is>
          <t>附表7</t>
        </is>
      </c>
      <c r="B639" t="inlineStr">
        <is>
          <t>O5</t>
        </is>
      </c>
      <c r="C639" t="inlineStr">
        <is>
          <t>'=D35</t>
        </is>
      </c>
      <c r="D639" t="inlineStr">
        <is>
          <t>061b9da6bafb189119df040a91999b4e63c268fbf54028c6ebc8178ff9b1c933</t>
        </is>
      </c>
    </row>
    <row r="640">
      <c r="A640" t="inlineStr">
        <is>
          <t>附表7</t>
        </is>
      </c>
      <c r="B640" t="inlineStr">
        <is>
          <t>P5</t>
        </is>
      </c>
      <c r="C640" t="inlineStr">
        <is>
          <t>'=D36</t>
        </is>
      </c>
      <c r="D640" t="inlineStr">
        <is>
          <t>0f70a0ac970e0b5bac66ad6a0e0adc1e66c10fd6598d7365e33935bd8afd0a63</t>
        </is>
      </c>
    </row>
    <row r="641">
      <c r="A641" t="inlineStr">
        <is>
          <t>附表7</t>
        </is>
      </c>
      <c r="B641" t="inlineStr">
        <is>
          <t>Q5</t>
        </is>
      </c>
      <c r="C641" t="inlineStr">
        <is>
          <t>'=D37</t>
        </is>
      </c>
      <c r="D641" t="inlineStr">
        <is>
          <t>47c7fb0f84f46abd2ca4db9521bd4305ab778559467aed297d394377e0c31af2</t>
        </is>
      </c>
    </row>
    <row r="642">
      <c r="A642" t="inlineStr">
        <is>
          <t>附表7</t>
        </is>
      </c>
      <c r="B642" t="inlineStr">
        <is>
          <t>R5</t>
        </is>
      </c>
      <c r="C642" t="inlineStr">
        <is>
          <t>'=D38</t>
        </is>
      </c>
      <c r="D642" t="inlineStr">
        <is>
          <t>0ac6a12313792022d5e80900bab4bd5a412ec4c84dcd84d5ebd9e24154e50020</t>
        </is>
      </c>
    </row>
    <row r="643">
      <c r="A643" t="inlineStr">
        <is>
          <t>附表7</t>
        </is>
      </c>
      <c r="B643" t="inlineStr">
        <is>
          <t>S5</t>
        </is>
      </c>
      <c r="C643" t="inlineStr">
        <is>
          <t>'=D39</t>
        </is>
      </c>
      <c r="D643" t="inlineStr">
        <is>
          <t>d0cce5b94402a737a8297dafd93a25542c2b7146703f19228bb6763255f8fcba</t>
        </is>
      </c>
    </row>
    <row r="644">
      <c r="A644" t="inlineStr">
        <is>
          <t>附表7</t>
        </is>
      </c>
      <c r="B644" t="inlineStr">
        <is>
          <t>T5</t>
        </is>
      </c>
      <c r="C644" t="inlineStr">
        <is>
          <t>'=D40</t>
        </is>
      </c>
      <c r="D644" t="inlineStr">
        <is>
          <t>67d386fff3d1cfa70ac21dae8db358746f6bc023572da382b6008d5d94d65cca</t>
        </is>
      </c>
    </row>
    <row r="645">
      <c r="A645" t="inlineStr">
        <is>
          <t>附表7</t>
        </is>
      </c>
      <c r="B645" t="inlineStr">
        <is>
          <t>U5</t>
        </is>
      </c>
      <c r="C645" t="inlineStr">
        <is>
          <t>'=D41</t>
        </is>
      </c>
      <c r="D645" t="inlineStr">
        <is>
          <t>5dd0674c5ecde605ee5422d448374967cadaa9b95522ced28b67110188e54366</t>
        </is>
      </c>
    </row>
    <row r="646">
      <c r="A646" t="inlineStr">
        <is>
          <t>附表7</t>
        </is>
      </c>
      <c r="B646" t="inlineStr">
        <is>
          <t>V5</t>
        </is>
      </c>
      <c r="C646" t="inlineStr">
        <is>
          <t>'=D42</t>
        </is>
      </c>
      <c r="D646" t="inlineStr">
        <is>
          <t>9185dfa024900eba9f696cf61eeebce8c618ec56dca65ccee03b4904cd116d6c</t>
        </is>
      </c>
    </row>
    <row r="647">
      <c r="A647" t="inlineStr">
        <is>
          <t>附表7</t>
        </is>
      </c>
      <c r="B647" t="inlineStr">
        <is>
          <t>W5</t>
        </is>
      </c>
      <c r="C647" t="inlineStr">
        <is>
          <t>'=D43</t>
        </is>
      </c>
      <c r="D647" t="inlineStr">
        <is>
          <t>7ebcf6a32fb0c9aa873536521f6bbe2a80bfeed6b70f99cd47cf0a3154a22c99</t>
        </is>
      </c>
    </row>
    <row r="648">
      <c r="A648" t="inlineStr">
        <is>
          <t>附表7</t>
        </is>
      </c>
      <c r="B648" t="inlineStr">
        <is>
          <t>X5</t>
        </is>
      </c>
      <c r="C648" t="inlineStr">
        <is>
          <t>'=D44</t>
        </is>
      </c>
      <c r="D648" t="inlineStr">
        <is>
          <t>54ab58a4a53e0b1dc741b24e8996fea089f749ee68d764e4cde0e2740bd83e8e</t>
        </is>
      </c>
    </row>
    <row r="649">
      <c r="A649" t="inlineStr">
        <is>
          <t>附表7</t>
        </is>
      </c>
      <c r="B649" t="inlineStr">
        <is>
          <t>Y5</t>
        </is>
      </c>
      <c r="C649" t="inlineStr">
        <is>
          <t>'=D45</t>
        </is>
      </c>
      <c r="D649" t="inlineStr">
        <is>
          <t>c6d6eedd6e78d785db8a5525e37a14ac2763654eb17324be62236ca9f42ab5d3</t>
        </is>
      </c>
    </row>
    <row r="650">
      <c r="A650" t="inlineStr">
        <is>
          <t>附表7</t>
        </is>
      </c>
      <c r="B650" t="inlineStr">
        <is>
          <t>Z5</t>
        </is>
      </c>
      <c r="C650" t="inlineStr">
        <is>
          <t>'=D46</t>
        </is>
      </c>
      <c r="D650" t="inlineStr">
        <is>
          <t>e46972695629f12ed824b9c057f777c3fc3f6bb0214be00d1fb99c85938395e3</t>
        </is>
      </c>
    </row>
    <row r="651">
      <c r="A651" t="inlineStr">
        <is>
          <t>附表7</t>
        </is>
      </c>
      <c r="B651" t="inlineStr">
        <is>
          <t>AA5</t>
        </is>
      </c>
      <c r="C651" t="inlineStr">
        <is>
          <t>'=D47</t>
        </is>
      </c>
      <c r="D651" t="inlineStr">
        <is>
          <t>1eb354a0698eaf09376aaa6e7bb91d12ac952e4a889f421565d349a83f50f535</t>
        </is>
      </c>
    </row>
    <row r="652">
      <c r="A652" t="inlineStr">
        <is>
          <t>附表7</t>
        </is>
      </c>
      <c r="B652" t="inlineStr">
        <is>
          <t>C6</t>
        </is>
      </c>
      <c r="C652" t="inlineStr">
        <is>
          <t>'=SUM(D6,E6,F6,G6,H6,I6,J6,K6,L6,M6,N6,O6,P6,Q6,R6,S6,T6,U6,V6,W6,X6,Y6,Z6,AA6)</t>
        </is>
      </c>
      <c r="D652" t="inlineStr">
        <is>
          <t>a2156f20dcbde6e2fd846aa7e2975a35655ccdd13e654601085c7aacfe189694</t>
        </is>
      </c>
    </row>
    <row r="653">
      <c r="A653" t="inlineStr">
        <is>
          <t>附表7</t>
        </is>
      </c>
      <c r="B653" t="inlineStr">
        <is>
          <t>D6</t>
        </is>
      </c>
      <c r="C653" t="inlineStr">
        <is>
          <t>'=C24</t>
        </is>
      </c>
      <c r="D653" t="inlineStr">
        <is>
          <t>43de46d09a807da850b11cf4b9f825e6af7dfa0f1e1d17f3b5132f95ade83149</t>
        </is>
      </c>
    </row>
    <row r="654">
      <c r="A654" t="inlineStr">
        <is>
          <t>附表7</t>
        </is>
      </c>
      <c r="B654" t="inlineStr">
        <is>
          <t>E6</t>
        </is>
      </c>
      <c r="C654" t="inlineStr">
        <is>
          <t>'=C25</t>
        </is>
      </c>
      <c r="D654" t="inlineStr">
        <is>
          <t>c3acf3980d9d88544df14844f1b5fd3b75c5cd442835abb01f8b548fe4691fb8</t>
        </is>
      </c>
    </row>
    <row r="655">
      <c r="A655" t="inlineStr">
        <is>
          <t>附表7</t>
        </is>
      </c>
      <c r="B655" t="inlineStr">
        <is>
          <t>F6</t>
        </is>
      </c>
      <c r="C655" t="inlineStr">
        <is>
          <t>'=C26</t>
        </is>
      </c>
      <c r="D655" t="inlineStr">
        <is>
          <t>e4753ba3f76f3fc83415ab8d8cdd8a77e5b51ec6d834ff84419687a0d53db51d</t>
        </is>
      </c>
    </row>
    <row r="656">
      <c r="A656" t="inlineStr">
        <is>
          <t>附表7</t>
        </is>
      </c>
      <c r="B656" t="inlineStr">
        <is>
          <t>G6</t>
        </is>
      </c>
      <c r="C656" t="inlineStr">
        <is>
          <t>'=C27</t>
        </is>
      </c>
      <c r="D656" t="inlineStr">
        <is>
          <t>ab0890b218feaa9f139fb33cb49c96ae21bf6b19ff47660914d0ddfe03c0c89d</t>
        </is>
      </c>
    </row>
    <row r="657">
      <c r="A657" t="inlineStr">
        <is>
          <t>附表7</t>
        </is>
      </c>
      <c r="B657" t="inlineStr">
        <is>
          <t>H6</t>
        </is>
      </c>
      <c r="C657" t="inlineStr">
        <is>
          <t>'=C28</t>
        </is>
      </c>
      <c r="D657" t="inlineStr">
        <is>
          <t>6f165d5c9a22dffda1501afe7729c38a8ed47bbf34119815eb6eb389fc2efa8c</t>
        </is>
      </c>
    </row>
    <row r="658">
      <c r="A658" t="inlineStr">
        <is>
          <t>附表7</t>
        </is>
      </c>
      <c r="B658" t="inlineStr">
        <is>
          <t>I6</t>
        </is>
      </c>
      <c r="C658" t="inlineStr">
        <is>
          <t>'=C29</t>
        </is>
      </c>
      <c r="D658" t="inlineStr">
        <is>
          <t>91618ce5f53efbc38bc637dfecc12775fb5be6fac2a45d04b3242b703f91946f</t>
        </is>
      </c>
    </row>
    <row r="659">
      <c r="A659" t="inlineStr">
        <is>
          <t>附表7</t>
        </is>
      </c>
      <c r="B659" t="inlineStr">
        <is>
          <t>J6</t>
        </is>
      </c>
      <c r="C659" t="inlineStr">
        <is>
          <t>'=C30</t>
        </is>
      </c>
      <c r="D659" t="inlineStr">
        <is>
          <t>7053b1f84c72798ad508eec0f3c2f765842a6bba85da663101b39bbd58c7eda0</t>
        </is>
      </c>
    </row>
    <row r="660">
      <c r="A660" t="inlineStr">
        <is>
          <t>附表7</t>
        </is>
      </c>
      <c r="B660" t="inlineStr">
        <is>
          <t>K6</t>
        </is>
      </c>
      <c r="C660" t="inlineStr">
        <is>
          <t>'=C31</t>
        </is>
      </c>
      <c r="D660" t="inlineStr">
        <is>
          <t>3af8c58aa833fff592c980eedb0711e9c708061c49798f04722298d64d9f80b7</t>
        </is>
      </c>
    </row>
    <row r="661">
      <c r="A661" t="inlineStr">
        <is>
          <t>附表7</t>
        </is>
      </c>
      <c r="B661" t="inlineStr">
        <is>
          <t>L6</t>
        </is>
      </c>
      <c r="C661" t="inlineStr">
        <is>
          <t>'=C32</t>
        </is>
      </c>
      <c r="D661" t="inlineStr">
        <is>
          <t>64bed7883bbcb4cee222cf94bd9058653bf9c19cbfad6f7c876d439826db21a7</t>
        </is>
      </c>
    </row>
    <row r="662">
      <c r="A662" t="inlineStr">
        <is>
          <t>附表7</t>
        </is>
      </c>
      <c r="B662" t="inlineStr">
        <is>
          <t>M6</t>
        </is>
      </c>
      <c r="C662" t="inlineStr">
        <is>
          <t>'=C33</t>
        </is>
      </c>
      <c r="D662" t="inlineStr">
        <is>
          <t>107f76788d629db052c128792f733da226e3970752f3807f05fe92d0ba77ffcc</t>
        </is>
      </c>
    </row>
    <row r="663">
      <c r="A663" t="inlineStr">
        <is>
          <t>附表7</t>
        </is>
      </c>
      <c r="B663" t="inlineStr">
        <is>
          <t>N6</t>
        </is>
      </c>
      <c r="C663" t="inlineStr">
        <is>
          <t>'=C34</t>
        </is>
      </c>
      <c r="D663" t="inlineStr">
        <is>
          <t>1f7b734b8ef59d0aa0d31dafe489144061301fd53957fd6c4b107290278fb509</t>
        </is>
      </c>
    </row>
    <row r="664">
      <c r="A664" t="inlineStr">
        <is>
          <t>附表7</t>
        </is>
      </c>
      <c r="B664" t="inlineStr">
        <is>
          <t>O6</t>
        </is>
      </c>
      <c r="C664" t="inlineStr">
        <is>
          <t>'=C35</t>
        </is>
      </c>
      <c r="D664" t="inlineStr">
        <is>
          <t>d08b330c4cc3b8679105499e6f78c8d8490a7631f3e97f996ad72e72b56b2152</t>
        </is>
      </c>
    </row>
    <row r="665">
      <c r="A665" t="inlineStr">
        <is>
          <t>附表7</t>
        </is>
      </c>
      <c r="B665" t="inlineStr">
        <is>
          <t>P6</t>
        </is>
      </c>
      <c r="C665" t="inlineStr">
        <is>
          <t>'=C36</t>
        </is>
      </c>
      <c r="D665" t="inlineStr">
        <is>
          <t>7bb337d05f0c53978d99f25a46a9cd4415d01ec63196efbdb88bdb7922c3991a</t>
        </is>
      </c>
    </row>
    <row r="666">
      <c r="A666" t="inlineStr">
        <is>
          <t>附表7</t>
        </is>
      </c>
      <c r="B666" t="inlineStr">
        <is>
          <t>Q6</t>
        </is>
      </c>
      <c r="C666" t="inlineStr">
        <is>
          <t>'=C37</t>
        </is>
      </c>
      <c r="D666" t="inlineStr">
        <is>
          <t>71816f9491558462d1cb75a53d9f4300bd7c9a147feb8a7246af285ba0fed056</t>
        </is>
      </c>
    </row>
    <row r="667">
      <c r="A667" t="inlineStr">
        <is>
          <t>附表7</t>
        </is>
      </c>
      <c r="B667" t="inlineStr">
        <is>
          <t>R6</t>
        </is>
      </c>
      <c r="C667" t="inlineStr">
        <is>
          <t>'=C38</t>
        </is>
      </c>
      <c r="D667" t="inlineStr">
        <is>
          <t>c7347c5ff799cd95f98d42326b7d9b2d4b8df2874282786aa2fb32e40ed3646d</t>
        </is>
      </c>
    </row>
    <row r="668">
      <c r="A668" t="inlineStr">
        <is>
          <t>附表7</t>
        </is>
      </c>
      <c r="B668" t="inlineStr">
        <is>
          <t>S6</t>
        </is>
      </c>
      <c r="C668" t="inlineStr">
        <is>
          <t>'=C39</t>
        </is>
      </c>
      <c r="D668" t="inlineStr">
        <is>
          <t>f53e20e9f2d916f0f1cb90c71e3a5731af3f96f2fdcd50dce970f2816fbf61e1</t>
        </is>
      </c>
    </row>
    <row r="669">
      <c r="A669" t="inlineStr">
        <is>
          <t>附表7</t>
        </is>
      </c>
      <c r="B669" t="inlineStr">
        <is>
          <t>T6</t>
        </is>
      </c>
      <c r="C669" t="inlineStr">
        <is>
          <t>'=C40</t>
        </is>
      </c>
      <c r="D669" t="inlineStr">
        <is>
          <t>721e5fcb705d4919ec4c272fe4cebc8d2912b9ff0e793bbdc50c23f2e0b6a352</t>
        </is>
      </c>
    </row>
    <row r="670">
      <c r="A670" t="inlineStr">
        <is>
          <t>附表7</t>
        </is>
      </c>
      <c r="B670" t="inlineStr">
        <is>
          <t>U6</t>
        </is>
      </c>
      <c r="C670" t="inlineStr">
        <is>
          <t>'=C41</t>
        </is>
      </c>
      <c r="D670" t="inlineStr">
        <is>
          <t>ee37432d42122e6ce613c8c5d75f49ebd873d386e05774faaf1a49c5aed8b275</t>
        </is>
      </c>
    </row>
    <row r="671">
      <c r="A671" t="inlineStr">
        <is>
          <t>附表7</t>
        </is>
      </c>
      <c r="B671" t="inlineStr">
        <is>
          <t>V6</t>
        </is>
      </c>
      <c r="C671" t="inlineStr">
        <is>
          <t>'=C42</t>
        </is>
      </c>
      <c r="D671" t="inlineStr">
        <is>
          <t>b28a9da389888874581e0650d6f25054803fc47f18c528979d0419ea2c534107</t>
        </is>
      </c>
    </row>
    <row r="672">
      <c r="A672" t="inlineStr">
        <is>
          <t>附表7</t>
        </is>
      </c>
      <c r="B672" t="inlineStr">
        <is>
          <t>W6</t>
        </is>
      </c>
      <c r="C672" t="inlineStr">
        <is>
          <t>'=C43</t>
        </is>
      </c>
      <c r="D672" t="inlineStr">
        <is>
          <t>26f9dc951b0d5361c07c3ae8cd5c6ac63a3e04d9aa66a40872ad1fa3b289de3e</t>
        </is>
      </c>
    </row>
    <row r="673">
      <c r="A673" t="inlineStr">
        <is>
          <t>附表7</t>
        </is>
      </c>
      <c r="B673" t="inlineStr">
        <is>
          <t>X6</t>
        </is>
      </c>
      <c r="C673" t="inlineStr">
        <is>
          <t>'=C44</t>
        </is>
      </c>
      <c r="D673" t="inlineStr">
        <is>
          <t>7691c1e330ce550e27e0ee31a813daa512bd252da747c67406c6a894ca3d5d01</t>
        </is>
      </c>
    </row>
    <row r="674">
      <c r="A674" t="inlineStr">
        <is>
          <t>附表7</t>
        </is>
      </c>
      <c r="B674" t="inlineStr">
        <is>
          <t>Y6</t>
        </is>
      </c>
      <c r="C674" t="inlineStr">
        <is>
          <t>'=C45</t>
        </is>
      </c>
      <c r="D674" t="inlineStr">
        <is>
          <t>39c0968c7cd5a56b5fca4fdc9776e74a3ee294d214147da0e6786324eb70b54d</t>
        </is>
      </c>
    </row>
    <row r="675">
      <c r="A675" t="inlineStr">
        <is>
          <t>附表7</t>
        </is>
      </c>
      <c r="B675" t="inlineStr">
        <is>
          <t>Z6</t>
        </is>
      </c>
      <c r="C675" t="inlineStr">
        <is>
          <t>'=C46</t>
        </is>
      </c>
      <c r="D675" t="inlineStr">
        <is>
          <t>9b79955b6eaa91fa77a05c357f3593f4c740b9b71c5dea5025a401516732366e</t>
        </is>
      </c>
    </row>
    <row r="676">
      <c r="A676" t="inlineStr">
        <is>
          <t>附表7</t>
        </is>
      </c>
      <c r="B676" t="inlineStr">
        <is>
          <t>AA6</t>
        </is>
      </c>
      <c r="C676" t="inlineStr">
        <is>
          <t>'=C47</t>
        </is>
      </c>
      <c r="D676" t="inlineStr">
        <is>
          <t>cb98dd1139a320e2c33bc3aa6fdebd60dab0b8ebcae545b119b6ad94ea5bb442</t>
        </is>
      </c>
    </row>
    <row r="677">
      <c r="A677" t="inlineStr">
        <is>
          <t>附表7</t>
        </is>
      </c>
      <c r="B677" t="inlineStr">
        <is>
          <t>C7</t>
        </is>
      </c>
      <c r="C677" t="inlineStr">
        <is>
          <t>'=SUM(D7,E7,F7,G7,H7,I7,J7,K7,L7,M7,N7,O7,P7,Q7,R7,S7,T7,U7,V7,W7,X7,Y7,Z7,AA7)</t>
        </is>
      </c>
      <c r="D677" t="inlineStr">
        <is>
          <t>6c1afab37f46b0f8cc54244e35cf344bc3383d90fbea7e62b9644ea360b51bc2</t>
        </is>
      </c>
    </row>
    <row r="678">
      <c r="A678" t="inlineStr">
        <is>
          <t>附表7</t>
        </is>
      </c>
      <c r="B678" t="inlineStr">
        <is>
          <t>D7</t>
        </is>
      </c>
      <c r="C678" t="inlineStr">
        <is>
          <t>'=E24</t>
        </is>
      </c>
      <c r="D678" t="inlineStr">
        <is>
          <t>ff40c724feadaf7d60cfcbeb2bb4506626a7d1d584e20c3572e046372ca103a0</t>
        </is>
      </c>
    </row>
    <row r="679">
      <c r="A679" t="inlineStr">
        <is>
          <t>附表7</t>
        </is>
      </c>
      <c r="B679" t="inlineStr">
        <is>
          <t>E7</t>
        </is>
      </c>
      <c r="C679" t="inlineStr">
        <is>
          <t>'=E25</t>
        </is>
      </c>
      <c r="D679" t="inlineStr">
        <is>
          <t>bee489adc18703ca78293e5fa79dbe2fc039df6f5a0897bd29f2afc1f0f44f4f</t>
        </is>
      </c>
    </row>
    <row r="680">
      <c r="A680" t="inlineStr">
        <is>
          <t>附表7</t>
        </is>
      </c>
      <c r="B680" t="inlineStr">
        <is>
          <t>F7</t>
        </is>
      </c>
      <c r="C680" t="inlineStr">
        <is>
          <t>'=E26</t>
        </is>
      </c>
      <c r="D680" t="inlineStr">
        <is>
          <t>d528036d55c16bc8bb929bca4c1c8c7bb5c4220cf8c44f3c65ebdced4feaa2d6</t>
        </is>
      </c>
    </row>
    <row r="681">
      <c r="A681" t="inlineStr">
        <is>
          <t>附表7</t>
        </is>
      </c>
      <c r="B681" t="inlineStr">
        <is>
          <t>G7</t>
        </is>
      </c>
      <c r="C681" t="inlineStr">
        <is>
          <t>'=E27</t>
        </is>
      </c>
      <c r="D681" t="inlineStr">
        <is>
          <t>b18c01b39373e16b82f579f4ff9f16b35c9ab8e4983583d5bb6e660a4c67f7ae</t>
        </is>
      </c>
    </row>
    <row r="682">
      <c r="A682" t="inlineStr">
        <is>
          <t>附表7</t>
        </is>
      </c>
      <c r="B682" t="inlineStr">
        <is>
          <t>H7</t>
        </is>
      </c>
      <c r="C682" t="inlineStr">
        <is>
          <t>'=E28</t>
        </is>
      </c>
      <c r="D682" t="inlineStr">
        <is>
          <t>7631880322d74cf866bc65bf42898faec259e43e467b54ea5c9af511e68e6fd3</t>
        </is>
      </c>
    </row>
    <row r="683">
      <c r="A683" t="inlineStr">
        <is>
          <t>附表7</t>
        </is>
      </c>
      <c r="B683" t="inlineStr">
        <is>
          <t>I7</t>
        </is>
      </c>
      <c r="C683" t="inlineStr">
        <is>
          <t>'=E29</t>
        </is>
      </c>
      <c r="D683" t="inlineStr">
        <is>
          <t>029d731d4663e03c8520795799642b96638809daed8bf0eb23339c0ba23a73f5</t>
        </is>
      </c>
    </row>
    <row r="684">
      <c r="A684" t="inlineStr">
        <is>
          <t>附表7</t>
        </is>
      </c>
      <c r="B684" t="inlineStr">
        <is>
          <t>J7</t>
        </is>
      </c>
      <c r="C684" t="inlineStr">
        <is>
          <t>'=E30</t>
        </is>
      </c>
      <c r="D684" t="inlineStr">
        <is>
          <t>f9d1044436f187ad9ffde2b6f00aa4c37acdb8c819ce9bfaa0f9515b303dfff1</t>
        </is>
      </c>
    </row>
    <row r="685">
      <c r="A685" t="inlineStr">
        <is>
          <t>附表7</t>
        </is>
      </c>
      <c r="B685" t="inlineStr">
        <is>
          <t>K7</t>
        </is>
      </c>
      <c r="C685" t="inlineStr">
        <is>
          <t>'=E31</t>
        </is>
      </c>
      <c r="D685" t="inlineStr">
        <is>
          <t>ccb0bd9c84094861b829aaaf09075d3c7ff6aafd759aeeb9215e2031d1c57476</t>
        </is>
      </c>
    </row>
    <row r="686">
      <c r="A686" t="inlineStr">
        <is>
          <t>附表7</t>
        </is>
      </c>
      <c r="B686" t="inlineStr">
        <is>
          <t>L7</t>
        </is>
      </c>
      <c r="C686" t="inlineStr">
        <is>
          <t>'=E32</t>
        </is>
      </c>
      <c r="D686" t="inlineStr">
        <is>
          <t>5c2a9afdbd4b0ba3b6a28bbaea56a5310c357764c67edcff1106f88069e55777</t>
        </is>
      </c>
    </row>
    <row r="687">
      <c r="A687" t="inlineStr">
        <is>
          <t>附表7</t>
        </is>
      </c>
      <c r="B687" t="inlineStr">
        <is>
          <t>M7</t>
        </is>
      </c>
      <c r="C687" t="inlineStr">
        <is>
          <t>'=E33</t>
        </is>
      </c>
      <c r="D687" t="inlineStr">
        <is>
          <t>8fabd9c5fe8cc507d064eddbc6fe9ea8c6e41213dbb42ffe37a6b88d49f6ab0c</t>
        </is>
      </c>
    </row>
    <row r="688">
      <c r="A688" t="inlineStr">
        <is>
          <t>附表7</t>
        </is>
      </c>
      <c r="B688" t="inlineStr">
        <is>
          <t>N7</t>
        </is>
      </c>
      <c r="C688" t="inlineStr">
        <is>
          <t>'=E34</t>
        </is>
      </c>
      <c r="D688" t="inlineStr">
        <is>
          <t>87bbd2477ff72ff7af7fdabda66289421d5f5adebb9dfd3f1d3e7c2dbebbb27a</t>
        </is>
      </c>
    </row>
    <row r="689">
      <c r="A689" t="inlineStr">
        <is>
          <t>附表7</t>
        </is>
      </c>
      <c r="B689" t="inlineStr">
        <is>
          <t>O7</t>
        </is>
      </c>
      <c r="C689" t="inlineStr">
        <is>
          <t>'=E35</t>
        </is>
      </c>
      <c r="D689" t="inlineStr">
        <is>
          <t>ee2ff98424ffd4f6db529a5ecb297178271832fdbf4e970635feb7414c8509b0</t>
        </is>
      </c>
    </row>
    <row r="690">
      <c r="A690" t="inlineStr">
        <is>
          <t>附表7</t>
        </is>
      </c>
      <c r="B690" t="inlineStr">
        <is>
          <t>P7</t>
        </is>
      </c>
      <c r="C690" t="inlineStr">
        <is>
          <t>'=E36</t>
        </is>
      </c>
      <c r="D690" t="inlineStr">
        <is>
          <t>e03c280f19d18115f9033f7f0461af62082bd0820db7049321cea8a442ff8b7f</t>
        </is>
      </c>
    </row>
    <row r="691">
      <c r="A691" t="inlineStr">
        <is>
          <t>附表7</t>
        </is>
      </c>
      <c r="B691" t="inlineStr">
        <is>
          <t>Q7</t>
        </is>
      </c>
      <c r="C691" t="inlineStr">
        <is>
          <t>'=E37</t>
        </is>
      </c>
      <c r="D691" t="inlineStr">
        <is>
          <t>449f92e3bbc37b7984e20507510a886f3541bb4216353fee56c0bd03f8422e76</t>
        </is>
      </c>
    </row>
    <row r="692">
      <c r="A692" t="inlineStr">
        <is>
          <t>附表7</t>
        </is>
      </c>
      <c r="B692" t="inlineStr">
        <is>
          <t>R7</t>
        </is>
      </c>
      <c r="C692" t="inlineStr">
        <is>
          <t>'=E38</t>
        </is>
      </c>
      <c r="D692" t="inlineStr">
        <is>
          <t>ae14f5f36d788372e885fbd1715a2f03db3885b298775270bfcd1fc38cf6139b</t>
        </is>
      </c>
    </row>
    <row r="693">
      <c r="A693" t="inlineStr">
        <is>
          <t>附表7</t>
        </is>
      </c>
      <c r="B693" t="inlineStr">
        <is>
          <t>S7</t>
        </is>
      </c>
      <c r="C693" t="inlineStr">
        <is>
          <t>'=E39</t>
        </is>
      </c>
      <c r="D693" t="inlineStr">
        <is>
          <t>18114e6dbb02cc34e72eddfc241655b4f0225f99f8dea3788846c10a1261c6b1</t>
        </is>
      </c>
    </row>
    <row r="694">
      <c r="A694" t="inlineStr">
        <is>
          <t>附表7</t>
        </is>
      </c>
      <c r="B694" t="inlineStr">
        <is>
          <t>T7</t>
        </is>
      </c>
      <c r="C694" t="inlineStr">
        <is>
          <t>'=E40</t>
        </is>
      </c>
      <c r="D694" t="inlineStr">
        <is>
          <t>96ae72a57795c393b59351fa715ceabc9fdfee27ba0ff5aceadb7f9f3fb7033b</t>
        </is>
      </c>
    </row>
    <row r="695">
      <c r="A695" t="inlineStr">
        <is>
          <t>附表7</t>
        </is>
      </c>
      <c r="B695" t="inlineStr">
        <is>
          <t>U7</t>
        </is>
      </c>
      <c r="C695" t="inlineStr">
        <is>
          <t>'=E41</t>
        </is>
      </c>
      <c r="D695" t="inlineStr">
        <is>
          <t>df2be7009a4fee7fbef6f913d108f785409c79bac7afe4773864b50e39757f8a</t>
        </is>
      </c>
    </row>
    <row r="696">
      <c r="A696" t="inlineStr">
        <is>
          <t>附表7</t>
        </is>
      </c>
      <c r="B696" t="inlineStr">
        <is>
          <t>V7</t>
        </is>
      </c>
      <c r="C696" t="inlineStr">
        <is>
          <t>'=E42</t>
        </is>
      </c>
      <c r="D696" t="inlineStr">
        <is>
          <t>ee0a6309448c128077fe11cd3227f58249aa116eb97563f567a515393ec4639d</t>
        </is>
      </c>
    </row>
    <row r="697">
      <c r="A697" t="inlineStr">
        <is>
          <t>附表7</t>
        </is>
      </c>
      <c r="B697" t="inlineStr">
        <is>
          <t>W7</t>
        </is>
      </c>
      <c r="C697" t="inlineStr">
        <is>
          <t>'=E43</t>
        </is>
      </c>
      <c r="D697" t="inlineStr">
        <is>
          <t>12a200ed6ecd5c28cd56afa60c2b95563124792363b42520e05cbdd19036469a</t>
        </is>
      </c>
    </row>
    <row r="698">
      <c r="A698" t="inlineStr">
        <is>
          <t>附表7</t>
        </is>
      </c>
      <c r="B698" t="inlineStr">
        <is>
          <t>X7</t>
        </is>
      </c>
      <c r="C698" t="inlineStr">
        <is>
          <t>'=E44</t>
        </is>
      </c>
      <c r="D698" t="inlineStr">
        <is>
          <t>0f32438aef4cb4f2d74c50cd89be2d577befdc919ddc9b270281e5632c44e49b</t>
        </is>
      </c>
    </row>
    <row r="699">
      <c r="A699" t="inlineStr">
        <is>
          <t>附表7</t>
        </is>
      </c>
      <c r="B699" t="inlineStr">
        <is>
          <t>Y7</t>
        </is>
      </c>
      <c r="C699" t="inlineStr">
        <is>
          <t>'=E45</t>
        </is>
      </c>
      <c r="D699" t="inlineStr">
        <is>
          <t>1d2c1f1a488546d0adec7b80dfef795e39908dfc871512c883e4c75334f6f19a</t>
        </is>
      </c>
    </row>
    <row r="700">
      <c r="A700" t="inlineStr">
        <is>
          <t>附表7</t>
        </is>
      </c>
      <c r="B700" t="inlineStr">
        <is>
          <t>Z7</t>
        </is>
      </c>
      <c r="C700" t="inlineStr">
        <is>
          <t>'=E46</t>
        </is>
      </c>
      <c r="D700" t="inlineStr">
        <is>
          <t>9028c1bdc130af8090cd8abe2a4756689f49321fa7bb143fa1ef27f7a38edfa2</t>
        </is>
      </c>
    </row>
    <row r="701">
      <c r="A701" t="inlineStr">
        <is>
          <t>附表7</t>
        </is>
      </c>
      <c r="B701" t="inlineStr">
        <is>
          <t>AA7</t>
        </is>
      </c>
      <c r="C701" t="inlineStr">
        <is>
          <t>'=E47</t>
        </is>
      </c>
      <c r="D701" t="inlineStr">
        <is>
          <t>211f1176e467fe610e2fa0d5737b14ddd849ef8475f4c8808628d60e9f90d558</t>
        </is>
      </c>
    </row>
    <row r="702">
      <c r="A702" t="inlineStr">
        <is>
          <t>附表7</t>
        </is>
      </c>
      <c r="B702" t="inlineStr">
        <is>
          <t>C8</t>
        </is>
      </c>
      <c r="C702" t="inlineStr">
        <is>
          <t>'=SUM(D8,E8,F8,G8,H8,I8,J8,K8,L8,M8,N8,O8,P8,Q8,R8,S8,T8,U8,V8,W8,X8,Y8,Z8,AA8)</t>
        </is>
      </c>
      <c r="D702" t="inlineStr">
        <is>
          <t>065436c3f2eb117a0fae9d7d3577184382546d6b3c7a96373a37a320553f8b6e</t>
        </is>
      </c>
    </row>
    <row r="703">
      <c r="A703" t="inlineStr">
        <is>
          <t>附表7</t>
        </is>
      </c>
      <c r="B703" t="inlineStr">
        <is>
          <t>D8</t>
        </is>
      </c>
      <c r="C703" t="inlineStr">
        <is>
          <t>'=H24</t>
        </is>
      </c>
      <c r="D703" t="inlineStr">
        <is>
          <t>8d0b1e84600282eca62b3424e9540db362083b1975228dbedc985f087cc8e1b3</t>
        </is>
      </c>
    </row>
    <row r="704">
      <c r="A704" t="inlineStr">
        <is>
          <t>附表7</t>
        </is>
      </c>
      <c r="B704" t="inlineStr">
        <is>
          <t>E8</t>
        </is>
      </c>
      <c r="C704" t="inlineStr">
        <is>
          <t>'=H25</t>
        </is>
      </c>
      <c r="D704" t="inlineStr">
        <is>
          <t>7fe644f4c1ede5f733c14eea39a1a9a1c7513224b6eccb11df9fcb7955e967d1</t>
        </is>
      </c>
    </row>
    <row r="705">
      <c r="A705" t="inlineStr">
        <is>
          <t>附表7</t>
        </is>
      </c>
      <c r="B705" t="inlineStr">
        <is>
          <t>F8</t>
        </is>
      </c>
      <c r="C705" t="inlineStr">
        <is>
          <t>'=H26</t>
        </is>
      </c>
      <c r="D705" t="inlineStr">
        <is>
          <t>d8fb3d229df8698e8d47b7d66bbca5ffddf4740d2a7e3aab7695b6d306959394</t>
        </is>
      </c>
    </row>
    <row r="706">
      <c r="A706" t="inlineStr">
        <is>
          <t>附表7</t>
        </is>
      </c>
      <c r="B706" t="inlineStr">
        <is>
          <t>G8</t>
        </is>
      </c>
      <c r="C706" t="inlineStr">
        <is>
          <t>'=H27</t>
        </is>
      </c>
      <c r="D706" t="inlineStr">
        <is>
          <t>fc660f4cd545d3c398b76e857966ea1ff6c1352deec67afbc7b988cde7991d77</t>
        </is>
      </c>
    </row>
    <row r="707">
      <c r="A707" t="inlineStr">
        <is>
          <t>附表7</t>
        </is>
      </c>
      <c r="B707" t="inlineStr">
        <is>
          <t>H8</t>
        </is>
      </c>
      <c r="C707" t="inlineStr">
        <is>
          <t>'=H28</t>
        </is>
      </c>
      <c r="D707" t="inlineStr">
        <is>
          <t>8272d75fbea47801d43688c2491bb00d0a5a8c69f8aae4a036684314c0acafa6</t>
        </is>
      </c>
    </row>
    <row r="708">
      <c r="A708" t="inlineStr">
        <is>
          <t>附表7</t>
        </is>
      </c>
      <c r="B708" t="inlineStr">
        <is>
          <t>I8</t>
        </is>
      </c>
      <c r="C708" t="inlineStr">
        <is>
          <t>'=H29</t>
        </is>
      </c>
      <c r="D708" t="inlineStr">
        <is>
          <t>31f0dea7ffd623287e9ff827b3672ad7eb78cdc1d789dc4d7b9f7387ce85fb49</t>
        </is>
      </c>
    </row>
    <row r="709">
      <c r="A709" t="inlineStr">
        <is>
          <t>附表7</t>
        </is>
      </c>
      <c r="B709" t="inlineStr">
        <is>
          <t>J8</t>
        </is>
      </c>
      <c r="C709" t="inlineStr">
        <is>
          <t>'=H30</t>
        </is>
      </c>
      <c r="D709" t="inlineStr">
        <is>
          <t>bf18e57a36fdb0fa286b8edf8ae91887839dce5d2e5865b905e5d29cf16aaf3d</t>
        </is>
      </c>
    </row>
    <row r="710">
      <c r="A710" t="inlineStr">
        <is>
          <t>附表7</t>
        </is>
      </c>
      <c r="B710" t="inlineStr">
        <is>
          <t>K8</t>
        </is>
      </c>
      <c r="C710" t="inlineStr">
        <is>
          <t>'=H31</t>
        </is>
      </c>
      <c r="D710" t="inlineStr">
        <is>
          <t>6fbfebce6890494a02b551d89fdc984985058303642263622a40bf2417078fbf</t>
        </is>
      </c>
    </row>
    <row r="711">
      <c r="A711" t="inlineStr">
        <is>
          <t>附表7</t>
        </is>
      </c>
      <c r="B711" t="inlineStr">
        <is>
          <t>L8</t>
        </is>
      </c>
      <c r="C711" t="inlineStr">
        <is>
          <t>'=H32</t>
        </is>
      </c>
      <c r="D711" t="inlineStr">
        <is>
          <t>47a52dc78fdf16a9ad7f8ac3893cb2331acf56bedc99b61790a87d61ca993a0b</t>
        </is>
      </c>
    </row>
    <row r="712">
      <c r="A712" t="inlineStr">
        <is>
          <t>附表7</t>
        </is>
      </c>
      <c r="B712" t="inlineStr">
        <is>
          <t>M8</t>
        </is>
      </c>
      <c r="C712" t="inlineStr">
        <is>
          <t>'=H33</t>
        </is>
      </c>
      <c r="D712" t="inlineStr">
        <is>
          <t>63035af1ad631060eb266fc710663ddabcccf9484581e813935b41662a3cace4</t>
        </is>
      </c>
    </row>
    <row r="713">
      <c r="A713" t="inlineStr">
        <is>
          <t>附表7</t>
        </is>
      </c>
      <c r="B713" t="inlineStr">
        <is>
          <t>N8</t>
        </is>
      </c>
      <c r="C713" t="inlineStr">
        <is>
          <t>'=H34</t>
        </is>
      </c>
      <c r="D713" t="inlineStr">
        <is>
          <t>1e0864270237a415b46d4a19c3ac2ac68618a28d08561a0460c7ceab11b2a458</t>
        </is>
      </c>
    </row>
    <row r="714">
      <c r="A714" t="inlineStr">
        <is>
          <t>附表7</t>
        </is>
      </c>
      <c r="B714" t="inlineStr">
        <is>
          <t>O8</t>
        </is>
      </c>
      <c r="C714" t="inlineStr">
        <is>
          <t>'=H35</t>
        </is>
      </c>
      <c r="D714" t="inlineStr">
        <is>
          <t>e3a90c345cce2e508a421c6aced25d7d862dc0c0a04c15070caa45927796f2bd</t>
        </is>
      </c>
    </row>
    <row r="715">
      <c r="A715" t="inlineStr">
        <is>
          <t>附表7</t>
        </is>
      </c>
      <c r="B715" t="inlineStr">
        <is>
          <t>P8</t>
        </is>
      </c>
      <c r="C715" t="inlineStr">
        <is>
          <t>'=H36</t>
        </is>
      </c>
      <c r="D715" t="inlineStr">
        <is>
          <t>76efe60b5f62fd80f1c28260f60e07519fe7c7caf191bd10cdd1a8005cff78af</t>
        </is>
      </c>
    </row>
    <row r="716">
      <c r="A716" t="inlineStr">
        <is>
          <t>附表7</t>
        </is>
      </c>
      <c r="B716" t="inlineStr">
        <is>
          <t>Q8</t>
        </is>
      </c>
      <c r="C716" t="inlineStr">
        <is>
          <t>'=H37</t>
        </is>
      </c>
      <c r="D716" t="inlineStr">
        <is>
          <t>415d82ace76e427764c8f9f1a68174cae19ab2cdc09775e575bee3aec994362d</t>
        </is>
      </c>
    </row>
    <row r="717">
      <c r="A717" t="inlineStr">
        <is>
          <t>附表7</t>
        </is>
      </c>
      <c r="B717" t="inlineStr">
        <is>
          <t>R8</t>
        </is>
      </c>
      <c r="C717" t="inlineStr">
        <is>
          <t>'=H38</t>
        </is>
      </c>
      <c r="D717" t="inlineStr">
        <is>
          <t>b8ba4d13fbd7df659a49a751b176d3d910b7195e099a90d842b96bd051376050</t>
        </is>
      </c>
    </row>
    <row r="718">
      <c r="A718" t="inlineStr">
        <is>
          <t>附表7</t>
        </is>
      </c>
      <c r="B718" t="inlineStr">
        <is>
          <t>S8</t>
        </is>
      </c>
      <c r="C718" t="inlineStr">
        <is>
          <t>'=H39</t>
        </is>
      </c>
      <c r="D718" t="inlineStr">
        <is>
          <t>ec171282b89697f50fb62c1734d4ea481150e6499a6b59a86f98c9624dc673d4</t>
        </is>
      </c>
    </row>
    <row r="719">
      <c r="A719" t="inlineStr">
        <is>
          <t>附表7</t>
        </is>
      </c>
      <c r="B719" t="inlineStr">
        <is>
          <t>T8</t>
        </is>
      </c>
      <c r="C719" t="inlineStr">
        <is>
          <t>'=H40</t>
        </is>
      </c>
      <c r="D719" t="inlineStr">
        <is>
          <t>59e6c3abe94e197acb7b1f94ae917c21cf4c2c0ad9464a97cff374d5fbc1a165</t>
        </is>
      </c>
    </row>
    <row r="720">
      <c r="A720" t="inlineStr">
        <is>
          <t>附表7</t>
        </is>
      </c>
      <c r="B720" t="inlineStr">
        <is>
          <t>U8</t>
        </is>
      </c>
      <c r="C720" t="inlineStr">
        <is>
          <t>'=H41</t>
        </is>
      </c>
      <c r="D720" t="inlineStr">
        <is>
          <t>560a6bc49e899f2d825d737185425c04b44fe460d1b1433285febc8b66de2112</t>
        </is>
      </c>
    </row>
    <row r="721">
      <c r="A721" t="inlineStr">
        <is>
          <t>附表7</t>
        </is>
      </c>
      <c r="B721" t="inlineStr">
        <is>
          <t>V8</t>
        </is>
      </c>
      <c r="C721" t="inlineStr">
        <is>
          <t>'=H42</t>
        </is>
      </c>
      <c r="D721" t="inlineStr">
        <is>
          <t>0de846fe3162edf0e207f2648ecb242b40198cc50321cd1565f0137ce3821862</t>
        </is>
      </c>
    </row>
    <row r="722">
      <c r="A722" t="inlineStr">
        <is>
          <t>附表7</t>
        </is>
      </c>
      <c r="B722" t="inlineStr">
        <is>
          <t>W8</t>
        </is>
      </c>
      <c r="C722" t="inlineStr">
        <is>
          <t>'=H43</t>
        </is>
      </c>
      <c r="D722" t="inlineStr">
        <is>
          <t>543fa4d3410971537580e52e60a68821995f3721e7028d96d8df3508bb7367f9</t>
        </is>
      </c>
    </row>
    <row r="723">
      <c r="A723" t="inlineStr">
        <is>
          <t>附表7</t>
        </is>
      </c>
      <c r="B723" t="inlineStr">
        <is>
          <t>X8</t>
        </is>
      </c>
      <c r="C723" t="inlineStr">
        <is>
          <t>'=H44</t>
        </is>
      </c>
      <c r="D723" t="inlineStr">
        <is>
          <t>ae10b9235b486bd94051f44b037991939594cb920d56275bb0daf7caa2b48e91</t>
        </is>
      </c>
    </row>
    <row r="724">
      <c r="A724" t="inlineStr">
        <is>
          <t>附表7</t>
        </is>
      </c>
      <c r="B724" t="inlineStr">
        <is>
          <t>Y8</t>
        </is>
      </c>
      <c r="C724" t="inlineStr">
        <is>
          <t>'=H45</t>
        </is>
      </c>
      <c r="D724" t="inlineStr">
        <is>
          <t>1707f4e3e8703106933919d8a549a150f71de04029ab1cb16454ca38f603b421</t>
        </is>
      </c>
    </row>
    <row r="725">
      <c r="A725" t="inlineStr">
        <is>
          <t>附表7</t>
        </is>
      </c>
      <c r="B725" t="inlineStr">
        <is>
          <t>Z8</t>
        </is>
      </c>
      <c r="C725" t="inlineStr">
        <is>
          <t>'=H46</t>
        </is>
      </c>
      <c r="D725" t="inlineStr">
        <is>
          <t>6cf160dd7053eed8de9a4fe5c23a48989b45a8da329f09bc054d5d87463b4e62</t>
        </is>
      </c>
    </row>
    <row r="726">
      <c r="A726" t="inlineStr">
        <is>
          <t>附表7</t>
        </is>
      </c>
      <c r="B726" t="inlineStr">
        <is>
          <t>AA8</t>
        </is>
      </c>
      <c r="C726" t="inlineStr">
        <is>
          <t>'=H47</t>
        </is>
      </c>
      <c r="D726" t="inlineStr">
        <is>
          <t>92a350a335c6604e43df44a10b017cc97d6f40435590a43409c82893630ad922</t>
        </is>
      </c>
    </row>
    <row r="727">
      <c r="A727" t="inlineStr">
        <is>
          <t>附表7</t>
        </is>
      </c>
      <c r="B727" t="inlineStr">
        <is>
          <t>C9</t>
        </is>
      </c>
      <c r="C727" t="inlineStr">
        <is>
          <t>'=SUM(D9,E9,F9,G9,H9,I9,J9,K9,L9,M9,N9,O9,P9,Q9,R9,S9,T9,U9,V9,W9,X9,Y9,Z9,AA9)</t>
        </is>
      </c>
      <c r="D727" t="inlineStr">
        <is>
          <t>4374fae3cb9ae23ff418cc607f004f3b823abe16a3b638a79c0381de8cbc17c4</t>
        </is>
      </c>
    </row>
    <row r="728">
      <c r="A728" t="inlineStr">
        <is>
          <t>附表7</t>
        </is>
      </c>
      <c r="B728" t="inlineStr">
        <is>
          <t>D9</t>
        </is>
      </c>
      <c r="C728" t="inlineStr">
        <is>
          <t>'=I24</t>
        </is>
      </c>
      <c r="D728" t="inlineStr">
        <is>
          <t>3a8efbd9cce0596d0de37ddaa2cefed7f2d68be60c5a939c368bf3507e4748ab</t>
        </is>
      </c>
    </row>
    <row r="729">
      <c r="A729" t="inlineStr">
        <is>
          <t>附表7</t>
        </is>
      </c>
      <c r="B729" t="inlineStr">
        <is>
          <t>E9</t>
        </is>
      </c>
      <c r="C729" t="inlineStr">
        <is>
          <t>'=I25</t>
        </is>
      </c>
      <c r="D729" t="inlineStr">
        <is>
          <t>5fd0fa36ecb6927eeae1af306fe231bc1b2d6482fba9bd66d61fd3da9d246b64</t>
        </is>
      </c>
    </row>
    <row r="730">
      <c r="A730" t="inlineStr">
        <is>
          <t>附表7</t>
        </is>
      </c>
      <c r="B730" t="inlineStr">
        <is>
          <t>F9</t>
        </is>
      </c>
      <c r="C730" t="inlineStr">
        <is>
          <t>'=I26</t>
        </is>
      </c>
      <c r="D730" t="inlineStr">
        <is>
          <t>2ce67ea24d9e6d544f4f6ac89a602c8797c478ba26737ef5371b0b4134d4872e</t>
        </is>
      </c>
    </row>
    <row r="731">
      <c r="A731" t="inlineStr">
        <is>
          <t>附表7</t>
        </is>
      </c>
      <c r="B731" t="inlineStr">
        <is>
          <t>G9</t>
        </is>
      </c>
      <c r="C731" t="inlineStr">
        <is>
          <t>'=I27</t>
        </is>
      </c>
      <c r="D731" t="inlineStr">
        <is>
          <t>f934c10bb7713ce206d973def852cacc18726fa22acdedd683cb4c8dc66fdba1</t>
        </is>
      </c>
    </row>
    <row r="732">
      <c r="A732" t="inlineStr">
        <is>
          <t>附表7</t>
        </is>
      </c>
      <c r="B732" t="inlineStr">
        <is>
          <t>H9</t>
        </is>
      </c>
      <c r="C732" t="inlineStr">
        <is>
          <t>'=I28</t>
        </is>
      </c>
      <c r="D732" t="inlineStr">
        <is>
          <t>9ce086bcbe4f1c3031bec5c37b2d198422d897eaedc7fc4a9175ff1d8578f44c</t>
        </is>
      </c>
    </row>
    <row r="733">
      <c r="A733" t="inlineStr">
        <is>
          <t>附表7</t>
        </is>
      </c>
      <c r="B733" t="inlineStr">
        <is>
          <t>I9</t>
        </is>
      </c>
      <c r="C733" t="inlineStr">
        <is>
          <t>'=I29</t>
        </is>
      </c>
      <c r="D733" t="inlineStr">
        <is>
          <t>24f56538b51d8f65c7f2b3380e6615e69ca9abb9ba46081b82f74b9efcc490a5</t>
        </is>
      </c>
    </row>
    <row r="734">
      <c r="A734" t="inlineStr">
        <is>
          <t>附表7</t>
        </is>
      </c>
      <c r="B734" t="inlineStr">
        <is>
          <t>J9</t>
        </is>
      </c>
      <c r="C734" t="inlineStr">
        <is>
          <t>'=I30</t>
        </is>
      </c>
      <c r="D734" t="inlineStr">
        <is>
          <t>ece076a174232945297787d2c17deb3d7dc39b3e90a6c6d019ea53bd8ae1dbb9</t>
        </is>
      </c>
    </row>
    <row r="735">
      <c r="A735" t="inlineStr">
        <is>
          <t>附表7</t>
        </is>
      </c>
      <c r="B735" t="inlineStr">
        <is>
          <t>K9</t>
        </is>
      </c>
      <c r="C735" t="inlineStr">
        <is>
          <t>'=I31</t>
        </is>
      </c>
      <c r="D735" t="inlineStr">
        <is>
          <t>60f947b966dde2c8d1310e6b9ea01b40bb60a883f0f5cb78f35a4fb940abd8d4</t>
        </is>
      </c>
    </row>
    <row r="736">
      <c r="A736" t="inlineStr">
        <is>
          <t>附表7</t>
        </is>
      </c>
      <c r="B736" t="inlineStr">
        <is>
          <t>L9</t>
        </is>
      </c>
      <c r="C736" t="inlineStr">
        <is>
          <t>'=I32</t>
        </is>
      </c>
      <c r="D736" t="inlineStr">
        <is>
          <t>8f4390190eb776039530c2145a6931b38c44cb7c2a8c7eb66570dbcd3dbd96e4</t>
        </is>
      </c>
    </row>
    <row r="737">
      <c r="A737" t="inlineStr">
        <is>
          <t>附表7</t>
        </is>
      </c>
      <c r="B737" t="inlineStr">
        <is>
          <t>M9</t>
        </is>
      </c>
      <c r="C737" t="inlineStr">
        <is>
          <t>'=I33</t>
        </is>
      </c>
      <c r="D737" t="inlineStr">
        <is>
          <t>3d6d10a649f7fee67ae3da5f77e7cb84a5a5da8d3c6b6d35fa96377378c3b2bd</t>
        </is>
      </c>
    </row>
    <row r="738">
      <c r="A738" t="inlineStr">
        <is>
          <t>附表7</t>
        </is>
      </c>
      <c r="B738" t="inlineStr">
        <is>
          <t>N9</t>
        </is>
      </c>
      <c r="C738" t="inlineStr">
        <is>
          <t>'=I34</t>
        </is>
      </c>
      <c r="D738" t="inlineStr">
        <is>
          <t>5f0b86ba1bacc8b1be155f92e59665dc27aa021ef672ea69a1023a23f04c6ff8</t>
        </is>
      </c>
    </row>
    <row r="739">
      <c r="A739" t="inlineStr">
        <is>
          <t>附表7</t>
        </is>
      </c>
      <c r="B739" t="inlineStr">
        <is>
          <t>O9</t>
        </is>
      </c>
      <c r="C739" t="inlineStr">
        <is>
          <t>'=I35</t>
        </is>
      </c>
      <c r="D739" t="inlineStr">
        <is>
          <t>0948bda3d3567276701147e2a0087d4e01c3ede8f027a1abcd65044baef550c3</t>
        </is>
      </c>
    </row>
    <row r="740">
      <c r="A740" t="inlineStr">
        <is>
          <t>附表7</t>
        </is>
      </c>
      <c r="B740" t="inlineStr">
        <is>
          <t>P9</t>
        </is>
      </c>
      <c r="C740" t="inlineStr">
        <is>
          <t>'=I36</t>
        </is>
      </c>
      <c r="D740" t="inlineStr">
        <is>
          <t>4e1e9c3baa9b63e070e4b1751422f29afeb08959fbd5beacf28ea854c4b342c7</t>
        </is>
      </c>
    </row>
    <row r="741">
      <c r="A741" t="inlineStr">
        <is>
          <t>附表7</t>
        </is>
      </c>
      <c r="B741" t="inlineStr">
        <is>
          <t>Q9</t>
        </is>
      </c>
      <c r="C741" t="inlineStr">
        <is>
          <t>'=I37</t>
        </is>
      </c>
      <c r="D741" t="inlineStr">
        <is>
          <t>a3f8fbada3b936244ab8c1fea3f5bb9c008caac25bac1533503f6cbc18af8810</t>
        </is>
      </c>
    </row>
    <row r="742">
      <c r="A742" t="inlineStr">
        <is>
          <t>附表7</t>
        </is>
      </c>
      <c r="B742" t="inlineStr">
        <is>
          <t>R9</t>
        </is>
      </c>
      <c r="C742" t="inlineStr">
        <is>
          <t>'=I38</t>
        </is>
      </c>
      <c r="D742" t="inlineStr">
        <is>
          <t>c4aad7ad0d10e56950e3112b913784a243774d5e12a871f9a38cf5b8a67763ad</t>
        </is>
      </c>
    </row>
    <row r="743">
      <c r="A743" t="inlineStr">
        <is>
          <t>附表7</t>
        </is>
      </c>
      <c r="B743" t="inlineStr">
        <is>
          <t>S9</t>
        </is>
      </c>
      <c r="C743" t="inlineStr">
        <is>
          <t>'=I39</t>
        </is>
      </c>
      <c r="D743" t="inlineStr">
        <is>
          <t>c84882d52f6d63d912dda74cb8a57e477daf42a45d0cf8c0bbe90420cccb3050</t>
        </is>
      </c>
    </row>
    <row r="744">
      <c r="A744" t="inlineStr">
        <is>
          <t>附表7</t>
        </is>
      </c>
      <c r="B744" t="inlineStr">
        <is>
          <t>T9</t>
        </is>
      </c>
      <c r="C744" t="inlineStr">
        <is>
          <t>'=I40</t>
        </is>
      </c>
      <c r="D744" t="inlineStr">
        <is>
          <t>e6b718a294adb77dd94616e5eb89f27ec9ed0e0569b3782abe7e8f0228dc070b</t>
        </is>
      </c>
    </row>
    <row r="745">
      <c r="A745" t="inlineStr">
        <is>
          <t>附表7</t>
        </is>
      </c>
      <c r="B745" t="inlineStr">
        <is>
          <t>U9</t>
        </is>
      </c>
      <c r="C745" t="inlineStr">
        <is>
          <t>'=I41</t>
        </is>
      </c>
      <c r="D745" t="inlineStr">
        <is>
          <t>80d10445349bd7c2b4207365ffd5757b7ef308a5118d057a045bca9a4b902d36</t>
        </is>
      </c>
    </row>
    <row r="746">
      <c r="A746" t="inlineStr">
        <is>
          <t>附表7</t>
        </is>
      </c>
      <c r="B746" t="inlineStr">
        <is>
          <t>V9</t>
        </is>
      </c>
      <c r="C746" t="inlineStr">
        <is>
          <t>'=I42</t>
        </is>
      </c>
      <c r="D746" t="inlineStr">
        <is>
          <t>518c45aa06e365e3c2757f02d5a9f141a6e36aee2a97650a537c6083ee0fc14f</t>
        </is>
      </c>
    </row>
    <row r="747">
      <c r="A747" t="inlineStr">
        <is>
          <t>附表7</t>
        </is>
      </c>
      <c r="B747" t="inlineStr">
        <is>
          <t>W9</t>
        </is>
      </c>
      <c r="C747" t="inlineStr">
        <is>
          <t>'=I43</t>
        </is>
      </c>
      <c r="D747" t="inlineStr">
        <is>
          <t>f8231a46b23327c5fc2eb851f4ceff9867c9bf19c97bbd214e991736b185e9d9</t>
        </is>
      </c>
    </row>
    <row r="748">
      <c r="A748" t="inlineStr">
        <is>
          <t>附表7</t>
        </is>
      </c>
      <c r="B748" t="inlineStr">
        <is>
          <t>X9</t>
        </is>
      </c>
      <c r="C748" t="inlineStr">
        <is>
          <t>'=I44</t>
        </is>
      </c>
      <c r="D748" t="inlineStr">
        <is>
          <t>b6fa733e3c8ab81db06c1e3485562790140a902a3423a9854de485ae0bb1e6c2</t>
        </is>
      </c>
    </row>
    <row r="749">
      <c r="A749" t="inlineStr">
        <is>
          <t>附表7</t>
        </is>
      </c>
      <c r="B749" t="inlineStr">
        <is>
          <t>Y9</t>
        </is>
      </c>
      <c r="C749" t="inlineStr">
        <is>
          <t>'=I45</t>
        </is>
      </c>
      <c r="D749" t="inlineStr">
        <is>
          <t>2b07bdec83c25ebc4d9e4a8db28f4751f5699aa46e9357774ff97b19bad92c3a</t>
        </is>
      </c>
    </row>
    <row r="750">
      <c r="A750" t="inlineStr">
        <is>
          <t>附表7</t>
        </is>
      </c>
      <c r="B750" t="inlineStr">
        <is>
          <t>Z9</t>
        </is>
      </c>
      <c r="C750" t="inlineStr">
        <is>
          <t>'=I46</t>
        </is>
      </c>
      <c r="D750" t="inlineStr">
        <is>
          <t>5d4d9dbb0d749c35b6dfbac3ba9f15806f2410b9b08d55adde925a0305f5d69f</t>
        </is>
      </c>
    </row>
    <row r="751">
      <c r="A751" t="inlineStr">
        <is>
          <t>附表7</t>
        </is>
      </c>
      <c r="B751" t="inlineStr">
        <is>
          <t>AA9</t>
        </is>
      </c>
      <c r="C751" t="inlineStr">
        <is>
          <t>'=I47</t>
        </is>
      </c>
      <c r="D751" t="inlineStr">
        <is>
          <t>52fe25912bc51351edefe89134f6247166391eaf5d2b24586bee0f0408c1e449</t>
        </is>
      </c>
    </row>
    <row r="752">
      <c r="A752" t="inlineStr">
        <is>
          <t>附表7</t>
        </is>
      </c>
      <c r="B752" t="inlineStr">
        <is>
          <t>C10</t>
        </is>
      </c>
      <c r="C752" t="inlineStr">
        <is>
          <t>'=SUM(D10,E10,F10,G10,H10,I10,J10,K10,L10,M10,N10,O10,P10,Q10,R10,S10,T10,U10,V10,W10,X10,Y10,Z10,AA10)</t>
        </is>
      </c>
      <c r="D752" t="inlineStr">
        <is>
          <t>26202e72dae2e7a48fa932abc82b7bb234b4ec3176b69056db2c4b2d3bc5ccf4</t>
        </is>
      </c>
    </row>
    <row r="753">
      <c r="A753" t="inlineStr">
        <is>
          <t>附表7</t>
        </is>
      </c>
      <c r="B753" t="inlineStr">
        <is>
          <t>D10</t>
        </is>
      </c>
      <c r="C753" t="inlineStr">
        <is>
          <t>'=J24</t>
        </is>
      </c>
      <c r="D753" t="inlineStr">
        <is>
          <t>8159f3346bd64ed0a0803803be40318973397c0ab3c36273d4b0978b7a01d010</t>
        </is>
      </c>
    </row>
    <row r="754">
      <c r="A754" t="inlineStr">
        <is>
          <t>附表7</t>
        </is>
      </c>
      <c r="B754" t="inlineStr">
        <is>
          <t>E10</t>
        </is>
      </c>
      <c r="C754" t="inlineStr">
        <is>
          <t>'=J25</t>
        </is>
      </c>
      <c r="D754" t="inlineStr">
        <is>
          <t>8c29d2eae5713f571782f0b765731a16a575d120bc2cec87983f09769818618a</t>
        </is>
      </c>
    </row>
    <row r="755">
      <c r="A755" t="inlineStr">
        <is>
          <t>附表7</t>
        </is>
      </c>
      <c r="B755" t="inlineStr">
        <is>
          <t>F10</t>
        </is>
      </c>
      <c r="C755" t="inlineStr">
        <is>
          <t>'=J26</t>
        </is>
      </c>
      <c r="D755" t="inlineStr">
        <is>
          <t>70d30c256e5bb44b25126bd8c8fdb9b3ce3225568d5d7ce5853f705897a129b0</t>
        </is>
      </c>
    </row>
    <row r="756">
      <c r="A756" t="inlineStr">
        <is>
          <t>附表7</t>
        </is>
      </c>
      <c r="B756" t="inlineStr">
        <is>
          <t>G10</t>
        </is>
      </c>
      <c r="C756" t="inlineStr">
        <is>
          <t>'=J27</t>
        </is>
      </c>
      <c r="D756" t="inlineStr">
        <is>
          <t>32c0ca9426e2a877fc4f7639d5f3d33da4ecc8fd6ba5266f163bd89860045e2a</t>
        </is>
      </c>
    </row>
    <row r="757">
      <c r="A757" t="inlineStr">
        <is>
          <t>附表7</t>
        </is>
      </c>
      <c r="B757" t="inlineStr">
        <is>
          <t>H10</t>
        </is>
      </c>
      <c r="C757" t="inlineStr">
        <is>
          <t>'=J28</t>
        </is>
      </c>
      <c r="D757" t="inlineStr">
        <is>
          <t>e5d0d9380122e0fcbe98ae8a14e465269ff3c8c066984d4ff3abb66274122c44</t>
        </is>
      </c>
    </row>
    <row r="758">
      <c r="A758" t="inlineStr">
        <is>
          <t>附表7</t>
        </is>
      </c>
      <c r="B758" t="inlineStr">
        <is>
          <t>I10</t>
        </is>
      </c>
      <c r="C758" t="inlineStr">
        <is>
          <t>'=J29</t>
        </is>
      </c>
      <c r="D758" t="inlineStr">
        <is>
          <t>ce1e8fdac9e53ba560ed1ac79e3d38bbb220acb5e6599d169605e34cb87eb10f</t>
        </is>
      </c>
    </row>
    <row r="759">
      <c r="A759" t="inlineStr">
        <is>
          <t>附表7</t>
        </is>
      </c>
      <c r="B759" t="inlineStr">
        <is>
          <t>J10</t>
        </is>
      </c>
      <c r="C759" t="inlineStr">
        <is>
          <t>'=J30</t>
        </is>
      </c>
      <c r="D759" t="inlineStr">
        <is>
          <t>c1f27019806f74a264bfcffc32b05d2b889d3d530972092e104cec6284307a62</t>
        </is>
      </c>
    </row>
    <row r="760">
      <c r="A760" t="inlineStr">
        <is>
          <t>附表7</t>
        </is>
      </c>
      <c r="B760" t="inlineStr">
        <is>
          <t>K10</t>
        </is>
      </c>
      <c r="C760" t="inlineStr">
        <is>
          <t>'=J31</t>
        </is>
      </c>
      <c r="D760" t="inlineStr">
        <is>
          <t>2b51c78c6eac0624f42c5a9c86bfb80e997f36dc07d4daa66b51589fb1ecb270</t>
        </is>
      </c>
    </row>
    <row r="761">
      <c r="A761" t="inlineStr">
        <is>
          <t>附表7</t>
        </is>
      </c>
      <c r="B761" t="inlineStr">
        <is>
          <t>L10</t>
        </is>
      </c>
      <c r="C761" t="inlineStr">
        <is>
          <t>'=J32</t>
        </is>
      </c>
      <c r="D761" t="inlineStr">
        <is>
          <t>d26969d7e96b0d056b822c6c8fa8a7dccdca6b3b8f121972895c4c310da04427</t>
        </is>
      </c>
    </row>
    <row r="762">
      <c r="A762" t="inlineStr">
        <is>
          <t>附表7</t>
        </is>
      </c>
      <c r="B762" t="inlineStr">
        <is>
          <t>M10</t>
        </is>
      </c>
      <c r="C762" t="inlineStr">
        <is>
          <t>'=J33</t>
        </is>
      </c>
      <c r="D762" t="inlineStr">
        <is>
          <t>744d791483ec101b9f1f36d4ede68c1016bd783e183c74f3eeb19bced937be42</t>
        </is>
      </c>
    </row>
    <row r="763">
      <c r="A763" t="inlineStr">
        <is>
          <t>附表7</t>
        </is>
      </c>
      <c r="B763" t="inlineStr">
        <is>
          <t>N10</t>
        </is>
      </c>
      <c r="C763" t="inlineStr">
        <is>
          <t>'=J34</t>
        </is>
      </c>
      <c r="D763" t="inlineStr">
        <is>
          <t>8c3fb0e9d412ce45f1fdcc0313fda541c1f1b1498ddae1ce476e897da1535d2e</t>
        </is>
      </c>
    </row>
    <row r="764">
      <c r="A764" t="inlineStr">
        <is>
          <t>附表7</t>
        </is>
      </c>
      <c r="B764" t="inlineStr">
        <is>
          <t>O10</t>
        </is>
      </c>
      <c r="C764" t="inlineStr">
        <is>
          <t>'=J35</t>
        </is>
      </c>
      <c r="D764" t="inlineStr">
        <is>
          <t>38693d58d56cf00a8420d79fa6202863e6e6174d6e12d41526dd945d8ff26685</t>
        </is>
      </c>
    </row>
    <row r="765">
      <c r="A765" t="inlineStr">
        <is>
          <t>附表7</t>
        </is>
      </c>
      <c r="B765" t="inlineStr">
        <is>
          <t>P10</t>
        </is>
      </c>
      <c r="C765" t="inlineStr">
        <is>
          <t>'=J36</t>
        </is>
      </c>
      <c r="D765" t="inlineStr">
        <is>
          <t>a2e0c8b8ed78f6a384c8c7dba028fed6d67c755c77c6f4f5047f9821cbdb2f4b</t>
        </is>
      </c>
    </row>
    <row r="766">
      <c r="A766" t="inlineStr">
        <is>
          <t>附表7</t>
        </is>
      </c>
      <c r="B766" t="inlineStr">
        <is>
          <t>Q10</t>
        </is>
      </c>
      <c r="C766" t="inlineStr">
        <is>
          <t>'=J37</t>
        </is>
      </c>
      <c r="D766" t="inlineStr">
        <is>
          <t>bd096b20155e6f80537ceeadb169e37c27cbe7d2859cd0ab9ed35d3dfd1d4770</t>
        </is>
      </c>
    </row>
    <row r="767">
      <c r="A767" t="inlineStr">
        <is>
          <t>附表7</t>
        </is>
      </c>
      <c r="B767" t="inlineStr">
        <is>
          <t>R10</t>
        </is>
      </c>
      <c r="C767" t="inlineStr">
        <is>
          <t>'=J38</t>
        </is>
      </c>
      <c r="D767" t="inlineStr">
        <is>
          <t>4c86fe101c0269540d3412c98b8abdf0d4c2bd8161d297aae06980c6b3639e95</t>
        </is>
      </c>
    </row>
    <row r="768">
      <c r="A768" t="inlineStr">
        <is>
          <t>附表7</t>
        </is>
      </c>
      <c r="B768" t="inlineStr">
        <is>
          <t>S10</t>
        </is>
      </c>
      <c r="C768" t="inlineStr">
        <is>
          <t>'=J39</t>
        </is>
      </c>
      <c r="D768" t="inlineStr">
        <is>
          <t>417b70d283caca2159de162eabbd9698ec9e35b035edcbcac175b517bfc4ef45</t>
        </is>
      </c>
    </row>
    <row r="769">
      <c r="A769" t="inlineStr">
        <is>
          <t>附表7</t>
        </is>
      </c>
      <c r="B769" t="inlineStr">
        <is>
          <t>T10</t>
        </is>
      </c>
      <c r="C769" t="inlineStr">
        <is>
          <t>'=J40</t>
        </is>
      </c>
      <c r="D769" t="inlineStr">
        <is>
          <t>1721b4922b4e8ef27c6ec4013f7134c276ba21059b75b0ca83feea42b50dd70f</t>
        </is>
      </c>
    </row>
    <row r="770">
      <c r="A770" t="inlineStr">
        <is>
          <t>附表7</t>
        </is>
      </c>
      <c r="B770" t="inlineStr">
        <is>
          <t>U10</t>
        </is>
      </c>
      <c r="C770" t="inlineStr">
        <is>
          <t>'=J41</t>
        </is>
      </c>
      <c r="D770" t="inlineStr">
        <is>
          <t>41675498ea4d80d40bc00a4ad055d0dbb8e36fdb43eb8b6a677006e6244bc033</t>
        </is>
      </c>
    </row>
    <row r="771">
      <c r="A771" t="inlineStr">
        <is>
          <t>附表7</t>
        </is>
      </c>
      <c r="B771" t="inlineStr">
        <is>
          <t>V10</t>
        </is>
      </c>
      <c r="C771" t="inlineStr">
        <is>
          <t>'=J42</t>
        </is>
      </c>
      <c r="D771" t="inlineStr">
        <is>
          <t>8477c29a997dade8871ae4b4cbd3db88436610ecb1efddf544dfbad5c148f2da</t>
        </is>
      </c>
    </row>
    <row r="772">
      <c r="A772" t="inlineStr">
        <is>
          <t>附表7</t>
        </is>
      </c>
      <c r="B772" t="inlineStr">
        <is>
          <t>W10</t>
        </is>
      </c>
      <c r="C772" t="inlineStr">
        <is>
          <t>'=J43</t>
        </is>
      </c>
      <c r="D772" t="inlineStr">
        <is>
          <t>de6d2b58a83f3cca29c6d6b64122a56221e2ac86f56609790d9246116a45073e</t>
        </is>
      </c>
    </row>
    <row r="773">
      <c r="A773" t="inlineStr">
        <is>
          <t>附表7</t>
        </is>
      </c>
      <c r="B773" t="inlineStr">
        <is>
          <t>X10</t>
        </is>
      </c>
      <c r="C773" t="inlineStr">
        <is>
          <t>'=J44</t>
        </is>
      </c>
      <c r="D773" t="inlineStr">
        <is>
          <t>e2e645e782e1bbf0653dd2dfd649d9396f38f94c63ae7f05499d25f49e0b1f85</t>
        </is>
      </c>
    </row>
    <row r="774">
      <c r="A774" t="inlineStr">
        <is>
          <t>附表7</t>
        </is>
      </c>
      <c r="B774" t="inlineStr">
        <is>
          <t>Y10</t>
        </is>
      </c>
      <c r="C774" t="inlineStr">
        <is>
          <t>'=J45</t>
        </is>
      </c>
      <c r="D774" t="inlineStr">
        <is>
          <t>c6502f028b33a5b6607bda6a892001d15f34f7023b2f8a17631aa431307bbc28</t>
        </is>
      </c>
    </row>
    <row r="775">
      <c r="A775" t="inlineStr">
        <is>
          <t>附表7</t>
        </is>
      </c>
      <c r="B775" t="inlineStr">
        <is>
          <t>Z10</t>
        </is>
      </c>
      <c r="C775" t="inlineStr">
        <is>
          <t>'=J46</t>
        </is>
      </c>
      <c r="D775" t="inlineStr">
        <is>
          <t>6d2377249e978b930051008839647c4e1776ceb379a5736b9ab6c7b377a66666</t>
        </is>
      </c>
    </row>
    <row r="776">
      <c r="A776" t="inlineStr">
        <is>
          <t>附表7</t>
        </is>
      </c>
      <c r="B776" t="inlineStr">
        <is>
          <t>AA10</t>
        </is>
      </c>
      <c r="C776" t="inlineStr">
        <is>
          <t>'=J47</t>
        </is>
      </c>
      <c r="D776" t="inlineStr">
        <is>
          <t>159b264146122421003cf63a9109084189d02314123cbb8d338d25141b794d13</t>
        </is>
      </c>
    </row>
    <row r="777">
      <c r="A777" t="inlineStr">
        <is>
          <t>附表7</t>
        </is>
      </c>
      <c r="B777" t="inlineStr">
        <is>
          <t>C11</t>
        </is>
      </c>
      <c r="C777" t="inlineStr">
        <is>
          <t>'=SUM(D11,E11,F11,G11,H11,I11,J11,K11,L11,M11,N11,O11,P11,Q11,R11,S11,T11,U11,V11,W11,X11,Y11,Z11,AA11)</t>
        </is>
      </c>
      <c r="D777" t="inlineStr">
        <is>
          <t>d45c549915a6566f2febe41a986bf8e177535253cf10beec035e932ae598c6ac</t>
        </is>
      </c>
    </row>
    <row r="778">
      <c r="A778" t="inlineStr">
        <is>
          <t>附表7</t>
        </is>
      </c>
      <c r="B778" t="inlineStr">
        <is>
          <t>D11</t>
        </is>
      </c>
      <c r="C778" t="inlineStr">
        <is>
          <t>'=K24</t>
        </is>
      </c>
      <c r="D778" t="inlineStr">
        <is>
          <t>775879c4589c7d593cbd2657592e0528d96e9567b10f3ad861989de13c1608e9</t>
        </is>
      </c>
    </row>
    <row r="779">
      <c r="A779" t="inlineStr">
        <is>
          <t>附表7</t>
        </is>
      </c>
      <c r="B779" t="inlineStr">
        <is>
          <t>E11</t>
        </is>
      </c>
      <c r="C779" t="inlineStr">
        <is>
          <t>'=K25</t>
        </is>
      </c>
      <c r="D779" t="inlineStr">
        <is>
          <t>3369f68eba6ada71a428515ec8d88705e4956814e2937d0766dbb4c354e3a563</t>
        </is>
      </c>
    </row>
    <row r="780">
      <c r="A780" t="inlineStr">
        <is>
          <t>附表7</t>
        </is>
      </c>
      <c r="B780" t="inlineStr">
        <is>
          <t>F11</t>
        </is>
      </c>
      <c r="C780" t="inlineStr">
        <is>
          <t>'=K26</t>
        </is>
      </c>
      <c r="D780" t="inlineStr">
        <is>
          <t>13ec867353b61880232b84166dcf246eb511a0cb8a4b61f4b01e22cb4264975a</t>
        </is>
      </c>
    </row>
    <row r="781">
      <c r="A781" t="inlineStr">
        <is>
          <t>附表7</t>
        </is>
      </c>
      <c r="B781" t="inlineStr">
        <is>
          <t>G11</t>
        </is>
      </c>
      <c r="C781" t="inlineStr">
        <is>
          <t>'=K27</t>
        </is>
      </c>
      <c r="D781" t="inlineStr">
        <is>
          <t>f3ebe9989e7d5c1c2a41114ba3bd6d8f69252f8aff1aabc599812f45f16e9f80</t>
        </is>
      </c>
    </row>
    <row r="782">
      <c r="A782" t="inlineStr">
        <is>
          <t>附表7</t>
        </is>
      </c>
      <c r="B782" t="inlineStr">
        <is>
          <t>H11</t>
        </is>
      </c>
      <c r="C782" t="inlineStr">
        <is>
          <t>'=K28</t>
        </is>
      </c>
      <c r="D782" t="inlineStr">
        <is>
          <t>fad226d82fee8489d2259cfc4aaaa92baa24f4d3ee5b20a2e70676770186715f</t>
        </is>
      </c>
    </row>
    <row r="783">
      <c r="A783" t="inlineStr">
        <is>
          <t>附表7</t>
        </is>
      </c>
      <c r="B783" t="inlineStr">
        <is>
          <t>I11</t>
        </is>
      </c>
      <c r="C783" t="inlineStr">
        <is>
          <t>'=K29</t>
        </is>
      </c>
      <c r="D783" t="inlineStr">
        <is>
          <t>3a0ac9ac95e2dd5cdc5f387a59b6cc78ba63e8b0f8bdb6fd4841035dc5eb27d4</t>
        </is>
      </c>
    </row>
    <row r="784">
      <c r="A784" t="inlineStr">
        <is>
          <t>附表7</t>
        </is>
      </c>
      <c r="B784" t="inlineStr">
        <is>
          <t>J11</t>
        </is>
      </c>
      <c r="C784" t="inlineStr">
        <is>
          <t>'=K30</t>
        </is>
      </c>
      <c r="D784" t="inlineStr">
        <is>
          <t>ff0fe53662d8df2e47569c9a6b76c6fabb70ece6fcf0304cb19e52f2c4b7cf76</t>
        </is>
      </c>
    </row>
    <row r="785">
      <c r="A785" t="inlineStr">
        <is>
          <t>附表7</t>
        </is>
      </c>
      <c r="B785" t="inlineStr">
        <is>
          <t>K11</t>
        </is>
      </c>
      <c r="C785" t="inlineStr">
        <is>
          <t>'=K31</t>
        </is>
      </c>
      <c r="D785" t="inlineStr">
        <is>
          <t>060064846e9d3883f64157ed364c00187aea483c9b7219c28ef680d0c59f5147</t>
        </is>
      </c>
    </row>
    <row r="786">
      <c r="A786" t="inlineStr">
        <is>
          <t>附表7</t>
        </is>
      </c>
      <c r="B786" t="inlineStr">
        <is>
          <t>L11</t>
        </is>
      </c>
      <c r="C786" t="inlineStr">
        <is>
          <t>'=K32</t>
        </is>
      </c>
      <c r="D786" t="inlineStr">
        <is>
          <t>0526bb8e548023c914cb8d878c474bc2b5aee30fa47d0a2b96be3218136c407b</t>
        </is>
      </c>
    </row>
    <row r="787">
      <c r="A787" t="inlineStr">
        <is>
          <t>附表7</t>
        </is>
      </c>
      <c r="B787" t="inlineStr">
        <is>
          <t>M11</t>
        </is>
      </c>
      <c r="C787" t="inlineStr">
        <is>
          <t>'=K33</t>
        </is>
      </c>
      <c r="D787" t="inlineStr">
        <is>
          <t>7cce62bc8f25ee8cf7c69c03c9525494a36ea530729cd7334349954e26db73ab</t>
        </is>
      </c>
    </row>
    <row r="788">
      <c r="A788" t="inlineStr">
        <is>
          <t>附表7</t>
        </is>
      </c>
      <c r="B788" t="inlineStr">
        <is>
          <t>N11</t>
        </is>
      </c>
      <c r="C788" t="inlineStr">
        <is>
          <t>'=K34</t>
        </is>
      </c>
      <c r="D788" t="inlineStr">
        <is>
          <t>7edf6d9ac3756b81e9f5d9fdbc47dfc9b640dd508579d0e4bd2fd037f252df78</t>
        </is>
      </c>
    </row>
    <row r="789">
      <c r="A789" t="inlineStr">
        <is>
          <t>附表7</t>
        </is>
      </c>
      <c r="B789" t="inlineStr">
        <is>
          <t>O11</t>
        </is>
      </c>
      <c r="C789" t="inlineStr">
        <is>
          <t>'=K35</t>
        </is>
      </c>
      <c r="D789" t="inlineStr">
        <is>
          <t>5dc5d907316464d18b3676161c8f897cf2ee12c14e4d777dcda67fa5303ea352</t>
        </is>
      </c>
    </row>
    <row r="790">
      <c r="A790" t="inlineStr">
        <is>
          <t>附表7</t>
        </is>
      </c>
      <c r="B790" t="inlineStr">
        <is>
          <t>P11</t>
        </is>
      </c>
      <c r="C790" t="inlineStr">
        <is>
          <t>'=K36</t>
        </is>
      </c>
      <c r="D790" t="inlineStr">
        <is>
          <t>efd5d6d589ae840993186cd7be03a291ea99a538c4abafa75c33cfafba541604</t>
        </is>
      </c>
    </row>
    <row r="791">
      <c r="A791" t="inlineStr">
        <is>
          <t>附表7</t>
        </is>
      </c>
      <c r="B791" t="inlineStr">
        <is>
          <t>Q11</t>
        </is>
      </c>
      <c r="C791" t="inlineStr">
        <is>
          <t>'=K37</t>
        </is>
      </c>
      <c r="D791" t="inlineStr">
        <is>
          <t>f08636453078be430ff9696030bf47b022abb747ed0300a67d30ba27f59d6e81</t>
        </is>
      </c>
    </row>
    <row r="792">
      <c r="A792" t="inlineStr">
        <is>
          <t>附表7</t>
        </is>
      </c>
      <c r="B792" t="inlineStr">
        <is>
          <t>R11</t>
        </is>
      </c>
      <c r="C792" t="inlineStr">
        <is>
          <t>'=K38</t>
        </is>
      </c>
      <c r="D792" t="inlineStr">
        <is>
          <t>522f113f443f797f2f772318b714bf983deb48c41f3a146fd882a4f7f8e9f4ab</t>
        </is>
      </c>
    </row>
    <row r="793">
      <c r="A793" t="inlineStr">
        <is>
          <t>附表7</t>
        </is>
      </c>
      <c r="B793" t="inlineStr">
        <is>
          <t>S11</t>
        </is>
      </c>
      <c r="C793" t="inlineStr">
        <is>
          <t>'=K39</t>
        </is>
      </c>
      <c r="D793" t="inlineStr">
        <is>
          <t>8f439fb9a6c1d8b7af61da54619212a4e7688ca72fd4f99b07773c2af582172b</t>
        </is>
      </c>
    </row>
    <row r="794">
      <c r="A794" t="inlineStr">
        <is>
          <t>附表7</t>
        </is>
      </c>
      <c r="B794" t="inlineStr">
        <is>
          <t>T11</t>
        </is>
      </c>
      <c r="C794" t="inlineStr">
        <is>
          <t>'=K40</t>
        </is>
      </c>
      <c r="D794" t="inlineStr">
        <is>
          <t>89c2ccba9bf980edc19ac92ac6756fe6e78c5e0d10fd80c966d1ba9259076120</t>
        </is>
      </c>
    </row>
    <row r="795">
      <c r="A795" t="inlineStr">
        <is>
          <t>附表7</t>
        </is>
      </c>
      <c r="B795" t="inlineStr">
        <is>
          <t>U11</t>
        </is>
      </c>
      <c r="C795" t="inlineStr">
        <is>
          <t>'=K41</t>
        </is>
      </c>
      <c r="D795" t="inlineStr">
        <is>
          <t>a86cf3e03a736dda99f248dd68bdd6117c2428f7d1582875ac95df69fd31d377</t>
        </is>
      </c>
    </row>
    <row r="796">
      <c r="A796" t="inlineStr">
        <is>
          <t>附表7</t>
        </is>
      </c>
      <c r="B796" t="inlineStr">
        <is>
          <t>V11</t>
        </is>
      </c>
      <c r="C796" t="inlineStr">
        <is>
          <t>'=K42</t>
        </is>
      </c>
      <c r="D796" t="inlineStr">
        <is>
          <t>41d7cd4ba7604ea76d478c3028c5f84e3baae0898487da87967675bd887b58d7</t>
        </is>
      </c>
    </row>
    <row r="797">
      <c r="A797" t="inlineStr">
        <is>
          <t>附表7</t>
        </is>
      </c>
      <c r="B797" t="inlineStr">
        <is>
          <t>W11</t>
        </is>
      </c>
      <c r="C797" t="inlineStr">
        <is>
          <t>'=K43</t>
        </is>
      </c>
      <c r="D797" t="inlineStr">
        <is>
          <t>9ca858a939df01bc6ed7873978917519f9613af9e4fc8905873967c72e5fb723</t>
        </is>
      </c>
    </row>
    <row r="798">
      <c r="A798" t="inlineStr">
        <is>
          <t>附表7</t>
        </is>
      </c>
      <c r="B798" t="inlineStr">
        <is>
          <t>X11</t>
        </is>
      </c>
      <c r="C798" t="inlineStr">
        <is>
          <t>'=K44</t>
        </is>
      </c>
      <c r="D798" t="inlineStr">
        <is>
          <t>3e5ba3f4156b176b8148bdf783ad12b0f941cadf892bab77806a15878344b0af</t>
        </is>
      </c>
    </row>
    <row r="799">
      <c r="A799" t="inlineStr">
        <is>
          <t>附表7</t>
        </is>
      </c>
      <c r="B799" t="inlineStr">
        <is>
          <t>Y11</t>
        </is>
      </c>
      <c r="C799" t="inlineStr">
        <is>
          <t>'=K45</t>
        </is>
      </c>
      <c r="D799" t="inlineStr">
        <is>
          <t>c4528cfdc6c884cdcbc94b3c77475b2372a1df348274002397e7fab9ea4fbebe</t>
        </is>
      </c>
    </row>
    <row r="800">
      <c r="A800" t="inlineStr">
        <is>
          <t>附表7</t>
        </is>
      </c>
      <c r="B800" t="inlineStr">
        <is>
          <t>Z11</t>
        </is>
      </c>
      <c r="C800" t="inlineStr">
        <is>
          <t>'=K46</t>
        </is>
      </c>
      <c r="D800" t="inlineStr">
        <is>
          <t>308f3d41dc6c0acb2cb9201d6c3ea93fef7ab087c87e7409fa3f6054cf10cebd</t>
        </is>
      </c>
    </row>
    <row r="801">
      <c r="A801" t="inlineStr">
        <is>
          <t>附表7</t>
        </is>
      </c>
      <c r="B801" t="inlineStr">
        <is>
          <t>AA11</t>
        </is>
      </c>
      <c r="C801" t="inlineStr">
        <is>
          <t>'=K47</t>
        </is>
      </c>
      <c r="D801" t="inlineStr">
        <is>
          <t>3a046418e603adaed275cce90c805eb4ac02a4f86eb878318807328ce17ec8ac</t>
        </is>
      </c>
    </row>
    <row r="802">
      <c r="A802" t="inlineStr">
        <is>
          <t>附表7</t>
        </is>
      </c>
      <c r="B802" t="inlineStr">
        <is>
          <t>C12</t>
        </is>
      </c>
      <c r="C802" t="inlineStr">
        <is>
          <t>'=SUM(D12,E12,F12,G12,H12,I12,J12,K12,L12,M12,N12,O12,P12,Q12,R12,S12,T12,U12,V12,W12,X12,Y12,Z12,AA12)</t>
        </is>
      </c>
      <c r="D802" t="inlineStr">
        <is>
          <t>a3bbeb1b258686c4090bca68d322e660b1a8c45b896293c219eb8e5890f0ba61</t>
        </is>
      </c>
    </row>
    <row r="803">
      <c r="A803" t="inlineStr">
        <is>
          <t>附表7</t>
        </is>
      </c>
      <c r="B803" t="inlineStr">
        <is>
          <t>D12</t>
        </is>
      </c>
      <c r="C803" t="inlineStr">
        <is>
          <t>'=L24</t>
        </is>
      </c>
      <c r="D803" t="inlineStr">
        <is>
          <t>164984ff607e3c739ba6fa8063c6726c87e00df38fe1396915cd8a7d467fbadb</t>
        </is>
      </c>
    </row>
    <row r="804">
      <c r="A804" t="inlineStr">
        <is>
          <t>附表7</t>
        </is>
      </c>
      <c r="B804" t="inlineStr">
        <is>
          <t>E12</t>
        </is>
      </c>
      <c r="C804" t="inlineStr">
        <is>
          <t>'=L25</t>
        </is>
      </c>
      <c r="D804" t="inlineStr">
        <is>
          <t>55f3a012f7e2d99dc7fb1c1da89dcb578c1f04c89437b1bdcfd9cca9adb7bd69</t>
        </is>
      </c>
    </row>
    <row r="805">
      <c r="A805" t="inlineStr">
        <is>
          <t>附表7</t>
        </is>
      </c>
      <c r="B805" t="inlineStr">
        <is>
          <t>F12</t>
        </is>
      </c>
      <c r="C805" t="inlineStr">
        <is>
          <t>'=L26</t>
        </is>
      </c>
      <c r="D805" t="inlineStr">
        <is>
          <t>cf606f84ea7b1f4ccf78397d24a22070d232b1e65a097345d0542bc1708fc50b</t>
        </is>
      </c>
    </row>
    <row r="806">
      <c r="A806" t="inlineStr">
        <is>
          <t>附表7</t>
        </is>
      </c>
      <c r="B806" t="inlineStr">
        <is>
          <t>G12</t>
        </is>
      </c>
      <c r="C806" t="inlineStr">
        <is>
          <t>'=L27</t>
        </is>
      </c>
      <c r="D806" t="inlineStr">
        <is>
          <t>3bf4df758d9e0765bf6bb6013219640f4c1769a67ae705b327a1f056a4d3a44f</t>
        </is>
      </c>
    </row>
    <row r="807">
      <c r="A807" t="inlineStr">
        <is>
          <t>附表7</t>
        </is>
      </c>
      <c r="B807" t="inlineStr">
        <is>
          <t>H12</t>
        </is>
      </c>
      <c r="C807" t="inlineStr">
        <is>
          <t>'=L28</t>
        </is>
      </c>
      <c r="D807" t="inlineStr">
        <is>
          <t>8406a0df99de2cbc11606cfbeb3b78556a135a3c0a8db0a711814016295c3030</t>
        </is>
      </c>
    </row>
    <row r="808">
      <c r="A808" t="inlineStr">
        <is>
          <t>附表7</t>
        </is>
      </c>
      <c r="B808" t="inlineStr">
        <is>
          <t>I12</t>
        </is>
      </c>
      <c r="C808" t="inlineStr">
        <is>
          <t>'=L29</t>
        </is>
      </c>
      <c r="D808" t="inlineStr">
        <is>
          <t>f280f8a545584b0c936a45efcff058badd2287b91f5efdf1a2e4bee2b37dff04</t>
        </is>
      </c>
    </row>
    <row r="809">
      <c r="A809" t="inlineStr">
        <is>
          <t>附表7</t>
        </is>
      </c>
      <c r="B809" t="inlineStr">
        <is>
          <t>J12</t>
        </is>
      </c>
      <c r="C809" t="inlineStr">
        <is>
          <t>'=L30</t>
        </is>
      </c>
      <c r="D809" t="inlineStr">
        <is>
          <t>c5695f132bbd63914a77358c5e6750579e9663ddb5f7acc28b1d70a029795a46</t>
        </is>
      </c>
    </row>
    <row r="810">
      <c r="A810" t="inlineStr">
        <is>
          <t>附表7</t>
        </is>
      </c>
      <c r="B810" t="inlineStr">
        <is>
          <t>K12</t>
        </is>
      </c>
      <c r="C810" t="inlineStr">
        <is>
          <t>'=L31</t>
        </is>
      </c>
      <c r="D810" t="inlineStr">
        <is>
          <t>516737a8ad3bf30057e794bffa1fd3a6f5ccbaf32b02ab52258960412319c618</t>
        </is>
      </c>
    </row>
    <row r="811">
      <c r="A811" t="inlineStr">
        <is>
          <t>附表7</t>
        </is>
      </c>
      <c r="B811" t="inlineStr">
        <is>
          <t>L12</t>
        </is>
      </c>
      <c r="C811" t="inlineStr">
        <is>
          <t>'=L32</t>
        </is>
      </c>
      <c r="D811" t="inlineStr">
        <is>
          <t>95fff6cf57925462bcfe4404641f367fbbba9239e2112cb15c7793d4032e685d</t>
        </is>
      </c>
    </row>
    <row r="812">
      <c r="A812" t="inlineStr">
        <is>
          <t>附表7</t>
        </is>
      </c>
      <c r="B812" t="inlineStr">
        <is>
          <t>M12</t>
        </is>
      </c>
      <c r="C812" t="inlineStr">
        <is>
          <t>'=L33</t>
        </is>
      </c>
      <c r="D812" t="inlineStr">
        <is>
          <t>4f89962fc172c1d4104f0613650a025dedc67351713e6d2c5653695caa6309c8</t>
        </is>
      </c>
    </row>
    <row r="813">
      <c r="A813" t="inlineStr">
        <is>
          <t>附表7</t>
        </is>
      </c>
      <c r="B813" t="inlineStr">
        <is>
          <t>N12</t>
        </is>
      </c>
      <c r="C813" t="inlineStr">
        <is>
          <t>'=L34</t>
        </is>
      </c>
      <c r="D813" t="inlineStr">
        <is>
          <t>711041064ad6f96a7b22b59d8189c7898fd36383fce8598ddbaff25699c196b3</t>
        </is>
      </c>
    </row>
    <row r="814">
      <c r="A814" t="inlineStr">
        <is>
          <t>附表7</t>
        </is>
      </c>
      <c r="B814" t="inlineStr">
        <is>
          <t>O12</t>
        </is>
      </c>
      <c r="C814" t="inlineStr">
        <is>
          <t>'=L35</t>
        </is>
      </c>
      <c r="D814" t="inlineStr">
        <is>
          <t>c47a21f279db62e2da28e414699aa7ecaaa81426018f113177dc49de27b53b7f</t>
        </is>
      </c>
    </row>
    <row r="815">
      <c r="A815" t="inlineStr">
        <is>
          <t>附表7</t>
        </is>
      </c>
      <c r="B815" t="inlineStr">
        <is>
          <t>P12</t>
        </is>
      </c>
      <c r="C815" t="inlineStr">
        <is>
          <t>'=L36</t>
        </is>
      </c>
      <c r="D815" t="inlineStr">
        <is>
          <t>59e3dc33f647d513e3b1cb0b4e3150fda6ad1c39a42e63df4db9b360c0450460</t>
        </is>
      </c>
    </row>
    <row r="816">
      <c r="A816" t="inlineStr">
        <is>
          <t>附表7</t>
        </is>
      </c>
      <c r="B816" t="inlineStr">
        <is>
          <t>Q12</t>
        </is>
      </c>
      <c r="C816" t="inlineStr">
        <is>
          <t>'=L37</t>
        </is>
      </c>
      <c r="D816" t="inlineStr">
        <is>
          <t>020c1237c6737b21eee0c43dfd3af8f0e81193df69fe6b991ed8b80a1ed299bd</t>
        </is>
      </c>
    </row>
    <row r="817">
      <c r="A817" t="inlineStr">
        <is>
          <t>附表7</t>
        </is>
      </c>
      <c r="B817" t="inlineStr">
        <is>
          <t>R12</t>
        </is>
      </c>
      <c r="C817" t="inlineStr">
        <is>
          <t>'=L38</t>
        </is>
      </c>
      <c r="D817" t="inlineStr">
        <is>
          <t>bda561ff0d2f1cb08ab68df0c829994b68944e4267ba46554238fee99c77a412</t>
        </is>
      </c>
    </row>
    <row r="818">
      <c r="A818" t="inlineStr">
        <is>
          <t>附表7</t>
        </is>
      </c>
      <c r="B818" t="inlineStr">
        <is>
          <t>S12</t>
        </is>
      </c>
      <c r="C818" t="inlineStr">
        <is>
          <t>'=L39</t>
        </is>
      </c>
      <c r="D818" t="inlineStr">
        <is>
          <t>93a9755a4c63e50fc7517529ab78c825813d2e1678e4c6883c2afc2397a19881</t>
        </is>
      </c>
    </row>
    <row r="819">
      <c r="A819" t="inlineStr">
        <is>
          <t>附表7</t>
        </is>
      </c>
      <c r="B819" t="inlineStr">
        <is>
          <t>T12</t>
        </is>
      </c>
      <c r="C819" t="inlineStr">
        <is>
          <t>'=L40</t>
        </is>
      </c>
      <c r="D819" t="inlineStr">
        <is>
          <t>d07c1d38a0a28090329a247189e67769bd206c608398e782f1246aea56254db4</t>
        </is>
      </c>
    </row>
    <row r="820">
      <c r="A820" t="inlineStr">
        <is>
          <t>附表7</t>
        </is>
      </c>
      <c r="B820" t="inlineStr">
        <is>
          <t>U12</t>
        </is>
      </c>
      <c r="C820" t="inlineStr">
        <is>
          <t>'=L41</t>
        </is>
      </c>
      <c r="D820" t="inlineStr">
        <is>
          <t>7f90abd8b6d1b9eab5760686f1a18a9944768e93c233d414fd0d7ea45bd0b4e3</t>
        </is>
      </c>
    </row>
    <row r="821">
      <c r="A821" t="inlineStr">
        <is>
          <t>附表7</t>
        </is>
      </c>
      <c r="B821" t="inlineStr">
        <is>
          <t>V12</t>
        </is>
      </c>
      <c r="C821" t="inlineStr">
        <is>
          <t>'=L42</t>
        </is>
      </c>
      <c r="D821" t="inlineStr">
        <is>
          <t>44bf64d73e8b404e3e9ae857f3ffc2e92627d71cef65fd05d49581bfc299e840</t>
        </is>
      </c>
    </row>
    <row r="822">
      <c r="A822" t="inlineStr">
        <is>
          <t>附表7</t>
        </is>
      </c>
      <c r="B822" t="inlineStr">
        <is>
          <t>W12</t>
        </is>
      </c>
      <c r="C822" t="inlineStr">
        <is>
          <t>'=L43</t>
        </is>
      </c>
      <c r="D822" t="inlineStr">
        <is>
          <t>b8cc39bf19217d375f1b0ca306ad988005edccc5ee5654591968a58bec46e57c</t>
        </is>
      </c>
    </row>
    <row r="823">
      <c r="A823" t="inlineStr">
        <is>
          <t>附表7</t>
        </is>
      </c>
      <c r="B823" t="inlineStr">
        <is>
          <t>X12</t>
        </is>
      </c>
      <c r="C823" t="inlineStr">
        <is>
          <t>'=L44</t>
        </is>
      </c>
      <c r="D823" t="inlineStr">
        <is>
          <t>7f135552ff76c85cb65f734536e43cbf74a3722c7fa6c3cc0c9c4afd21d1e240</t>
        </is>
      </c>
    </row>
    <row r="824">
      <c r="A824" t="inlineStr">
        <is>
          <t>附表7</t>
        </is>
      </c>
      <c r="B824" t="inlineStr">
        <is>
          <t>Y12</t>
        </is>
      </c>
      <c r="C824" t="inlineStr">
        <is>
          <t>'=L45</t>
        </is>
      </c>
      <c r="D824" t="inlineStr">
        <is>
          <t>bf1e3351a8c4073ad50ce9c1d1e442c250023c37947f845b6d50071e72f7310e</t>
        </is>
      </c>
    </row>
    <row r="825">
      <c r="A825" t="inlineStr">
        <is>
          <t>附表7</t>
        </is>
      </c>
      <c r="B825" t="inlineStr">
        <is>
          <t>Z12</t>
        </is>
      </c>
      <c r="C825" t="inlineStr">
        <is>
          <t>'=L46</t>
        </is>
      </c>
      <c r="D825" t="inlineStr">
        <is>
          <t>58585396730eea62cfe6275a07d37cc910b2a65b690ebc48bba7e06916ed955c</t>
        </is>
      </c>
    </row>
    <row r="826">
      <c r="A826" t="inlineStr">
        <is>
          <t>附表7</t>
        </is>
      </c>
      <c r="B826" t="inlineStr">
        <is>
          <t>AA12</t>
        </is>
      </c>
      <c r="C826" t="inlineStr">
        <is>
          <t>'=L47</t>
        </is>
      </c>
      <c r="D826" t="inlineStr">
        <is>
          <t>c61a47fec1764f5d7dfa83d3d34ffe055a5749b2f3d4205b67fc73eb1415a7bc</t>
        </is>
      </c>
    </row>
    <row r="827">
      <c r="A827" t="inlineStr">
        <is>
          <t>附表7</t>
        </is>
      </c>
      <c r="B827" t="inlineStr">
        <is>
          <t>C13</t>
        </is>
      </c>
      <c r="C827" t="inlineStr">
        <is>
          <t>'=SUM(D13,E13,F13,G13,H13,I13,J13,K13,L13,M13,N13,O13,P13,Q13,R13,S13,T13,U13,V13,W13,X13,Y13,Z13,AA13)</t>
        </is>
      </c>
      <c r="D827" t="inlineStr">
        <is>
          <t>99edba6dd21544495b52813990817d070f104c786469a0cf451a80fe371c9f11</t>
        </is>
      </c>
    </row>
    <row r="828">
      <c r="A828" t="inlineStr">
        <is>
          <t>附表7</t>
        </is>
      </c>
      <c r="B828" t="inlineStr">
        <is>
          <t>D13</t>
        </is>
      </c>
      <c r="C828" t="inlineStr">
        <is>
          <t>'=M24</t>
        </is>
      </c>
      <c r="D828" t="inlineStr">
        <is>
          <t>8bf248bbb54993f5d1ab87884d8085eecae7097fbf5ccc682c573f6816444d0a</t>
        </is>
      </c>
    </row>
    <row r="829">
      <c r="A829" t="inlineStr">
        <is>
          <t>附表7</t>
        </is>
      </c>
      <c r="B829" t="inlineStr">
        <is>
          <t>E13</t>
        </is>
      </c>
      <c r="C829" t="inlineStr">
        <is>
          <t>'=M25</t>
        </is>
      </c>
      <c r="D829" t="inlineStr">
        <is>
          <t>4246d42433474cd48f21616b98a4ddf8c06536f9c2fb794f822f3ba9ab8cde9a</t>
        </is>
      </c>
    </row>
    <row r="830">
      <c r="A830" t="inlineStr">
        <is>
          <t>附表7</t>
        </is>
      </c>
      <c r="B830" t="inlineStr">
        <is>
          <t>F13</t>
        </is>
      </c>
      <c r="C830" t="inlineStr">
        <is>
          <t>'=M26</t>
        </is>
      </c>
      <c r="D830" t="inlineStr">
        <is>
          <t>0944bb851102a30b65ef6305ebf832afef1781152eeee6990d1224eecbce2fca</t>
        </is>
      </c>
    </row>
    <row r="831">
      <c r="A831" t="inlineStr">
        <is>
          <t>附表7</t>
        </is>
      </c>
      <c r="B831" t="inlineStr">
        <is>
          <t>G13</t>
        </is>
      </c>
      <c r="C831" t="inlineStr">
        <is>
          <t>'=M27</t>
        </is>
      </c>
      <c r="D831" t="inlineStr">
        <is>
          <t>0a52e6ac86b1200fb27f1f2c10e4a423f502cbf94bebf35e3d1fec6f31fda433</t>
        </is>
      </c>
    </row>
    <row r="832">
      <c r="A832" t="inlineStr">
        <is>
          <t>附表7</t>
        </is>
      </c>
      <c r="B832" t="inlineStr">
        <is>
          <t>H13</t>
        </is>
      </c>
      <c r="C832" t="inlineStr">
        <is>
          <t>'=M28</t>
        </is>
      </c>
      <c r="D832" t="inlineStr">
        <is>
          <t>fc7196b6d419c4b79a5e863cb2636474efe1eab4e13a8a16bc5e06c6e9d99fa3</t>
        </is>
      </c>
    </row>
    <row r="833">
      <c r="A833" t="inlineStr">
        <is>
          <t>附表7</t>
        </is>
      </c>
      <c r="B833" t="inlineStr">
        <is>
          <t>I13</t>
        </is>
      </c>
      <c r="C833" t="inlineStr">
        <is>
          <t>'=M29</t>
        </is>
      </c>
      <c r="D833" t="inlineStr">
        <is>
          <t>9cba700b0676871e3ccbdf5ce2a9fb6d2257f035c96eb01588572fa23952dfc4</t>
        </is>
      </c>
    </row>
    <row r="834">
      <c r="A834" t="inlineStr">
        <is>
          <t>附表7</t>
        </is>
      </c>
      <c r="B834" t="inlineStr">
        <is>
          <t>J13</t>
        </is>
      </c>
      <c r="C834" t="inlineStr">
        <is>
          <t>'=M30</t>
        </is>
      </c>
      <c r="D834" t="inlineStr">
        <is>
          <t>a42b00a905fb4cfee2a0a45a2b006836a47ed4041749c1bdc71ee585edeb1d58</t>
        </is>
      </c>
    </row>
    <row r="835">
      <c r="A835" t="inlineStr">
        <is>
          <t>附表7</t>
        </is>
      </c>
      <c r="B835" t="inlineStr">
        <is>
          <t>K13</t>
        </is>
      </c>
      <c r="C835" t="inlineStr">
        <is>
          <t>'=M31</t>
        </is>
      </c>
      <c r="D835" t="inlineStr">
        <is>
          <t>4da9977465a58e46870d20096b897dd3a0c00dc18ff9ecdb7c2facc65428d317</t>
        </is>
      </c>
    </row>
    <row r="836">
      <c r="A836" t="inlineStr">
        <is>
          <t>附表7</t>
        </is>
      </c>
      <c r="B836" t="inlineStr">
        <is>
          <t>L13</t>
        </is>
      </c>
      <c r="C836" t="inlineStr">
        <is>
          <t>'=M32</t>
        </is>
      </c>
      <c r="D836" t="inlineStr">
        <is>
          <t>da8e90c1e3972d7c6fee9f904b5d0a55fd0fe5f635da3d0acc9759d9700bd09b</t>
        </is>
      </c>
    </row>
    <row r="837">
      <c r="A837" t="inlineStr">
        <is>
          <t>附表7</t>
        </is>
      </c>
      <c r="B837" t="inlineStr">
        <is>
          <t>M13</t>
        </is>
      </c>
      <c r="C837" t="inlineStr">
        <is>
          <t>'=M33</t>
        </is>
      </c>
      <c r="D837" t="inlineStr">
        <is>
          <t>88b73fe9dac8f4a86ce4c1d3fc3ef25efb059fd164427870d125f76efdbe8972</t>
        </is>
      </c>
    </row>
    <row r="838">
      <c r="A838" t="inlineStr">
        <is>
          <t>附表7</t>
        </is>
      </c>
      <c r="B838" t="inlineStr">
        <is>
          <t>N13</t>
        </is>
      </c>
      <c r="C838" t="inlineStr">
        <is>
          <t>'=M34</t>
        </is>
      </c>
      <c r="D838" t="inlineStr">
        <is>
          <t>60b941f238d96e79fb644811a84b9ffbedb5d80e91989b115749708cc74684dd</t>
        </is>
      </c>
    </row>
    <row r="839">
      <c r="A839" t="inlineStr">
        <is>
          <t>附表7</t>
        </is>
      </c>
      <c r="B839" t="inlineStr">
        <is>
          <t>O13</t>
        </is>
      </c>
      <c r="C839" t="inlineStr">
        <is>
          <t>'=M35</t>
        </is>
      </c>
      <c r="D839" t="inlineStr">
        <is>
          <t>0525a182de60bf66ab223535e8d3a1497fe9804fdc72f0143cb75cf8fd466b58</t>
        </is>
      </c>
    </row>
    <row r="840">
      <c r="A840" t="inlineStr">
        <is>
          <t>附表7</t>
        </is>
      </c>
      <c r="B840" t="inlineStr">
        <is>
          <t>P13</t>
        </is>
      </c>
      <c r="C840" t="inlineStr">
        <is>
          <t>'=M36</t>
        </is>
      </c>
      <c r="D840" t="inlineStr">
        <is>
          <t>3d52d19ae443304a2053678ea076aa9b990e65ed39f1aa61a3499023e10c62de</t>
        </is>
      </c>
    </row>
    <row r="841">
      <c r="A841" t="inlineStr">
        <is>
          <t>附表7</t>
        </is>
      </c>
      <c r="B841" t="inlineStr">
        <is>
          <t>Q13</t>
        </is>
      </c>
      <c r="C841" t="inlineStr">
        <is>
          <t>'=M37</t>
        </is>
      </c>
      <c r="D841" t="inlineStr">
        <is>
          <t>d0f19fbb1fa341e775042081a4624e876e9d76c328af49589907d767c78eccf6</t>
        </is>
      </c>
    </row>
    <row r="842">
      <c r="A842" t="inlineStr">
        <is>
          <t>附表7</t>
        </is>
      </c>
      <c r="B842" t="inlineStr">
        <is>
          <t>R13</t>
        </is>
      </c>
      <c r="C842" t="inlineStr">
        <is>
          <t>'=M38</t>
        </is>
      </c>
      <c r="D842" t="inlineStr">
        <is>
          <t>e21e3ab0e80272fd1be933fee7d7791dcb358d0e37731468224c554d7537266e</t>
        </is>
      </c>
    </row>
    <row r="843">
      <c r="A843" t="inlineStr">
        <is>
          <t>附表7</t>
        </is>
      </c>
      <c r="B843" t="inlineStr">
        <is>
          <t>S13</t>
        </is>
      </c>
      <c r="C843" t="inlineStr">
        <is>
          <t>'=M39</t>
        </is>
      </c>
      <c r="D843" t="inlineStr">
        <is>
          <t>2e9a7877b76aa0669f73b97346ed87748e11395a5d5028e4ea68b1765501ad11</t>
        </is>
      </c>
    </row>
    <row r="844">
      <c r="A844" t="inlineStr">
        <is>
          <t>附表7</t>
        </is>
      </c>
      <c r="B844" t="inlineStr">
        <is>
          <t>T13</t>
        </is>
      </c>
      <c r="C844" t="inlineStr">
        <is>
          <t>'=M40</t>
        </is>
      </c>
      <c r="D844" t="inlineStr">
        <is>
          <t>e86c68396c3e6c912a9784dcce56e1de87c8fcd4df408127c8d4540f66d43e36</t>
        </is>
      </c>
    </row>
    <row r="845">
      <c r="A845" t="inlineStr">
        <is>
          <t>附表7</t>
        </is>
      </c>
      <c r="B845" t="inlineStr">
        <is>
          <t>U13</t>
        </is>
      </c>
      <c r="C845" t="inlineStr">
        <is>
          <t>'=M41</t>
        </is>
      </c>
      <c r="D845" t="inlineStr">
        <is>
          <t>df5d04f0ecd45bb804104f60a4bda0de27dcb2ba81ca094086a9a48202ab5d7d</t>
        </is>
      </c>
    </row>
    <row r="846">
      <c r="A846" t="inlineStr">
        <is>
          <t>附表7</t>
        </is>
      </c>
      <c r="B846" t="inlineStr">
        <is>
          <t>V13</t>
        </is>
      </c>
      <c r="C846" t="inlineStr">
        <is>
          <t>'=M42</t>
        </is>
      </c>
      <c r="D846" t="inlineStr">
        <is>
          <t>00a5e42b037daf80a599ad7bd02d7f349e58bcba0cc6ed6cec6bc44fa60747bd</t>
        </is>
      </c>
    </row>
    <row r="847">
      <c r="A847" t="inlineStr">
        <is>
          <t>附表7</t>
        </is>
      </c>
      <c r="B847" t="inlineStr">
        <is>
          <t>W13</t>
        </is>
      </c>
      <c r="C847" t="inlineStr">
        <is>
          <t>'=M43</t>
        </is>
      </c>
      <c r="D847" t="inlineStr">
        <is>
          <t>89ffe7a2c09ecbff53cec911a5438472ec56ffba284bab5c62c81834e6a14695</t>
        </is>
      </c>
    </row>
    <row r="848">
      <c r="A848" t="inlineStr">
        <is>
          <t>附表7</t>
        </is>
      </c>
      <c r="B848" t="inlineStr">
        <is>
          <t>X13</t>
        </is>
      </c>
      <c r="C848" t="inlineStr">
        <is>
          <t>'=M44</t>
        </is>
      </c>
      <c r="D848" t="inlineStr">
        <is>
          <t>54e34958d1825a4ce5f38035d301554475d22e8815bfc7e8678f5ba764de5a2d</t>
        </is>
      </c>
    </row>
    <row r="849">
      <c r="A849" t="inlineStr">
        <is>
          <t>附表7</t>
        </is>
      </c>
      <c r="B849" t="inlineStr">
        <is>
          <t>Y13</t>
        </is>
      </c>
      <c r="C849" t="inlineStr">
        <is>
          <t>'=M45</t>
        </is>
      </c>
      <c r="D849" t="inlineStr">
        <is>
          <t>996c1650e66eaa820431c1166f44b83e9d55d6b6d0aefe765a17ca98c54c9f86</t>
        </is>
      </c>
    </row>
    <row r="850">
      <c r="A850" t="inlineStr">
        <is>
          <t>附表7</t>
        </is>
      </c>
      <c r="B850" t="inlineStr">
        <is>
          <t>Z13</t>
        </is>
      </c>
      <c r="C850" t="inlineStr">
        <is>
          <t>'=M46</t>
        </is>
      </c>
      <c r="D850" t="inlineStr">
        <is>
          <t>86f706d0dbb5e3e709cd68d0232ec87dc7eda22bf02481eead78dad6c42bc55a</t>
        </is>
      </c>
    </row>
    <row r="851">
      <c r="A851" t="inlineStr">
        <is>
          <t>附表7</t>
        </is>
      </c>
      <c r="B851" t="inlineStr">
        <is>
          <t>AA13</t>
        </is>
      </c>
      <c r="C851" t="inlineStr">
        <is>
          <t>'=M47</t>
        </is>
      </c>
      <c r="D851" t="inlineStr">
        <is>
          <t>0960421b3decddf226cf8b9a2dc72e4df5bc3f5c9be7623300faa254b6e5d218</t>
        </is>
      </c>
    </row>
    <row r="852">
      <c r="A852" t="inlineStr">
        <is>
          <t>附表7</t>
        </is>
      </c>
      <c r="B852" t="inlineStr">
        <is>
          <t>C14</t>
        </is>
      </c>
      <c r="C852" t="inlineStr">
        <is>
          <t>'=SUM(D14,E14,F14,G14,H14,I14,J14,K14,L14,M14,N14,O14,P14,Q14,R14,S14,T14,U14,V14,W14,X14,Y14,Z14,AA14)</t>
        </is>
      </c>
      <c r="D852" t="inlineStr">
        <is>
          <t>621ca71f3d0f4aadd51e89dd65022497a6de9c9dc87f4c17d4dee0f7cf0cace4</t>
        </is>
      </c>
    </row>
    <row r="853">
      <c r="A853" t="inlineStr">
        <is>
          <t>附表7</t>
        </is>
      </c>
      <c r="B853" t="inlineStr">
        <is>
          <t>D14</t>
        </is>
      </c>
      <c r="C853" t="inlineStr">
        <is>
          <t>'=N24</t>
        </is>
      </c>
      <c r="D853" t="inlineStr">
        <is>
          <t>f091d1e1292d7919fbfb159f4069dfc084051c13285ecff5d8661e48d9c589da</t>
        </is>
      </c>
    </row>
    <row r="854">
      <c r="A854" t="inlineStr">
        <is>
          <t>附表7</t>
        </is>
      </c>
      <c r="B854" t="inlineStr">
        <is>
          <t>E14</t>
        </is>
      </c>
      <c r="C854" t="inlineStr">
        <is>
          <t>'=N25</t>
        </is>
      </c>
      <c r="D854" t="inlineStr">
        <is>
          <t>eaace1d130c1ba89144a0d671646e4945d8dff03c72e37ba52e5351492b7dc60</t>
        </is>
      </c>
    </row>
    <row r="855">
      <c r="A855" t="inlineStr">
        <is>
          <t>附表7</t>
        </is>
      </c>
      <c r="B855" t="inlineStr">
        <is>
          <t>F14</t>
        </is>
      </c>
      <c r="C855" t="inlineStr">
        <is>
          <t>'=N26</t>
        </is>
      </c>
      <c r="D855" t="inlineStr">
        <is>
          <t>31ed54a5e2ed485c23ac30ca0beb8bc278175fa46f17f45a6517bee5a24c2f2b</t>
        </is>
      </c>
    </row>
    <row r="856">
      <c r="A856" t="inlineStr">
        <is>
          <t>附表7</t>
        </is>
      </c>
      <c r="B856" t="inlineStr">
        <is>
          <t>G14</t>
        </is>
      </c>
      <c r="C856" t="inlineStr">
        <is>
          <t>'=N27</t>
        </is>
      </c>
      <c r="D856" t="inlineStr">
        <is>
          <t>f8b1529d0b4f703da3f1528de20579db55d0dc3d50d8e19c4527f475696f792d</t>
        </is>
      </c>
    </row>
    <row r="857">
      <c r="A857" t="inlineStr">
        <is>
          <t>附表7</t>
        </is>
      </c>
      <c r="B857" t="inlineStr">
        <is>
          <t>H14</t>
        </is>
      </c>
      <c r="C857" t="inlineStr">
        <is>
          <t>'=N28</t>
        </is>
      </c>
      <c r="D857" t="inlineStr">
        <is>
          <t>c643c3873b96691ae85aadf11d5369e2cfae6e96cea9cacf1be33edebaa55f92</t>
        </is>
      </c>
    </row>
    <row r="858">
      <c r="A858" t="inlineStr">
        <is>
          <t>附表7</t>
        </is>
      </c>
      <c r="B858" t="inlineStr">
        <is>
          <t>I14</t>
        </is>
      </c>
      <c r="C858" t="inlineStr">
        <is>
          <t>'=N29</t>
        </is>
      </c>
      <c r="D858" t="inlineStr">
        <is>
          <t>9c0e37c6730ce65d5fcc36f251f5f254a05d0de2bfaab08cb11694596f0d4cdf</t>
        </is>
      </c>
    </row>
    <row r="859">
      <c r="A859" t="inlineStr">
        <is>
          <t>附表7</t>
        </is>
      </c>
      <c r="B859" t="inlineStr">
        <is>
          <t>J14</t>
        </is>
      </c>
      <c r="C859" t="inlineStr">
        <is>
          <t>'=N30</t>
        </is>
      </c>
      <c r="D859" t="inlineStr">
        <is>
          <t>e63714d10e5c65ab43975b4941f7e9695630d9f72308928d2dbf0baa2e12372c</t>
        </is>
      </c>
    </row>
    <row r="860">
      <c r="A860" t="inlineStr">
        <is>
          <t>附表7</t>
        </is>
      </c>
      <c r="B860" t="inlineStr">
        <is>
          <t>K14</t>
        </is>
      </c>
      <c r="C860" t="inlineStr">
        <is>
          <t>'=N31</t>
        </is>
      </c>
      <c r="D860" t="inlineStr">
        <is>
          <t>84deb64348ed44d4dc1c730ecbc1c664c743413a94caea501c265247b64c861e</t>
        </is>
      </c>
    </row>
    <row r="861">
      <c r="A861" t="inlineStr">
        <is>
          <t>附表7</t>
        </is>
      </c>
      <c r="B861" t="inlineStr">
        <is>
          <t>L14</t>
        </is>
      </c>
      <c r="C861" t="inlineStr">
        <is>
          <t>'=N32</t>
        </is>
      </c>
      <c r="D861" t="inlineStr">
        <is>
          <t>989c3d5e7df74e49b659a805f96818338bc6c61c09528df5e577da5dea9482e8</t>
        </is>
      </c>
    </row>
    <row r="862">
      <c r="A862" t="inlineStr">
        <is>
          <t>附表7</t>
        </is>
      </c>
      <c r="B862" t="inlineStr">
        <is>
          <t>M14</t>
        </is>
      </c>
      <c r="C862" t="inlineStr">
        <is>
          <t>'=N33</t>
        </is>
      </c>
      <c r="D862" t="inlineStr">
        <is>
          <t>b9010ad929d66578e5e91f7536329c34fc95b89e2ff904eee883677ba7981e3e</t>
        </is>
      </c>
    </row>
    <row r="863">
      <c r="A863" t="inlineStr">
        <is>
          <t>附表7</t>
        </is>
      </c>
      <c r="B863" t="inlineStr">
        <is>
          <t>N14</t>
        </is>
      </c>
      <c r="C863" t="inlineStr">
        <is>
          <t>'=N34</t>
        </is>
      </c>
      <c r="D863" t="inlineStr">
        <is>
          <t>7823e2dedbe3ad79845275bc825c231b3d39ab4c64265266538b322b9c6fab11</t>
        </is>
      </c>
    </row>
    <row r="864">
      <c r="A864" t="inlineStr">
        <is>
          <t>附表7</t>
        </is>
      </c>
      <c r="B864" t="inlineStr">
        <is>
          <t>O14</t>
        </is>
      </c>
      <c r="C864" t="inlineStr">
        <is>
          <t>'=N35</t>
        </is>
      </c>
      <c r="D864" t="inlineStr">
        <is>
          <t>4e6c785ccae09978337919abe4e419d791c299ae5b7f7c2bae97f98808cfc385</t>
        </is>
      </c>
    </row>
    <row r="865">
      <c r="A865" t="inlineStr">
        <is>
          <t>附表7</t>
        </is>
      </c>
      <c r="B865" t="inlineStr">
        <is>
          <t>P14</t>
        </is>
      </c>
      <c r="C865" t="inlineStr">
        <is>
          <t>'=N36</t>
        </is>
      </c>
      <c r="D865" t="inlineStr">
        <is>
          <t>184ac37088d3a671df222804cacafdacf550919a699477bc99e0d8265035f83d</t>
        </is>
      </c>
    </row>
    <row r="866">
      <c r="A866" t="inlineStr">
        <is>
          <t>附表7</t>
        </is>
      </c>
      <c r="B866" t="inlineStr">
        <is>
          <t>Q14</t>
        </is>
      </c>
      <c r="C866" t="inlineStr">
        <is>
          <t>'=N37</t>
        </is>
      </c>
      <c r="D866" t="inlineStr">
        <is>
          <t>396bd821275e5a26790ab0a0416ba97ec0703fd89097a811f0e916cf8242ed2b</t>
        </is>
      </c>
    </row>
    <row r="867">
      <c r="A867" t="inlineStr">
        <is>
          <t>附表7</t>
        </is>
      </c>
      <c r="B867" t="inlineStr">
        <is>
          <t>R14</t>
        </is>
      </c>
      <c r="C867" t="inlineStr">
        <is>
          <t>'=N38</t>
        </is>
      </c>
      <c r="D867" t="inlineStr">
        <is>
          <t>29bff02819e5e1f1efa970c7ae7cd9925ac2f406141419d854a9b92190fa0e98</t>
        </is>
      </c>
    </row>
    <row r="868">
      <c r="A868" t="inlineStr">
        <is>
          <t>附表7</t>
        </is>
      </c>
      <c r="B868" t="inlineStr">
        <is>
          <t>S14</t>
        </is>
      </c>
      <c r="C868" t="inlineStr">
        <is>
          <t>'=N39</t>
        </is>
      </c>
      <c r="D868" t="inlineStr">
        <is>
          <t>24350951c9338038561a378e4d68f5d63cfd88fea5f50c48b0f4a58ddd513705</t>
        </is>
      </c>
    </row>
    <row r="869">
      <c r="A869" t="inlineStr">
        <is>
          <t>附表7</t>
        </is>
      </c>
      <c r="B869" t="inlineStr">
        <is>
          <t>T14</t>
        </is>
      </c>
      <c r="C869" t="inlineStr">
        <is>
          <t>'=N40</t>
        </is>
      </c>
      <c r="D869" t="inlineStr">
        <is>
          <t>bb3345d5bd298dff9a5036b639cd6b2f9b3e4496eb71e53ecc0e5e3d73782959</t>
        </is>
      </c>
    </row>
    <row r="870">
      <c r="A870" t="inlineStr">
        <is>
          <t>附表7</t>
        </is>
      </c>
      <c r="B870" t="inlineStr">
        <is>
          <t>U14</t>
        </is>
      </c>
      <c r="C870" t="inlineStr">
        <is>
          <t>'=N41</t>
        </is>
      </c>
      <c r="D870" t="inlineStr">
        <is>
          <t>c98b5c7e24d0cf9b947117972c739785c42af4b40ce31683067ee1e81349c4b9</t>
        </is>
      </c>
    </row>
    <row r="871">
      <c r="A871" t="inlineStr">
        <is>
          <t>附表7</t>
        </is>
      </c>
      <c r="B871" t="inlineStr">
        <is>
          <t>V14</t>
        </is>
      </c>
      <c r="C871" t="inlineStr">
        <is>
          <t>'=N42</t>
        </is>
      </c>
      <c r="D871" t="inlineStr">
        <is>
          <t>efa83d83f4b65eb2c5f7017abacef2a2fd70169abfd5b89719733a2d1155fbeb</t>
        </is>
      </c>
    </row>
    <row r="872">
      <c r="A872" t="inlineStr">
        <is>
          <t>附表7</t>
        </is>
      </c>
      <c r="B872" t="inlineStr">
        <is>
          <t>W14</t>
        </is>
      </c>
      <c r="C872" t="inlineStr">
        <is>
          <t>'=N43</t>
        </is>
      </c>
      <c r="D872" t="inlineStr">
        <is>
          <t>346cc81d4a4ceee21eb71c45baa88bbb4d7f8c74e4c257077a96f3dcc03cd9ab</t>
        </is>
      </c>
    </row>
    <row r="873">
      <c r="A873" t="inlineStr">
        <is>
          <t>附表7</t>
        </is>
      </c>
      <c r="B873" t="inlineStr">
        <is>
          <t>X14</t>
        </is>
      </c>
      <c r="C873" t="inlineStr">
        <is>
          <t>'=N44</t>
        </is>
      </c>
      <c r="D873" t="inlineStr">
        <is>
          <t>860ac63b1ccc12306fd24a80f9ee44d9e5fe26d7fe9b1c6537b740697300f3e3</t>
        </is>
      </c>
    </row>
    <row r="874">
      <c r="A874" t="inlineStr">
        <is>
          <t>附表7</t>
        </is>
      </c>
      <c r="B874" t="inlineStr">
        <is>
          <t>Y14</t>
        </is>
      </c>
      <c r="C874" t="inlineStr">
        <is>
          <t>'=N45</t>
        </is>
      </c>
      <c r="D874" t="inlineStr">
        <is>
          <t>7cbc7060eefa62366f4dc57694d9174cbf0c31d9e7f167d9f6cbf3ee0ae5b978</t>
        </is>
      </c>
    </row>
    <row r="875">
      <c r="A875" t="inlineStr">
        <is>
          <t>附表7</t>
        </is>
      </c>
      <c r="B875" t="inlineStr">
        <is>
          <t>Z14</t>
        </is>
      </c>
      <c r="C875" t="inlineStr">
        <is>
          <t>'=N46</t>
        </is>
      </c>
      <c r="D875" t="inlineStr">
        <is>
          <t>b1529409cc9923bf52f61371d8cb9fe8c35505870643a38e65f4dbb43ce89d66</t>
        </is>
      </c>
    </row>
    <row r="876">
      <c r="A876" t="inlineStr">
        <is>
          <t>附表7</t>
        </is>
      </c>
      <c r="B876" t="inlineStr">
        <is>
          <t>AA14</t>
        </is>
      </c>
      <c r="C876" t="inlineStr">
        <is>
          <t>'=N47</t>
        </is>
      </c>
      <c r="D876" t="inlineStr">
        <is>
          <t>cd8ae96ec663ad73688bc6f893f886f813ae22d6568ad79738e909cfb929b5eb</t>
        </is>
      </c>
    </row>
    <row r="877">
      <c r="A877" t="inlineStr">
        <is>
          <t>附表7</t>
        </is>
      </c>
      <c r="B877" t="inlineStr">
        <is>
          <t>C15</t>
        </is>
      </c>
      <c r="C877" t="inlineStr">
        <is>
          <t>'=SUM(D15,E15,F15,G15,H15,I15,J15,K15,L15,M15,N15,O15,P15,Q15,R15,S15,T15,U15,V15,W15,X15,Y15,Z15,AA15)</t>
        </is>
      </c>
      <c r="D877" t="inlineStr">
        <is>
          <t>a74443ae7cbef32eb4336aa096371d0e1c1625d6c6ecbb670e7bcd96406b73cc</t>
        </is>
      </c>
    </row>
    <row r="878">
      <c r="A878" t="inlineStr">
        <is>
          <t>附表7</t>
        </is>
      </c>
      <c r="B878" t="inlineStr">
        <is>
          <t>D15</t>
        </is>
      </c>
      <c r="C878" t="inlineStr">
        <is>
          <t>'=O24</t>
        </is>
      </c>
      <c r="D878" t="inlineStr">
        <is>
          <t>1d5498237f5c94b8bc4475a9f75eb05f0cd57ed9a2ce3ac78edf8272842dbb03</t>
        </is>
      </c>
    </row>
    <row r="879">
      <c r="A879" t="inlineStr">
        <is>
          <t>附表7</t>
        </is>
      </c>
      <c r="B879" t="inlineStr">
        <is>
          <t>E15</t>
        </is>
      </c>
      <c r="C879" t="inlineStr">
        <is>
          <t>'=O25</t>
        </is>
      </c>
      <c r="D879" t="inlineStr">
        <is>
          <t>9a2bb7a79e77802458c70581b94e3844d5867409f9faead89df4b329ddbac128</t>
        </is>
      </c>
    </row>
    <row r="880">
      <c r="A880" t="inlineStr">
        <is>
          <t>附表7</t>
        </is>
      </c>
      <c r="B880" t="inlineStr">
        <is>
          <t>F15</t>
        </is>
      </c>
      <c r="C880" t="inlineStr">
        <is>
          <t>'=O26</t>
        </is>
      </c>
      <c r="D880" t="inlineStr">
        <is>
          <t>94aedfafbf8199ec857dc20a995b5ec6bbe1dbde860a6342aa14db6b746e0d0e</t>
        </is>
      </c>
    </row>
    <row r="881">
      <c r="A881" t="inlineStr">
        <is>
          <t>附表7</t>
        </is>
      </c>
      <c r="B881" t="inlineStr">
        <is>
          <t>G15</t>
        </is>
      </c>
      <c r="C881" t="inlineStr">
        <is>
          <t>'=O27</t>
        </is>
      </c>
      <c r="D881" t="inlineStr">
        <is>
          <t>2922c90344540d81952b8ac19fc6914993d19a97df6ae641c867be9c936d1b4f</t>
        </is>
      </c>
    </row>
    <row r="882">
      <c r="A882" t="inlineStr">
        <is>
          <t>附表7</t>
        </is>
      </c>
      <c r="B882" t="inlineStr">
        <is>
          <t>H15</t>
        </is>
      </c>
      <c r="C882" t="inlineStr">
        <is>
          <t>'=O28</t>
        </is>
      </c>
      <c r="D882" t="inlineStr">
        <is>
          <t>ab98a45e4422d9f5815d4529ad71e072da8c53583033235fd88bafd6440b30d9</t>
        </is>
      </c>
    </row>
    <row r="883">
      <c r="A883" t="inlineStr">
        <is>
          <t>附表7</t>
        </is>
      </c>
      <c r="B883" t="inlineStr">
        <is>
          <t>I15</t>
        </is>
      </c>
      <c r="C883" t="inlineStr">
        <is>
          <t>'=O29</t>
        </is>
      </c>
      <c r="D883" t="inlineStr">
        <is>
          <t>7bfd09fb99b0e761f27d980651945d24d64fd570b8cdfc7c22f87c6b5f3b5997</t>
        </is>
      </c>
    </row>
    <row r="884">
      <c r="A884" t="inlineStr">
        <is>
          <t>附表7</t>
        </is>
      </c>
      <c r="B884" t="inlineStr">
        <is>
          <t>J15</t>
        </is>
      </c>
      <c r="C884" t="inlineStr">
        <is>
          <t>'=O30</t>
        </is>
      </c>
      <c r="D884" t="inlineStr">
        <is>
          <t>8b4f61d0a49b3ee38f63d289df30e607eda0e8aaca53d12e966238ff1eeca117</t>
        </is>
      </c>
    </row>
    <row r="885">
      <c r="A885" t="inlineStr">
        <is>
          <t>附表7</t>
        </is>
      </c>
      <c r="B885" t="inlineStr">
        <is>
          <t>K15</t>
        </is>
      </c>
      <c r="C885" t="inlineStr">
        <is>
          <t>'=O31</t>
        </is>
      </c>
      <c r="D885" t="inlineStr">
        <is>
          <t>d496727a8ed4279cac263b11b31a3c9a65cfac8b2da0b514bb5eb9e9683f1727</t>
        </is>
      </c>
    </row>
    <row r="886">
      <c r="A886" t="inlineStr">
        <is>
          <t>附表7</t>
        </is>
      </c>
      <c r="B886" t="inlineStr">
        <is>
          <t>L15</t>
        </is>
      </c>
      <c r="C886" t="inlineStr">
        <is>
          <t>'=O32</t>
        </is>
      </c>
      <c r="D886" t="inlineStr">
        <is>
          <t>9804657690743668031599721b4b13230ff7a49d5112b333e737675e37d233c6</t>
        </is>
      </c>
    </row>
    <row r="887">
      <c r="A887" t="inlineStr">
        <is>
          <t>附表7</t>
        </is>
      </c>
      <c r="B887" t="inlineStr">
        <is>
          <t>M15</t>
        </is>
      </c>
      <c r="C887" t="inlineStr">
        <is>
          <t>'=O33</t>
        </is>
      </c>
      <c r="D887" t="inlineStr">
        <is>
          <t>210b89157214434f6d788f2bc8bf3fb6008d393b8bd51d9787a9fedfaaa0098b</t>
        </is>
      </c>
    </row>
    <row r="888">
      <c r="A888" t="inlineStr">
        <is>
          <t>附表7</t>
        </is>
      </c>
      <c r="B888" t="inlineStr">
        <is>
          <t>N15</t>
        </is>
      </c>
      <c r="C888" t="inlineStr">
        <is>
          <t>'=O34</t>
        </is>
      </c>
      <c r="D888" t="inlineStr">
        <is>
          <t>bf360997bbe498e71ea12434d507a798a7684a65b46939217719e5fd8ab74472</t>
        </is>
      </c>
    </row>
    <row r="889">
      <c r="A889" t="inlineStr">
        <is>
          <t>附表7</t>
        </is>
      </c>
      <c r="B889" t="inlineStr">
        <is>
          <t>O15</t>
        </is>
      </c>
      <c r="C889" t="inlineStr">
        <is>
          <t>'=O35</t>
        </is>
      </c>
      <c r="D889" t="inlineStr">
        <is>
          <t>89e6de4e378e6ed4d164599f7e670ac33f8fb931f495a148b7020bac7d77c139</t>
        </is>
      </c>
    </row>
    <row r="890">
      <c r="A890" t="inlineStr">
        <is>
          <t>附表7</t>
        </is>
      </c>
      <c r="B890" t="inlineStr">
        <is>
          <t>P15</t>
        </is>
      </c>
      <c r="C890" t="inlineStr">
        <is>
          <t>'=O36</t>
        </is>
      </c>
      <c r="D890" t="inlineStr">
        <is>
          <t>e31994fcf10724891f9b61bd7da406411aea49a0c47af56745d771432c9ade2c</t>
        </is>
      </c>
    </row>
    <row r="891">
      <c r="A891" t="inlineStr">
        <is>
          <t>附表7</t>
        </is>
      </c>
      <c r="B891" t="inlineStr">
        <is>
          <t>Q15</t>
        </is>
      </c>
      <c r="C891" t="inlineStr">
        <is>
          <t>'=O37</t>
        </is>
      </c>
      <c r="D891" t="inlineStr">
        <is>
          <t>73de3689444d602be42413ac08a7dc36281190fabb732bd5250b316f81a5b37a</t>
        </is>
      </c>
    </row>
    <row r="892">
      <c r="A892" t="inlineStr">
        <is>
          <t>附表7</t>
        </is>
      </c>
      <c r="B892" t="inlineStr">
        <is>
          <t>R15</t>
        </is>
      </c>
      <c r="C892" t="inlineStr">
        <is>
          <t>'=O38</t>
        </is>
      </c>
      <c r="D892" t="inlineStr">
        <is>
          <t>f8528ee61ebf271128279ac8c27495a1cd7989778587e60c2fbe9515d50aafd5</t>
        </is>
      </c>
    </row>
    <row r="893">
      <c r="A893" t="inlineStr">
        <is>
          <t>附表7</t>
        </is>
      </c>
      <c r="B893" t="inlineStr">
        <is>
          <t>S15</t>
        </is>
      </c>
      <c r="C893" t="inlineStr">
        <is>
          <t>'=O39</t>
        </is>
      </c>
      <c r="D893" t="inlineStr">
        <is>
          <t>6e77e5754bf68467de307491da6b4fdbf2c8158f400d9e93b3bf2ce070630aea</t>
        </is>
      </c>
    </row>
    <row r="894">
      <c r="A894" t="inlineStr">
        <is>
          <t>附表7</t>
        </is>
      </c>
      <c r="B894" t="inlineStr">
        <is>
          <t>T15</t>
        </is>
      </c>
      <c r="C894" t="inlineStr">
        <is>
          <t>'=O40</t>
        </is>
      </c>
      <c r="D894" t="inlineStr">
        <is>
          <t>268a0b398c2479dc8aa6eda9c444bcd995fc227b411ae6efe7a6b3d7d9d11fd5</t>
        </is>
      </c>
    </row>
    <row r="895">
      <c r="A895" t="inlineStr">
        <is>
          <t>附表7</t>
        </is>
      </c>
      <c r="B895" t="inlineStr">
        <is>
          <t>U15</t>
        </is>
      </c>
      <c r="C895" t="inlineStr">
        <is>
          <t>'=O41</t>
        </is>
      </c>
      <c r="D895" t="inlineStr">
        <is>
          <t>f112368f511fdd44d1edf1ac89b74fcbd431f0fc532e6aa0378c90b4264a953c</t>
        </is>
      </c>
    </row>
    <row r="896">
      <c r="A896" t="inlineStr">
        <is>
          <t>附表7</t>
        </is>
      </c>
      <c r="B896" t="inlineStr">
        <is>
          <t>V15</t>
        </is>
      </c>
      <c r="C896" t="inlineStr">
        <is>
          <t>'=O42</t>
        </is>
      </c>
      <c r="D896" t="inlineStr">
        <is>
          <t>09eba74be7dea70b838706dc5c7f4a2a1e6eb8ebb68c4b53f65d6cefdb77f096</t>
        </is>
      </c>
    </row>
    <row r="897">
      <c r="A897" t="inlineStr">
        <is>
          <t>附表7</t>
        </is>
      </c>
      <c r="B897" t="inlineStr">
        <is>
          <t>W15</t>
        </is>
      </c>
      <c r="C897" t="inlineStr">
        <is>
          <t>'=O43</t>
        </is>
      </c>
      <c r="D897" t="inlineStr">
        <is>
          <t>f96015a1ce0631752477bf71d2c92306e5e3376a2baf98fcb0e43636cd071750</t>
        </is>
      </c>
    </row>
    <row r="898">
      <c r="A898" t="inlineStr">
        <is>
          <t>附表7</t>
        </is>
      </c>
      <c r="B898" t="inlineStr">
        <is>
          <t>X15</t>
        </is>
      </c>
      <c r="C898" t="inlineStr">
        <is>
          <t>'=O44</t>
        </is>
      </c>
      <c r="D898" t="inlineStr">
        <is>
          <t>f363c31b76d7cbd22894c3b08bbedbbe5b1023adadd6f6e86ca78804cdf19532</t>
        </is>
      </c>
    </row>
    <row r="899">
      <c r="A899" t="inlineStr">
        <is>
          <t>附表7</t>
        </is>
      </c>
      <c r="B899" t="inlineStr">
        <is>
          <t>Y15</t>
        </is>
      </c>
      <c r="C899" t="inlineStr">
        <is>
          <t>'=O45</t>
        </is>
      </c>
      <c r="D899" t="inlineStr">
        <is>
          <t>6295d8ccbde791b47d656445230872916fa0601c3e1dc5efff1a266f9045f4e2</t>
        </is>
      </c>
    </row>
    <row r="900">
      <c r="A900" t="inlineStr">
        <is>
          <t>附表7</t>
        </is>
      </c>
      <c r="B900" t="inlineStr">
        <is>
          <t>Z15</t>
        </is>
      </c>
      <c r="C900" t="inlineStr">
        <is>
          <t>'=O46</t>
        </is>
      </c>
      <c r="D900" t="inlineStr">
        <is>
          <t>2d7fa45573499e46fe5653d50ff2509d65b7f18fb0e73119f9e4ff9dc9b6bf48</t>
        </is>
      </c>
    </row>
    <row r="901">
      <c r="A901" t="inlineStr">
        <is>
          <t>附表7</t>
        </is>
      </c>
      <c r="B901" t="inlineStr">
        <is>
          <t>AA15</t>
        </is>
      </c>
      <c r="C901" t="inlineStr">
        <is>
          <t>'=O47</t>
        </is>
      </c>
      <c r="D901" t="inlineStr">
        <is>
          <t>3c2cee1b4eb951d131daf551b8b6ffa7fe7ac64737399b151f0ab59fdd0714a0</t>
        </is>
      </c>
    </row>
    <row r="902">
      <c r="A902" t="inlineStr">
        <is>
          <t>附表7</t>
        </is>
      </c>
      <c r="B902" t="inlineStr">
        <is>
          <t>C16</t>
        </is>
      </c>
      <c r="C902" t="inlineStr">
        <is>
          <t>'=SUM(D16,E16,F16,G16,H16,I16,J16,K16,L16,M16,N16,O16,P16,Q16,R16,S16,T16,U16,V16,W16,X16,Y16,Z16,AA16)</t>
        </is>
      </c>
      <c r="D902" t="inlineStr">
        <is>
          <t>524a86dffa2e96d5a17b4343c3c920161568f8ba842c54353078873605718de4</t>
        </is>
      </c>
    </row>
    <row r="903">
      <c r="A903" t="inlineStr">
        <is>
          <t>附表7</t>
        </is>
      </c>
      <c r="B903" t="inlineStr">
        <is>
          <t>D16</t>
        </is>
      </c>
      <c r="C903" t="inlineStr">
        <is>
          <t>'=P24</t>
        </is>
      </c>
      <c r="D903" t="inlineStr">
        <is>
          <t>804290f2f07178568ad4c9f68d4935d848ae6acdf4e33c1cbec290952509b01a</t>
        </is>
      </c>
    </row>
    <row r="904">
      <c r="A904" t="inlineStr">
        <is>
          <t>附表7</t>
        </is>
      </c>
      <c r="B904" t="inlineStr">
        <is>
          <t>E16</t>
        </is>
      </c>
      <c r="C904" t="inlineStr">
        <is>
          <t>'=P25</t>
        </is>
      </c>
      <c r="D904" t="inlineStr">
        <is>
          <t>0e2ef369a4748e7dae24f741fc21881d64a67005ebb6023b7a20bb77d148d84f</t>
        </is>
      </c>
    </row>
    <row r="905">
      <c r="A905" t="inlineStr">
        <is>
          <t>附表7</t>
        </is>
      </c>
      <c r="B905" t="inlineStr">
        <is>
          <t>F16</t>
        </is>
      </c>
      <c r="C905" t="inlineStr">
        <is>
          <t>'=P26</t>
        </is>
      </c>
      <c r="D905" t="inlineStr">
        <is>
          <t>018c1eed10cb49f0c58cc6bd1d8804a563f3bd343d8b252594e8f2baa2bf268e</t>
        </is>
      </c>
    </row>
    <row r="906">
      <c r="A906" t="inlineStr">
        <is>
          <t>附表7</t>
        </is>
      </c>
      <c r="B906" t="inlineStr">
        <is>
          <t>G16</t>
        </is>
      </c>
      <c r="C906" t="inlineStr">
        <is>
          <t>'=P27</t>
        </is>
      </c>
      <c r="D906" t="inlineStr">
        <is>
          <t>e4a140b61b8679d7bde47eccfb54bc74b3214e0811dc2e31549e3bacf73f1daf</t>
        </is>
      </c>
    </row>
    <row r="907">
      <c r="A907" t="inlineStr">
        <is>
          <t>附表7</t>
        </is>
      </c>
      <c r="B907" t="inlineStr">
        <is>
          <t>H16</t>
        </is>
      </c>
      <c r="C907" t="inlineStr">
        <is>
          <t>'=P28</t>
        </is>
      </c>
      <c r="D907" t="inlineStr">
        <is>
          <t>cbcf0b60c313c567ccdaf35512c8ed8238ef0b3c22f3005949f2aa0689c3f052</t>
        </is>
      </c>
    </row>
    <row r="908">
      <c r="A908" t="inlineStr">
        <is>
          <t>附表7</t>
        </is>
      </c>
      <c r="B908" t="inlineStr">
        <is>
          <t>I16</t>
        </is>
      </c>
      <c r="C908" t="inlineStr">
        <is>
          <t>'=P29</t>
        </is>
      </c>
      <c r="D908" t="inlineStr">
        <is>
          <t>0ac93ab51d1f834023427328fee4fd6da85bee3251a66b7153e3f939d3c0a08a</t>
        </is>
      </c>
    </row>
    <row r="909">
      <c r="A909" t="inlineStr">
        <is>
          <t>附表7</t>
        </is>
      </c>
      <c r="B909" t="inlineStr">
        <is>
          <t>J16</t>
        </is>
      </c>
      <c r="C909" t="inlineStr">
        <is>
          <t>'=P30</t>
        </is>
      </c>
      <c r="D909" t="inlineStr">
        <is>
          <t>80397bbed04894892f498d16623a18d35d80aa2c2418f95327048f2474387889</t>
        </is>
      </c>
    </row>
    <row r="910">
      <c r="A910" t="inlineStr">
        <is>
          <t>附表7</t>
        </is>
      </c>
      <c r="B910" t="inlineStr">
        <is>
          <t>K16</t>
        </is>
      </c>
      <c r="C910" t="inlineStr">
        <is>
          <t>'=P31</t>
        </is>
      </c>
      <c r="D910" t="inlineStr">
        <is>
          <t>0ad8045e80d3065f3016ca37403ea5241ba6e994a17624c84ad43c0fde1f7d03</t>
        </is>
      </c>
    </row>
    <row r="911">
      <c r="A911" t="inlineStr">
        <is>
          <t>附表7</t>
        </is>
      </c>
      <c r="B911" t="inlineStr">
        <is>
          <t>L16</t>
        </is>
      </c>
      <c r="C911" t="inlineStr">
        <is>
          <t>'=P32</t>
        </is>
      </c>
      <c r="D911" t="inlineStr">
        <is>
          <t>ee03d105a0ba91955d5cb8e34f11f3a80cb9f81eac8f3a0af39f3f49c7657742</t>
        </is>
      </c>
    </row>
    <row r="912">
      <c r="A912" t="inlineStr">
        <is>
          <t>附表7</t>
        </is>
      </c>
      <c r="B912" t="inlineStr">
        <is>
          <t>M16</t>
        </is>
      </c>
      <c r="C912" t="inlineStr">
        <is>
          <t>'=P33</t>
        </is>
      </c>
      <c r="D912" t="inlineStr">
        <is>
          <t>127549b47a7340fc99f576d206a96f7ef6b72d93abad82ff22870784432a3551</t>
        </is>
      </c>
    </row>
    <row r="913">
      <c r="A913" t="inlineStr">
        <is>
          <t>附表7</t>
        </is>
      </c>
      <c r="B913" t="inlineStr">
        <is>
          <t>N16</t>
        </is>
      </c>
      <c r="C913" t="inlineStr">
        <is>
          <t>'=P34</t>
        </is>
      </c>
      <c r="D913" t="inlineStr">
        <is>
          <t>8f3d5f3f6528803b8042872ff8442a2408d79885b4e198a67ab080489886121a</t>
        </is>
      </c>
    </row>
    <row r="914">
      <c r="A914" t="inlineStr">
        <is>
          <t>附表7</t>
        </is>
      </c>
      <c r="B914" t="inlineStr">
        <is>
          <t>O16</t>
        </is>
      </c>
      <c r="C914" t="inlineStr">
        <is>
          <t>'=P35</t>
        </is>
      </c>
      <c r="D914" t="inlineStr">
        <is>
          <t>d09df2cfa4ee0d23002c875530e5cbca55479c5542a10e632bd8da0e7b2959ff</t>
        </is>
      </c>
    </row>
    <row r="915">
      <c r="A915" t="inlineStr">
        <is>
          <t>附表7</t>
        </is>
      </c>
      <c r="B915" t="inlineStr">
        <is>
          <t>P16</t>
        </is>
      </c>
      <c r="C915" t="inlineStr">
        <is>
          <t>'=P36</t>
        </is>
      </c>
      <c r="D915" t="inlineStr">
        <is>
          <t>c31f18fc729e4914e4d4170b46d5da3d83949143919b390ce1ebb50b1a3049d7</t>
        </is>
      </c>
    </row>
    <row r="916">
      <c r="A916" t="inlineStr">
        <is>
          <t>附表7</t>
        </is>
      </c>
      <c r="B916" t="inlineStr">
        <is>
          <t>Q16</t>
        </is>
      </c>
      <c r="C916" t="inlineStr">
        <is>
          <t>'=P37</t>
        </is>
      </c>
      <c r="D916" t="inlineStr">
        <is>
          <t>198da0be3255fb4a7bacf84c6e955cb5e9ff1b80aa8965ef008835e4468fe9a8</t>
        </is>
      </c>
    </row>
    <row r="917">
      <c r="A917" t="inlineStr">
        <is>
          <t>附表7</t>
        </is>
      </c>
      <c r="B917" t="inlineStr">
        <is>
          <t>R16</t>
        </is>
      </c>
      <c r="C917" t="inlineStr">
        <is>
          <t>'=P38</t>
        </is>
      </c>
      <c r="D917" t="inlineStr">
        <is>
          <t>0aef8ed30c29009449314b496f9a7020166e633873493ef55e665ba65c8860a0</t>
        </is>
      </c>
    </row>
    <row r="918">
      <c r="A918" t="inlineStr">
        <is>
          <t>附表7</t>
        </is>
      </c>
      <c r="B918" t="inlineStr">
        <is>
          <t>S16</t>
        </is>
      </c>
      <c r="C918" t="inlineStr">
        <is>
          <t>'=P39</t>
        </is>
      </c>
      <c r="D918" t="inlineStr">
        <is>
          <t>2a6bdeabb187fbdac6d6f8c8a3faa3c8692e623419f44c67329a7bb787c9ca97</t>
        </is>
      </c>
    </row>
    <row r="919">
      <c r="A919" t="inlineStr">
        <is>
          <t>附表7</t>
        </is>
      </c>
      <c r="B919" t="inlineStr">
        <is>
          <t>T16</t>
        </is>
      </c>
      <c r="C919" t="inlineStr">
        <is>
          <t>'=P40</t>
        </is>
      </c>
      <c r="D919" t="inlineStr">
        <is>
          <t>194fbb8cdd2d67eed13553737f22bbb4c118ed5db96c349b8f5440fd6ac2b6fc</t>
        </is>
      </c>
    </row>
    <row r="920">
      <c r="A920" t="inlineStr">
        <is>
          <t>附表7</t>
        </is>
      </c>
      <c r="B920" t="inlineStr">
        <is>
          <t>U16</t>
        </is>
      </c>
      <c r="C920" t="inlineStr">
        <is>
          <t>'=P41</t>
        </is>
      </c>
      <c r="D920" t="inlineStr">
        <is>
          <t>c3e65cd136dcae0c8b09f83873ce48820bd9d6bb5182db57707393446097a7ed</t>
        </is>
      </c>
    </row>
    <row r="921">
      <c r="A921" t="inlineStr">
        <is>
          <t>附表7</t>
        </is>
      </c>
      <c r="B921" t="inlineStr">
        <is>
          <t>V16</t>
        </is>
      </c>
      <c r="C921" t="inlineStr">
        <is>
          <t>'=P42</t>
        </is>
      </c>
      <c r="D921" t="inlineStr">
        <is>
          <t>239309b0542d8b9b86166cac25c42770ca75c30931f4b140d41b628e0fb1ce4e</t>
        </is>
      </c>
    </row>
    <row r="922">
      <c r="A922" t="inlineStr">
        <is>
          <t>附表7</t>
        </is>
      </c>
      <c r="B922" t="inlineStr">
        <is>
          <t>W16</t>
        </is>
      </c>
      <c r="C922" t="inlineStr">
        <is>
          <t>'=P43</t>
        </is>
      </c>
      <c r="D922" t="inlineStr">
        <is>
          <t>00b03c43d2ea1a57182a99934928eaebec3d29aa3ce3c63ef0514a2aef9cc35c</t>
        </is>
      </c>
    </row>
    <row r="923">
      <c r="A923" t="inlineStr">
        <is>
          <t>附表7</t>
        </is>
      </c>
      <c r="B923" t="inlineStr">
        <is>
          <t>X16</t>
        </is>
      </c>
      <c r="C923" t="inlineStr">
        <is>
          <t>'=P44</t>
        </is>
      </c>
      <c r="D923" t="inlineStr">
        <is>
          <t>2690fc19323fa90bf677e68df0c89c68062532972332d71fc2c31dd92c8a3af5</t>
        </is>
      </c>
    </row>
    <row r="924">
      <c r="A924" t="inlineStr">
        <is>
          <t>附表7</t>
        </is>
      </c>
      <c r="B924" t="inlineStr">
        <is>
          <t>Y16</t>
        </is>
      </c>
      <c r="C924" t="inlineStr">
        <is>
          <t>'=P45</t>
        </is>
      </c>
      <c r="D924" t="inlineStr">
        <is>
          <t>dbccf994f27cc8bcc553c38ec97475a29e323f32f001a548db7826d38a6711ca</t>
        </is>
      </c>
    </row>
    <row r="925">
      <c r="A925" t="inlineStr">
        <is>
          <t>附表7</t>
        </is>
      </c>
      <c r="B925" t="inlineStr">
        <is>
          <t>Z16</t>
        </is>
      </c>
      <c r="C925" t="inlineStr">
        <is>
          <t>'=P46</t>
        </is>
      </c>
      <c r="D925" t="inlineStr">
        <is>
          <t>c671756f2aaee06e530da8d72b793f4c39f095c0d8b564793e817fd463371f64</t>
        </is>
      </c>
    </row>
    <row r="926">
      <c r="A926" t="inlineStr">
        <is>
          <t>附表7</t>
        </is>
      </c>
      <c r="B926" t="inlineStr">
        <is>
          <t>AA16</t>
        </is>
      </c>
      <c r="C926" t="inlineStr">
        <is>
          <t>'=P47</t>
        </is>
      </c>
      <c r="D926" t="inlineStr">
        <is>
          <t>72a7814a233181190b4b195eae3262a024b67cc0df041ce7044744e6887da6cc</t>
        </is>
      </c>
    </row>
    <row r="927">
      <c r="A927" t="inlineStr">
        <is>
          <t>附表7</t>
        </is>
      </c>
      <c r="B927" t="inlineStr">
        <is>
          <t>C17</t>
        </is>
      </c>
      <c r="C927" t="inlineStr">
        <is>
          <t>'=SUM(D17,E17,F17,G17,H17,I17,J17,K17,L17,M17,N17,O17,P17,Q17,R17,S17,T17,U17,V17,W17,X17,Y17,Z17,AA17)</t>
        </is>
      </c>
      <c r="D927" t="inlineStr">
        <is>
          <t>cc78ee4802a2ba890a97e288d78b5837d509f353017765dc9b79f48313d11dc7</t>
        </is>
      </c>
    </row>
    <row r="928">
      <c r="A928" t="inlineStr">
        <is>
          <t>附表7</t>
        </is>
      </c>
      <c r="B928" t="inlineStr">
        <is>
          <t>D17</t>
        </is>
      </c>
      <c r="C928" t="inlineStr">
        <is>
          <t>'=Q24</t>
        </is>
      </c>
      <c r="D928" t="inlineStr">
        <is>
          <t>554ea403b8b57bdbac7081f86e292479b5a043ee7270efced51f5d356aaca116</t>
        </is>
      </c>
    </row>
    <row r="929">
      <c r="A929" t="inlineStr">
        <is>
          <t>附表7</t>
        </is>
      </c>
      <c r="B929" t="inlineStr">
        <is>
          <t>E17</t>
        </is>
      </c>
      <c r="C929" t="inlineStr">
        <is>
          <t>'=Q25</t>
        </is>
      </c>
      <c r="D929" t="inlineStr">
        <is>
          <t>aa20044221093dc1096bdae5cbe1a5df44da0d893733a94ffe8d350f7550d20f</t>
        </is>
      </c>
    </row>
    <row r="930">
      <c r="A930" t="inlineStr">
        <is>
          <t>附表7</t>
        </is>
      </c>
      <c r="B930" t="inlineStr">
        <is>
          <t>F17</t>
        </is>
      </c>
      <c r="C930" t="inlineStr">
        <is>
          <t>'=Q26</t>
        </is>
      </c>
      <c r="D930" t="inlineStr">
        <is>
          <t>c3ff2ef7644b85706fb37319b1422575e99f4dff0bf3179518eb6d75ff7ff7aa</t>
        </is>
      </c>
    </row>
    <row r="931">
      <c r="A931" t="inlineStr">
        <is>
          <t>附表7</t>
        </is>
      </c>
      <c r="B931" t="inlineStr">
        <is>
          <t>G17</t>
        </is>
      </c>
      <c r="C931" t="inlineStr">
        <is>
          <t>'=Q27</t>
        </is>
      </c>
      <c r="D931" t="inlineStr">
        <is>
          <t>68812fbbdd84ba4c47d746f9528b4248a519e14f17023b01cd25afd4bcfea84e</t>
        </is>
      </c>
    </row>
    <row r="932">
      <c r="A932" t="inlineStr">
        <is>
          <t>附表7</t>
        </is>
      </c>
      <c r="B932" t="inlineStr">
        <is>
          <t>H17</t>
        </is>
      </c>
      <c r="C932" t="inlineStr">
        <is>
          <t>'=Q28</t>
        </is>
      </c>
      <c r="D932" t="inlineStr">
        <is>
          <t>11de3efb4541f1301b2363c2ea56676f6254654bd3bada67b65641abb0098527</t>
        </is>
      </c>
    </row>
    <row r="933">
      <c r="A933" t="inlineStr">
        <is>
          <t>附表7</t>
        </is>
      </c>
      <c r="B933" t="inlineStr">
        <is>
          <t>I17</t>
        </is>
      </c>
      <c r="C933" t="inlineStr">
        <is>
          <t>'=Q29</t>
        </is>
      </c>
      <c r="D933" t="inlineStr">
        <is>
          <t>e3624bd9aa268394b1d6eeda66fbcccb1faf61cc3af76cd6cf7ea53b1dd73a95</t>
        </is>
      </c>
    </row>
    <row r="934">
      <c r="A934" t="inlineStr">
        <is>
          <t>附表7</t>
        </is>
      </c>
      <c r="B934" t="inlineStr">
        <is>
          <t>J17</t>
        </is>
      </c>
      <c r="C934" t="inlineStr">
        <is>
          <t>'=Q30</t>
        </is>
      </c>
      <c r="D934" t="inlineStr">
        <is>
          <t>58e973e4264813c332ff19cc15b6582c478ebc4e1104b431dd022238fd77e021</t>
        </is>
      </c>
    </row>
    <row r="935">
      <c r="A935" t="inlineStr">
        <is>
          <t>附表7</t>
        </is>
      </c>
      <c r="B935" t="inlineStr">
        <is>
          <t>K17</t>
        </is>
      </c>
      <c r="C935" t="inlineStr">
        <is>
          <t>'=Q31</t>
        </is>
      </c>
      <c r="D935" t="inlineStr">
        <is>
          <t>1f3acee051ff3c6967a123e25c416e00b11133a7d53eb6ea36d89544aeb2bd73</t>
        </is>
      </c>
    </row>
    <row r="936">
      <c r="A936" t="inlineStr">
        <is>
          <t>附表7</t>
        </is>
      </c>
      <c r="B936" t="inlineStr">
        <is>
          <t>L17</t>
        </is>
      </c>
      <c r="C936" t="inlineStr">
        <is>
          <t>'=Q32</t>
        </is>
      </c>
      <c r="D936" t="inlineStr">
        <is>
          <t>0c86548d8f1be4f1aad633d87aa9964af00ccc77b8a41765993d6fbcda8be206</t>
        </is>
      </c>
    </row>
    <row r="937">
      <c r="A937" t="inlineStr">
        <is>
          <t>附表7</t>
        </is>
      </c>
      <c r="B937" t="inlineStr">
        <is>
          <t>M17</t>
        </is>
      </c>
      <c r="C937" t="inlineStr">
        <is>
          <t>'=Q33</t>
        </is>
      </c>
      <c r="D937" t="inlineStr">
        <is>
          <t>741ed193376f656e390080c3e665d23500c6bba5f473a8e5db64a428f10e9e85</t>
        </is>
      </c>
    </row>
    <row r="938">
      <c r="A938" t="inlineStr">
        <is>
          <t>附表7</t>
        </is>
      </c>
      <c r="B938" t="inlineStr">
        <is>
          <t>N17</t>
        </is>
      </c>
      <c r="C938" t="inlineStr">
        <is>
          <t>'=Q34</t>
        </is>
      </c>
      <c r="D938" t="inlineStr">
        <is>
          <t>d479ad1427eaf49373e69375c4b84a9d3a0559faf32fae8d08b9712945c8580c</t>
        </is>
      </c>
    </row>
    <row r="939">
      <c r="A939" t="inlineStr">
        <is>
          <t>附表7</t>
        </is>
      </c>
      <c r="B939" t="inlineStr">
        <is>
          <t>O17</t>
        </is>
      </c>
      <c r="C939" t="inlineStr">
        <is>
          <t>'=Q35</t>
        </is>
      </c>
      <c r="D939" t="inlineStr">
        <is>
          <t>17d3b31fe4677d65e0206849d0c38f0b74a293e1324d35b76681dd79a9c66081</t>
        </is>
      </c>
    </row>
    <row r="940">
      <c r="A940" t="inlineStr">
        <is>
          <t>附表7</t>
        </is>
      </c>
      <c r="B940" t="inlineStr">
        <is>
          <t>P17</t>
        </is>
      </c>
      <c r="C940" t="inlineStr">
        <is>
          <t>'=Q36</t>
        </is>
      </c>
      <c r="D940" t="inlineStr">
        <is>
          <t>30e1cda7644575e034271dcff80158ffbb23dacdb9b0e03d2632639c7ed21675</t>
        </is>
      </c>
    </row>
    <row r="941">
      <c r="A941" t="inlineStr">
        <is>
          <t>附表7</t>
        </is>
      </c>
      <c r="B941" t="inlineStr">
        <is>
          <t>Q17</t>
        </is>
      </c>
      <c r="C941" t="inlineStr">
        <is>
          <t>'=Q37</t>
        </is>
      </c>
      <c r="D941" t="inlineStr">
        <is>
          <t>7d7fa94590c9745a2c2d59abb98af86f1215926607b913d8263b52cde168abe8</t>
        </is>
      </c>
    </row>
    <row r="942">
      <c r="A942" t="inlineStr">
        <is>
          <t>附表7</t>
        </is>
      </c>
      <c r="B942" t="inlineStr">
        <is>
          <t>R17</t>
        </is>
      </c>
      <c r="C942" t="inlineStr">
        <is>
          <t>'=Q38</t>
        </is>
      </c>
      <c r="D942" t="inlineStr">
        <is>
          <t>35a1f23a74a6c09b9957a6c2a21b7dbeead5c236947eee650d2f08ffe4374133</t>
        </is>
      </c>
    </row>
    <row r="943">
      <c r="A943" t="inlineStr">
        <is>
          <t>附表7</t>
        </is>
      </c>
      <c r="B943" t="inlineStr">
        <is>
          <t>S17</t>
        </is>
      </c>
      <c r="C943" t="inlineStr">
        <is>
          <t>'=Q39</t>
        </is>
      </c>
      <c r="D943" t="inlineStr">
        <is>
          <t>8c2c69cdf64bba2e1443b716914ffb25c878a9eb9af3ff338fcf516102645357</t>
        </is>
      </c>
    </row>
    <row r="944">
      <c r="A944" t="inlineStr">
        <is>
          <t>附表7</t>
        </is>
      </c>
      <c r="B944" t="inlineStr">
        <is>
          <t>T17</t>
        </is>
      </c>
      <c r="C944" t="inlineStr">
        <is>
          <t>'=Q40</t>
        </is>
      </c>
      <c r="D944" t="inlineStr">
        <is>
          <t>21db91abb3a04f2380eb8ca030b861a3ef14c35e18a9728e91b1938854913ae9</t>
        </is>
      </c>
    </row>
    <row r="945">
      <c r="A945" t="inlineStr">
        <is>
          <t>附表7</t>
        </is>
      </c>
      <c r="B945" t="inlineStr">
        <is>
          <t>U17</t>
        </is>
      </c>
      <c r="C945" t="inlineStr">
        <is>
          <t>'=Q41</t>
        </is>
      </c>
      <c r="D945" t="inlineStr">
        <is>
          <t>3dd315ae8e4e025b6596122a0a927de092aa217d1333566e62d5324f6b40de74</t>
        </is>
      </c>
    </row>
    <row r="946">
      <c r="A946" t="inlineStr">
        <is>
          <t>附表7</t>
        </is>
      </c>
      <c r="B946" t="inlineStr">
        <is>
          <t>V17</t>
        </is>
      </c>
      <c r="C946" t="inlineStr">
        <is>
          <t>'=Q42</t>
        </is>
      </c>
      <c r="D946" t="inlineStr">
        <is>
          <t>8a56581146a89058e7744d2367e0a6526594c9406c90d0046bd1475a86d28b0b</t>
        </is>
      </c>
    </row>
    <row r="947">
      <c r="A947" t="inlineStr">
        <is>
          <t>附表7</t>
        </is>
      </c>
      <c r="B947" t="inlineStr">
        <is>
          <t>W17</t>
        </is>
      </c>
      <c r="C947" t="inlineStr">
        <is>
          <t>'=Q43</t>
        </is>
      </c>
      <c r="D947" t="inlineStr">
        <is>
          <t>7c93fdd23bc5c195ede7b3f3768bcacdcd85336d8dffb3df7471184286939d7b</t>
        </is>
      </c>
    </row>
    <row r="948">
      <c r="A948" t="inlineStr">
        <is>
          <t>附表7</t>
        </is>
      </c>
      <c r="B948" t="inlineStr">
        <is>
          <t>X17</t>
        </is>
      </c>
      <c r="C948" t="inlineStr">
        <is>
          <t>'=Q44</t>
        </is>
      </c>
      <c r="D948" t="inlineStr">
        <is>
          <t>dde1b906c8d57fb031c68c3ef7e70a7b401902c01afe2487b9125e341cba87f0</t>
        </is>
      </c>
    </row>
    <row r="949">
      <c r="A949" t="inlineStr">
        <is>
          <t>附表7</t>
        </is>
      </c>
      <c r="B949" t="inlineStr">
        <is>
          <t>Y17</t>
        </is>
      </c>
      <c r="C949" t="inlineStr">
        <is>
          <t>'=Q45</t>
        </is>
      </c>
      <c r="D949" t="inlineStr">
        <is>
          <t>2e71c198dc32ce8146c62007accfbea901d55a6b57acde1b84484aae0c6f2a31</t>
        </is>
      </c>
    </row>
    <row r="950">
      <c r="A950" t="inlineStr">
        <is>
          <t>附表7</t>
        </is>
      </c>
      <c r="B950" t="inlineStr">
        <is>
          <t>Z17</t>
        </is>
      </c>
      <c r="C950" t="inlineStr">
        <is>
          <t>'=Q46</t>
        </is>
      </c>
      <c r="D950" t="inlineStr">
        <is>
          <t>cf17b270249abb861158cf4faaeb0a3e67141cc3a269101fa22c166a01d21228</t>
        </is>
      </c>
    </row>
    <row r="951">
      <c r="A951" t="inlineStr">
        <is>
          <t>附表7</t>
        </is>
      </c>
      <c r="B951" t="inlineStr">
        <is>
          <t>AA17</t>
        </is>
      </c>
      <c r="C951" t="inlineStr">
        <is>
          <t>'=Q47</t>
        </is>
      </c>
      <c r="D951" t="inlineStr">
        <is>
          <t>280286f354aa92a19847398abf6893bf4bbc8486c404d30cb971eece8d210f78</t>
        </is>
      </c>
    </row>
    <row r="952">
      <c r="A952" t="inlineStr">
        <is>
          <t>附表7</t>
        </is>
      </c>
      <c r="B952" t="inlineStr">
        <is>
          <t>C18</t>
        </is>
      </c>
      <c r="C952" t="inlineStr">
        <is>
          <t>'=SUM(D18,E18,F18,G18,H18,I18,J18,K18,L18,M18,N18,O18,P18,Q18,R18,S18,T18,U18,V18,W18,X18,Y18,Z18,AA18)</t>
        </is>
      </c>
      <c r="D952" t="inlineStr">
        <is>
          <t>1bca62ce5cd62bcb25f55b16d0a1aee7558395672e4f55184f7135aff8acc0a8</t>
        </is>
      </c>
    </row>
    <row r="953">
      <c r="A953" t="inlineStr">
        <is>
          <t>附表7</t>
        </is>
      </c>
      <c r="B953" t="inlineStr">
        <is>
          <t>D18</t>
        </is>
      </c>
      <c r="C953" t="inlineStr">
        <is>
          <t>'=R24</t>
        </is>
      </c>
      <c r="D953" t="inlineStr">
        <is>
          <t>00f75f2ba8a53a1e8a654becfe5ae4af584810701813bd70f3418efdf42422bb</t>
        </is>
      </c>
    </row>
    <row r="954">
      <c r="A954" t="inlineStr">
        <is>
          <t>附表7</t>
        </is>
      </c>
      <c r="B954" t="inlineStr">
        <is>
          <t>E18</t>
        </is>
      </c>
      <c r="C954" t="inlineStr">
        <is>
          <t>'=R25</t>
        </is>
      </c>
      <c r="D954" t="inlineStr">
        <is>
          <t>8ae12d8392b42f38232a349407d5428e2b9723ab8faf512773bcd6b2bbaf3fee</t>
        </is>
      </c>
    </row>
    <row r="955">
      <c r="A955" t="inlineStr">
        <is>
          <t>附表7</t>
        </is>
      </c>
      <c r="B955" t="inlineStr">
        <is>
          <t>F18</t>
        </is>
      </c>
      <c r="C955" t="inlineStr">
        <is>
          <t>'=R26</t>
        </is>
      </c>
      <c r="D955" t="inlineStr">
        <is>
          <t>d0cfe6f7de64ef048822720e609bac5b0784bbfbe990b7dc308673046c609988</t>
        </is>
      </c>
    </row>
    <row r="956">
      <c r="A956" t="inlineStr">
        <is>
          <t>附表7</t>
        </is>
      </c>
      <c r="B956" t="inlineStr">
        <is>
          <t>G18</t>
        </is>
      </c>
      <c r="C956" t="inlineStr">
        <is>
          <t>'=R27</t>
        </is>
      </c>
      <c r="D956" t="inlineStr">
        <is>
          <t>d6d719f272f1eb3eac95770a01e7e7863c5793e53473d28088db4223e5151d8e</t>
        </is>
      </c>
    </row>
    <row r="957">
      <c r="A957" t="inlineStr">
        <is>
          <t>附表7</t>
        </is>
      </c>
      <c r="B957" t="inlineStr">
        <is>
          <t>H18</t>
        </is>
      </c>
      <c r="C957" t="inlineStr">
        <is>
          <t>'=R28</t>
        </is>
      </c>
      <c r="D957" t="inlineStr">
        <is>
          <t>0566068a12b6ee51664017355096e28da2dd8d5e83ab9a9d9d53206dc21f610e</t>
        </is>
      </c>
    </row>
    <row r="958">
      <c r="A958" t="inlineStr">
        <is>
          <t>附表7</t>
        </is>
      </c>
      <c r="B958" t="inlineStr">
        <is>
          <t>I18</t>
        </is>
      </c>
      <c r="C958" t="inlineStr">
        <is>
          <t>'=R29</t>
        </is>
      </c>
      <c r="D958" t="inlineStr">
        <is>
          <t>26f289b98b529c0a52a1b90de498bf41f726d7400d9e16b541bed395a31001ba</t>
        </is>
      </c>
    </row>
    <row r="959">
      <c r="A959" t="inlineStr">
        <is>
          <t>附表7</t>
        </is>
      </c>
      <c r="B959" t="inlineStr">
        <is>
          <t>J18</t>
        </is>
      </c>
      <c r="C959" t="inlineStr">
        <is>
          <t>'=R30</t>
        </is>
      </c>
      <c r="D959" t="inlineStr">
        <is>
          <t>443309d882dd6eeabc0ec18f3e22294ba3dc45029b80ca6f2303f9b3ea4679d5</t>
        </is>
      </c>
    </row>
    <row r="960">
      <c r="A960" t="inlineStr">
        <is>
          <t>附表7</t>
        </is>
      </c>
      <c r="B960" t="inlineStr">
        <is>
          <t>K18</t>
        </is>
      </c>
      <c r="C960" t="inlineStr">
        <is>
          <t>'=R31</t>
        </is>
      </c>
      <c r="D960" t="inlineStr">
        <is>
          <t>134ac72aea0f14c37bae6e851dfb2c588cd068276898f1bec4d19428ead1d103</t>
        </is>
      </c>
    </row>
    <row r="961">
      <c r="A961" t="inlineStr">
        <is>
          <t>附表7</t>
        </is>
      </c>
      <c r="B961" t="inlineStr">
        <is>
          <t>L18</t>
        </is>
      </c>
      <c r="C961" t="inlineStr">
        <is>
          <t>'=R32</t>
        </is>
      </c>
      <c r="D961" t="inlineStr">
        <is>
          <t>f52a7e4a7fc6e2c5ee904d4ea3786ce4fa895b8e8de28aeb6507b2db98d8f438</t>
        </is>
      </c>
    </row>
    <row r="962">
      <c r="A962" t="inlineStr">
        <is>
          <t>附表7</t>
        </is>
      </c>
      <c r="B962" t="inlineStr">
        <is>
          <t>M18</t>
        </is>
      </c>
      <c r="C962" t="inlineStr">
        <is>
          <t>'=R33</t>
        </is>
      </c>
      <c r="D962" t="inlineStr">
        <is>
          <t>cf37204da487bcc611413f992b651f78a90be024defb07f6b9a21c64cf407f6f</t>
        </is>
      </c>
    </row>
    <row r="963">
      <c r="A963" t="inlineStr">
        <is>
          <t>附表7</t>
        </is>
      </c>
      <c r="B963" t="inlineStr">
        <is>
          <t>N18</t>
        </is>
      </c>
      <c r="C963" t="inlineStr">
        <is>
          <t>'=R34</t>
        </is>
      </c>
      <c r="D963" t="inlineStr">
        <is>
          <t>4c571d6b51810a237de53da9d113c9baef99b6c0515ae4cbca0d0ce5877a5957</t>
        </is>
      </c>
    </row>
    <row r="964">
      <c r="A964" t="inlineStr">
        <is>
          <t>附表7</t>
        </is>
      </c>
      <c r="B964" t="inlineStr">
        <is>
          <t>O18</t>
        </is>
      </c>
      <c r="C964" t="inlineStr">
        <is>
          <t>'=R35</t>
        </is>
      </c>
      <c r="D964" t="inlineStr">
        <is>
          <t>ef2cdbff607eaf8f1708b245b37324cb5df505f3e771743b1b26b64b597a1324</t>
        </is>
      </c>
    </row>
    <row r="965">
      <c r="A965" t="inlineStr">
        <is>
          <t>附表7</t>
        </is>
      </c>
      <c r="B965" t="inlineStr">
        <is>
          <t>P18</t>
        </is>
      </c>
      <c r="C965" t="inlineStr">
        <is>
          <t>'=R36</t>
        </is>
      </c>
      <c r="D965" t="inlineStr">
        <is>
          <t>1485408c23be70a1ebdaedb487ac91377c835e5b9616bd30f17e3f9ac86da0cd</t>
        </is>
      </c>
    </row>
    <row r="966">
      <c r="A966" t="inlineStr">
        <is>
          <t>附表7</t>
        </is>
      </c>
      <c r="B966" t="inlineStr">
        <is>
          <t>Q18</t>
        </is>
      </c>
      <c r="C966" t="inlineStr">
        <is>
          <t>'=R37</t>
        </is>
      </c>
      <c r="D966" t="inlineStr">
        <is>
          <t>03e3d7f04d38f550b466d8db4c20a756b6972b5ef189ce1fe58bcd9685822f0b</t>
        </is>
      </c>
    </row>
    <row r="967">
      <c r="A967" t="inlineStr">
        <is>
          <t>附表7</t>
        </is>
      </c>
      <c r="B967" t="inlineStr">
        <is>
          <t>R18</t>
        </is>
      </c>
      <c r="C967" t="inlineStr">
        <is>
          <t>'=R38</t>
        </is>
      </c>
      <c r="D967" t="inlineStr">
        <is>
          <t>8426122da89e845716a5c9011d1b4f4a7b29281fb0a07229f515cf1756574629</t>
        </is>
      </c>
    </row>
    <row r="968">
      <c r="A968" t="inlineStr">
        <is>
          <t>附表7</t>
        </is>
      </c>
      <c r="B968" t="inlineStr">
        <is>
          <t>S18</t>
        </is>
      </c>
      <c r="C968" t="inlineStr">
        <is>
          <t>'=R39</t>
        </is>
      </c>
      <c r="D968" t="inlineStr">
        <is>
          <t>9f21ac88885f14adf7a9850b066a8b8855c12571ab999240625eede17607634b</t>
        </is>
      </c>
    </row>
    <row r="969">
      <c r="A969" t="inlineStr">
        <is>
          <t>附表7</t>
        </is>
      </c>
      <c r="B969" t="inlineStr">
        <is>
          <t>T18</t>
        </is>
      </c>
      <c r="C969" t="inlineStr">
        <is>
          <t>'=R40</t>
        </is>
      </c>
      <c r="D969" t="inlineStr">
        <is>
          <t>d3148e0a694d9e1091b0c98574bd07bbcbeb29529e993758118536de72507cbf</t>
        </is>
      </c>
    </row>
    <row r="970">
      <c r="A970" t="inlineStr">
        <is>
          <t>附表7</t>
        </is>
      </c>
      <c r="B970" t="inlineStr">
        <is>
          <t>U18</t>
        </is>
      </c>
      <c r="C970" t="inlineStr">
        <is>
          <t>'=R41</t>
        </is>
      </c>
      <c r="D970" t="inlineStr">
        <is>
          <t>4708c86ae4942835c0ac0cf60bfa85517355f2923dc77028fe48449884ffade8</t>
        </is>
      </c>
    </row>
    <row r="971">
      <c r="A971" t="inlineStr">
        <is>
          <t>附表7</t>
        </is>
      </c>
      <c r="B971" t="inlineStr">
        <is>
          <t>V18</t>
        </is>
      </c>
      <c r="C971" t="inlineStr">
        <is>
          <t>'=R42</t>
        </is>
      </c>
      <c r="D971" t="inlineStr">
        <is>
          <t>c75c829b3f8b1c8686b1c17031181d7344c8a79df65cd41f98e2406a3ddbe921</t>
        </is>
      </c>
    </row>
    <row r="972">
      <c r="A972" t="inlineStr">
        <is>
          <t>附表7</t>
        </is>
      </c>
      <c r="B972" t="inlineStr">
        <is>
          <t>W18</t>
        </is>
      </c>
      <c r="C972" t="inlineStr">
        <is>
          <t>'=R43</t>
        </is>
      </c>
      <c r="D972" t="inlineStr">
        <is>
          <t>4627a11972a902d48d41e83bcc4cb85599b5b8abfe73ebe2b94f6d64927d4ca9</t>
        </is>
      </c>
    </row>
    <row r="973">
      <c r="A973" t="inlineStr">
        <is>
          <t>附表7</t>
        </is>
      </c>
      <c r="B973" t="inlineStr">
        <is>
          <t>X18</t>
        </is>
      </c>
      <c r="C973" t="inlineStr">
        <is>
          <t>'=R44</t>
        </is>
      </c>
      <c r="D973" t="inlineStr">
        <is>
          <t>8ea32156dd57ce62734dd6baa9390c4ec0b821b8aeadb42122d8fc57457a22e8</t>
        </is>
      </c>
    </row>
    <row r="974">
      <c r="A974" t="inlineStr">
        <is>
          <t>附表7</t>
        </is>
      </c>
      <c r="B974" t="inlineStr">
        <is>
          <t>Y18</t>
        </is>
      </c>
      <c r="C974" t="inlineStr">
        <is>
          <t>'=R45</t>
        </is>
      </c>
      <c r="D974" t="inlineStr">
        <is>
          <t>1ead8c37837174e3e7e66906f38d743ef6743fe8ba6dc8bfc21e1f366dbe7277</t>
        </is>
      </c>
    </row>
    <row r="975">
      <c r="A975" t="inlineStr">
        <is>
          <t>附表7</t>
        </is>
      </c>
      <c r="B975" t="inlineStr">
        <is>
          <t>Z18</t>
        </is>
      </c>
      <c r="C975" t="inlineStr">
        <is>
          <t>'=R46</t>
        </is>
      </c>
      <c r="D975" t="inlineStr">
        <is>
          <t>a40bf7bfb5bcd5d74931a062402a448558c99f186652542a9b0a10afb4924aef</t>
        </is>
      </c>
    </row>
    <row r="976">
      <c r="A976" t="inlineStr">
        <is>
          <t>附表7</t>
        </is>
      </c>
      <c r="B976" t="inlineStr">
        <is>
          <t>AA18</t>
        </is>
      </c>
      <c r="C976" t="inlineStr">
        <is>
          <t>'=R47</t>
        </is>
      </c>
      <c r="D976" t="inlineStr">
        <is>
          <t>990082ddebee06515b3a7259c9b09b2c2284547576bcbf33067d0f31b847b8d3</t>
        </is>
      </c>
    </row>
    <row r="977">
      <c r="A977" t="inlineStr">
        <is>
          <t>附表7</t>
        </is>
      </c>
      <c r="B977" t="inlineStr">
        <is>
          <t>C19</t>
        </is>
      </c>
      <c r="C977" t="inlineStr">
        <is>
          <t>'=SUM(D19,E19,F19,G19,H19,I19,J19,K19,L19,M19,N19,O19,P19,Q19,R19,S19,T19,U19,V19,W19,X19,Y19,Z19,AA19)</t>
        </is>
      </c>
      <c r="D977" t="inlineStr">
        <is>
          <t>d1719b4e7fde919dfa5ce5c856caffa111ab61add10d2d60bf37b1dd559ec896</t>
        </is>
      </c>
    </row>
    <row r="978">
      <c r="A978" t="inlineStr">
        <is>
          <t>附表7</t>
        </is>
      </c>
      <c r="B978" t="inlineStr">
        <is>
          <t>D19</t>
        </is>
      </c>
      <c r="C978" t="inlineStr">
        <is>
          <t>'=F24</t>
        </is>
      </c>
      <c r="D978" t="inlineStr">
        <is>
          <t>9ed367a5e3825d0f50d44fde06665a27a1a5b1d481a22b68505857131cb7ec82</t>
        </is>
      </c>
    </row>
    <row r="979">
      <c r="A979" t="inlineStr">
        <is>
          <t>附表7</t>
        </is>
      </c>
      <c r="B979" t="inlineStr">
        <is>
          <t>E19</t>
        </is>
      </c>
      <c r="C979" t="inlineStr">
        <is>
          <t>'=F25</t>
        </is>
      </c>
      <c r="D979" t="inlineStr">
        <is>
          <t>47314388abee27a224eb6b91587e32b9cbbcdf0f974af9705530b790432232c3</t>
        </is>
      </c>
    </row>
    <row r="980">
      <c r="A980" t="inlineStr">
        <is>
          <t>附表7</t>
        </is>
      </c>
      <c r="B980" t="inlineStr">
        <is>
          <t>F19</t>
        </is>
      </c>
      <c r="C980" t="inlineStr">
        <is>
          <t>'=F26</t>
        </is>
      </c>
      <c r="D980" t="inlineStr">
        <is>
          <t>8e8873507784a884e464929f855f269ae86026be510b312d169ad528e85712ab</t>
        </is>
      </c>
    </row>
    <row r="981">
      <c r="A981" t="inlineStr">
        <is>
          <t>附表7</t>
        </is>
      </c>
      <c r="B981" t="inlineStr">
        <is>
          <t>G19</t>
        </is>
      </c>
      <c r="C981" t="inlineStr">
        <is>
          <t>'=F27</t>
        </is>
      </c>
      <c r="D981" t="inlineStr">
        <is>
          <t>5954ec758fe3318bf4d7f1f341de39825d6bc4eaa209e3196524590f535316c2</t>
        </is>
      </c>
    </row>
    <row r="982">
      <c r="A982" t="inlineStr">
        <is>
          <t>附表7</t>
        </is>
      </c>
      <c r="B982" t="inlineStr">
        <is>
          <t>H19</t>
        </is>
      </c>
      <c r="C982" t="inlineStr">
        <is>
          <t>'=F28</t>
        </is>
      </c>
      <c r="D982" t="inlineStr">
        <is>
          <t>13f4ea59e7fc664f85ea46b2816893f73e36306223e4bdc135741ec0d1fe42b4</t>
        </is>
      </c>
    </row>
    <row r="983">
      <c r="A983" t="inlineStr">
        <is>
          <t>附表7</t>
        </is>
      </c>
      <c r="B983" t="inlineStr">
        <is>
          <t>I19</t>
        </is>
      </c>
      <c r="C983" t="inlineStr">
        <is>
          <t>'=F29</t>
        </is>
      </c>
      <c r="D983" t="inlineStr">
        <is>
          <t>890e43661b159feafd46522f2327e365b2920f02cc7fbd207e2e3baa215b9f6d</t>
        </is>
      </c>
    </row>
    <row r="984">
      <c r="A984" t="inlineStr">
        <is>
          <t>附表7</t>
        </is>
      </c>
      <c r="B984" t="inlineStr">
        <is>
          <t>J19</t>
        </is>
      </c>
      <c r="C984" t="inlineStr">
        <is>
          <t>'=F30</t>
        </is>
      </c>
      <c r="D984" t="inlineStr">
        <is>
          <t>36a95251f26c1b8da73153b6feb4d5c2fcf0060d1918ed64dc475c458e02475a</t>
        </is>
      </c>
    </row>
    <row r="985">
      <c r="A985" t="inlineStr">
        <is>
          <t>附表7</t>
        </is>
      </c>
      <c r="B985" t="inlineStr">
        <is>
          <t>K19</t>
        </is>
      </c>
      <c r="C985" t="inlineStr">
        <is>
          <t>'=F31</t>
        </is>
      </c>
      <c r="D985" t="inlineStr">
        <is>
          <t>20c870fd001d5c247be7b3fc4a289f983c2c2f12246199d92dcc1102b343ca6b</t>
        </is>
      </c>
    </row>
    <row r="986">
      <c r="A986" t="inlineStr">
        <is>
          <t>附表7</t>
        </is>
      </c>
      <c r="B986" t="inlineStr">
        <is>
          <t>L19</t>
        </is>
      </c>
      <c r="C986" t="inlineStr">
        <is>
          <t>'=F32</t>
        </is>
      </c>
      <c r="D986" t="inlineStr">
        <is>
          <t>c5ae83bf4079b265fbe8e53096c13e8d016f1c3cff2d7006581c001eb2606b11</t>
        </is>
      </c>
    </row>
    <row r="987">
      <c r="A987" t="inlineStr">
        <is>
          <t>附表7</t>
        </is>
      </c>
      <c r="B987" t="inlineStr">
        <is>
          <t>M19</t>
        </is>
      </c>
      <c r="C987" t="inlineStr">
        <is>
          <t>'=F33</t>
        </is>
      </c>
      <c r="D987" t="inlineStr">
        <is>
          <t>72589d5a055938823a5f2078e039aff33eb904440acbb0faeafe94847d6a4b96</t>
        </is>
      </c>
    </row>
    <row r="988">
      <c r="A988" t="inlineStr">
        <is>
          <t>附表7</t>
        </is>
      </c>
      <c r="B988" t="inlineStr">
        <is>
          <t>N19</t>
        </is>
      </c>
      <c r="C988" t="inlineStr">
        <is>
          <t>'=F34</t>
        </is>
      </c>
      <c r="D988" t="inlineStr">
        <is>
          <t>e3c7865be4287277c5f6870291e7b2c5c43544c67056f211dbafbba1dacc87e0</t>
        </is>
      </c>
    </row>
    <row r="989">
      <c r="A989" t="inlineStr">
        <is>
          <t>附表7</t>
        </is>
      </c>
      <c r="B989" t="inlineStr">
        <is>
          <t>O19</t>
        </is>
      </c>
      <c r="C989" t="inlineStr">
        <is>
          <t>'=F35</t>
        </is>
      </c>
      <c r="D989" t="inlineStr">
        <is>
          <t>a3c5399eb56df218770a83790a52696db93845721fa43ca553ce45bf51e93f4e</t>
        </is>
      </c>
    </row>
    <row r="990">
      <c r="A990" t="inlineStr">
        <is>
          <t>附表7</t>
        </is>
      </c>
      <c r="B990" t="inlineStr">
        <is>
          <t>P19</t>
        </is>
      </c>
      <c r="C990" t="inlineStr">
        <is>
          <t>'=F36</t>
        </is>
      </c>
      <c r="D990" t="inlineStr">
        <is>
          <t>81f7c878de8b0183e578fd1938bf26fd7bdfdc595bd979ce4326cfa1bbe9c46b</t>
        </is>
      </c>
    </row>
    <row r="991">
      <c r="A991" t="inlineStr">
        <is>
          <t>附表7</t>
        </is>
      </c>
      <c r="B991" t="inlineStr">
        <is>
          <t>Q19</t>
        </is>
      </c>
      <c r="C991" t="inlineStr">
        <is>
          <t>'=F37</t>
        </is>
      </c>
      <c r="D991" t="inlineStr">
        <is>
          <t>d5b9cceb096710596835f0ce8f26a4b71d69869b1ff997a5749fdd39ea712e82</t>
        </is>
      </c>
    </row>
    <row r="992">
      <c r="A992" t="inlineStr">
        <is>
          <t>附表7</t>
        </is>
      </c>
      <c r="B992" t="inlineStr">
        <is>
          <t>R19</t>
        </is>
      </c>
      <c r="C992" t="inlineStr">
        <is>
          <t>'=F38</t>
        </is>
      </c>
      <c r="D992" t="inlineStr">
        <is>
          <t>61ccbb4367dfe2753e4c74c260a0782c0ee06d8b8b15ccce22921359181715c1</t>
        </is>
      </c>
    </row>
    <row r="993">
      <c r="A993" t="inlineStr">
        <is>
          <t>附表7</t>
        </is>
      </c>
      <c r="B993" t="inlineStr">
        <is>
          <t>S19</t>
        </is>
      </c>
      <c r="C993" t="inlineStr">
        <is>
          <t>'=F39</t>
        </is>
      </c>
      <c r="D993" t="inlineStr">
        <is>
          <t>f87b032df2ba01ff6cef9c2e0ce235b934b6329cc1c727ec535b2c5ef486ca5b</t>
        </is>
      </c>
    </row>
    <row r="994">
      <c r="A994" t="inlineStr">
        <is>
          <t>附表7</t>
        </is>
      </c>
      <c r="B994" t="inlineStr">
        <is>
          <t>T19</t>
        </is>
      </c>
      <c r="C994" t="inlineStr">
        <is>
          <t>'=F40</t>
        </is>
      </c>
      <c r="D994" t="inlineStr">
        <is>
          <t>bb257547ac1de27fd36a914e35c364a505db82a16b41a47be7512693776a9dda</t>
        </is>
      </c>
    </row>
    <row r="995">
      <c r="A995" t="inlineStr">
        <is>
          <t>附表7</t>
        </is>
      </c>
      <c r="B995" t="inlineStr">
        <is>
          <t>U19</t>
        </is>
      </c>
      <c r="C995" t="inlineStr">
        <is>
          <t>'=F41</t>
        </is>
      </c>
      <c r="D995" t="inlineStr">
        <is>
          <t>4d660307540f701de87d8b57fb63fe374082bb12e51ce6746ae8780ba6f97e61</t>
        </is>
      </c>
    </row>
    <row r="996">
      <c r="A996" t="inlineStr">
        <is>
          <t>附表7</t>
        </is>
      </c>
      <c r="B996" t="inlineStr">
        <is>
          <t>V19</t>
        </is>
      </c>
      <c r="C996" t="inlineStr">
        <is>
          <t>'=F42</t>
        </is>
      </c>
      <c r="D996" t="inlineStr">
        <is>
          <t>51bcfe715e71a9503b9dc1e8c3324bba547c3ee9795ee36f08b9cec084d868b5</t>
        </is>
      </c>
    </row>
    <row r="997">
      <c r="A997" t="inlineStr">
        <is>
          <t>附表7</t>
        </is>
      </c>
      <c r="B997" t="inlineStr">
        <is>
          <t>W19</t>
        </is>
      </c>
      <c r="C997" t="inlineStr">
        <is>
          <t>'=F43</t>
        </is>
      </c>
      <c r="D997" t="inlineStr">
        <is>
          <t>5ed43acff7d7273cae47d75bb6fda8edf658c209d8c5e3d90f4b377158167227</t>
        </is>
      </c>
    </row>
    <row r="998">
      <c r="A998" t="inlineStr">
        <is>
          <t>附表7</t>
        </is>
      </c>
      <c r="B998" t="inlineStr">
        <is>
          <t>X19</t>
        </is>
      </c>
      <c r="C998" t="inlineStr">
        <is>
          <t>'=F44</t>
        </is>
      </c>
      <c r="D998" t="inlineStr">
        <is>
          <t>f37a1fdd612a2a52de72d96c6f42c874cdce8689c44c742b165e94e19f0498eb</t>
        </is>
      </c>
    </row>
    <row r="999">
      <c r="A999" t="inlineStr">
        <is>
          <t>附表7</t>
        </is>
      </c>
      <c r="B999" t="inlineStr">
        <is>
          <t>Y19</t>
        </is>
      </c>
      <c r="C999" t="inlineStr">
        <is>
          <t>'=F45</t>
        </is>
      </c>
      <c r="D999" t="inlineStr">
        <is>
          <t>06def0091c351652fa09e1b637f42d219320d211c5dfd59fda18534229d2cffe</t>
        </is>
      </c>
    </row>
    <row r="1000">
      <c r="A1000" t="inlineStr">
        <is>
          <t>附表7</t>
        </is>
      </c>
      <c r="B1000" t="inlineStr">
        <is>
          <t>Z19</t>
        </is>
      </c>
      <c r="C1000" t="inlineStr">
        <is>
          <t>'=F46</t>
        </is>
      </c>
      <c r="D1000" t="inlineStr">
        <is>
          <t>f46c6fb9289c6fb6e134cefe4ab02b4804529f6d8b98a91263373a07daa212ee</t>
        </is>
      </c>
    </row>
    <row r="1001">
      <c r="A1001" t="inlineStr">
        <is>
          <t>附表7</t>
        </is>
      </c>
      <c r="B1001" t="inlineStr">
        <is>
          <t>AA19</t>
        </is>
      </c>
      <c r="C1001" t="inlineStr">
        <is>
          <t>'=F47</t>
        </is>
      </c>
      <c r="D1001" t="inlineStr">
        <is>
          <t>48d4405c28ea6850ef1aee2335d16cc54817b94360f60975219fab32bb976ac3</t>
        </is>
      </c>
    </row>
    <row r="1002">
      <c r="A1002" t="inlineStr">
        <is>
          <t>附表7</t>
        </is>
      </c>
      <c r="B1002" t="inlineStr">
        <is>
          <t>C20</t>
        </is>
      </c>
      <c r="C1002" t="inlineStr">
        <is>
          <t>'=SUM(D20,E20,F20,G20,H20,I20,J20,K20,L20,M20,N20,O20,P20,Q20,R20,S20,T20,U20,V20,W20,X20,Y20,Z20,AA20)</t>
        </is>
      </c>
      <c r="D1002" t="inlineStr">
        <is>
          <t>e2cadcc53ca4a40aae65d3d8320b5002b4891e2975387daf3959fa78319d3c74</t>
        </is>
      </c>
    </row>
    <row r="1003">
      <c r="A1003" t="inlineStr">
        <is>
          <t>附表7</t>
        </is>
      </c>
      <c r="B1003" t="inlineStr">
        <is>
          <t>D20</t>
        </is>
      </c>
      <c r="C1003" t="inlineStr">
        <is>
          <t>'=G24</t>
        </is>
      </c>
      <c r="D1003" t="inlineStr">
        <is>
          <t>e873a113f3cb6a4181ed56f6cbdbfe6533c7b52fff3d19a58074b39247c01639</t>
        </is>
      </c>
    </row>
    <row r="1004">
      <c r="A1004" t="inlineStr">
        <is>
          <t>附表7</t>
        </is>
      </c>
      <c r="B1004" t="inlineStr">
        <is>
          <t>E20</t>
        </is>
      </c>
      <c r="C1004" t="inlineStr">
        <is>
          <t>'=G25</t>
        </is>
      </c>
      <c r="D1004" t="inlineStr">
        <is>
          <t>5c9ed5f0c2507d58baf81c8840b53532d1b826c768b1c9aa97384529d2db27dc</t>
        </is>
      </c>
    </row>
    <row r="1005">
      <c r="A1005" t="inlineStr">
        <is>
          <t>附表7</t>
        </is>
      </c>
      <c r="B1005" t="inlineStr">
        <is>
          <t>F20</t>
        </is>
      </c>
      <c r="C1005" t="inlineStr">
        <is>
          <t>'=G26</t>
        </is>
      </c>
      <c r="D1005" t="inlineStr">
        <is>
          <t>9c211c3151fb83928955207b23369248324f0fd54a94dc3b1addd365a30dff80</t>
        </is>
      </c>
    </row>
    <row r="1006">
      <c r="A1006" t="inlineStr">
        <is>
          <t>附表7</t>
        </is>
      </c>
      <c r="B1006" t="inlineStr">
        <is>
          <t>G20</t>
        </is>
      </c>
      <c r="C1006" t="inlineStr">
        <is>
          <t>'=G27</t>
        </is>
      </c>
      <c r="D1006" t="inlineStr">
        <is>
          <t>5231049cf6d05b433e90e145d16b63ea2e8b8ec44523ef42937ce141ca81fd4a</t>
        </is>
      </c>
    </row>
    <row r="1007">
      <c r="A1007" t="inlineStr">
        <is>
          <t>附表7</t>
        </is>
      </c>
      <c r="B1007" t="inlineStr">
        <is>
          <t>H20</t>
        </is>
      </c>
      <c r="C1007" t="inlineStr">
        <is>
          <t>'=G28</t>
        </is>
      </c>
      <c r="D1007" t="inlineStr">
        <is>
          <t>060cbac1a6ae6513ca39922e0f0d35a66d23b72e374dc927057e23581919bca3</t>
        </is>
      </c>
    </row>
    <row r="1008">
      <c r="A1008" t="inlineStr">
        <is>
          <t>附表7</t>
        </is>
      </c>
      <c r="B1008" t="inlineStr">
        <is>
          <t>I20</t>
        </is>
      </c>
      <c r="C1008" t="inlineStr">
        <is>
          <t>'=G29</t>
        </is>
      </c>
      <c r="D1008" t="inlineStr">
        <is>
          <t>63f7466f532662973439dccf918138dc8040475193223e112c1cc51fc21bf570</t>
        </is>
      </c>
    </row>
    <row r="1009">
      <c r="A1009" t="inlineStr">
        <is>
          <t>附表7</t>
        </is>
      </c>
      <c r="B1009" t="inlineStr">
        <is>
          <t>J20</t>
        </is>
      </c>
      <c r="C1009" t="inlineStr">
        <is>
          <t>'=G30</t>
        </is>
      </c>
      <c r="D1009" t="inlineStr">
        <is>
          <t>41fd488e5d3dd6fcbf4e5e5c633bfb51c90bb8a8439da9587acdd0f1ea211487</t>
        </is>
      </c>
    </row>
    <row r="1010">
      <c r="A1010" t="inlineStr">
        <is>
          <t>附表7</t>
        </is>
      </c>
      <c r="B1010" t="inlineStr">
        <is>
          <t>K20</t>
        </is>
      </c>
      <c r="C1010" t="inlineStr">
        <is>
          <t>'=G31</t>
        </is>
      </c>
      <c r="D1010" t="inlineStr">
        <is>
          <t>eba155dad46081db9df400980508ff7210792d789827731d896df45abf543a45</t>
        </is>
      </c>
    </row>
    <row r="1011">
      <c r="A1011" t="inlineStr">
        <is>
          <t>附表7</t>
        </is>
      </c>
      <c r="B1011" t="inlineStr">
        <is>
          <t>L20</t>
        </is>
      </c>
      <c r="C1011" t="inlineStr">
        <is>
          <t>'=G32</t>
        </is>
      </c>
      <c r="D1011" t="inlineStr">
        <is>
          <t>3e5861b287d5d10dfae0918c5b745b4c0be1390b467524ad5e06457ad9728224</t>
        </is>
      </c>
    </row>
    <row r="1012">
      <c r="A1012" t="inlineStr">
        <is>
          <t>附表7</t>
        </is>
      </c>
      <c r="B1012" t="inlineStr">
        <is>
          <t>M20</t>
        </is>
      </c>
      <c r="C1012" t="inlineStr">
        <is>
          <t>'=G33</t>
        </is>
      </c>
      <c r="D1012" t="inlineStr">
        <is>
          <t>2424047923137c08b617a6624a3c5be2682085e9f7d0c6003e0555e69d25cce8</t>
        </is>
      </c>
    </row>
    <row r="1013">
      <c r="A1013" t="inlineStr">
        <is>
          <t>附表7</t>
        </is>
      </c>
      <c r="B1013" t="inlineStr">
        <is>
          <t>N20</t>
        </is>
      </c>
      <c r="C1013" t="inlineStr">
        <is>
          <t>'=G34</t>
        </is>
      </c>
      <c r="D1013" t="inlineStr">
        <is>
          <t>02ff088281b9d9e1870b58f707ed6c7c80c4702e44545c413c2f0578ab21bb8c</t>
        </is>
      </c>
    </row>
    <row r="1014">
      <c r="A1014" t="inlineStr">
        <is>
          <t>附表7</t>
        </is>
      </c>
      <c r="B1014" t="inlineStr">
        <is>
          <t>O20</t>
        </is>
      </c>
      <c r="C1014" t="inlineStr">
        <is>
          <t>'=G35</t>
        </is>
      </c>
      <c r="D1014" t="inlineStr">
        <is>
          <t>b37668a5de7c12c5dddc59ec1a23d37808355ca83f749818c9d283eb442637f0</t>
        </is>
      </c>
    </row>
    <row r="1015">
      <c r="A1015" t="inlineStr">
        <is>
          <t>附表7</t>
        </is>
      </c>
      <c r="B1015" t="inlineStr">
        <is>
          <t>P20</t>
        </is>
      </c>
      <c r="C1015" t="inlineStr">
        <is>
          <t>'=G36</t>
        </is>
      </c>
      <c r="D1015" t="inlineStr">
        <is>
          <t>3cdcffd14f7f5c5214c7a49334a833fe22c789caa5ebd9aee989e815d808ba0b</t>
        </is>
      </c>
    </row>
    <row r="1016">
      <c r="A1016" t="inlineStr">
        <is>
          <t>附表7</t>
        </is>
      </c>
      <c r="B1016" t="inlineStr">
        <is>
          <t>Q20</t>
        </is>
      </c>
      <c r="C1016" t="inlineStr">
        <is>
          <t>'=G37</t>
        </is>
      </c>
      <c r="D1016" t="inlineStr">
        <is>
          <t>9a72d161b9e361d5e7e7e69d940f0e46950ac5327867a4c9909bf645763ebdf7</t>
        </is>
      </c>
    </row>
    <row r="1017">
      <c r="A1017" t="inlineStr">
        <is>
          <t>附表7</t>
        </is>
      </c>
      <c r="B1017" t="inlineStr">
        <is>
          <t>R20</t>
        </is>
      </c>
      <c r="C1017" t="inlineStr">
        <is>
          <t>'=G38</t>
        </is>
      </c>
      <c r="D1017" t="inlineStr">
        <is>
          <t>a44654774ab89a5fe352e183097de5beae27663426b8b5c90930c16f11615e37</t>
        </is>
      </c>
    </row>
    <row r="1018">
      <c r="A1018" t="inlineStr">
        <is>
          <t>附表7</t>
        </is>
      </c>
      <c r="B1018" t="inlineStr">
        <is>
          <t>S20</t>
        </is>
      </c>
      <c r="C1018" t="inlineStr">
        <is>
          <t>'=G39</t>
        </is>
      </c>
      <c r="D1018" t="inlineStr">
        <is>
          <t>f21ae9cb2bacdce99bda5f85274f725e695070f07235a27291f89c10357a8a43</t>
        </is>
      </c>
    </row>
    <row r="1019">
      <c r="A1019" t="inlineStr">
        <is>
          <t>附表7</t>
        </is>
      </c>
      <c r="B1019" t="inlineStr">
        <is>
          <t>T20</t>
        </is>
      </c>
      <c r="C1019" t="inlineStr">
        <is>
          <t>'=G40</t>
        </is>
      </c>
      <c r="D1019" t="inlineStr">
        <is>
          <t>1eaba9704c774525e79bc582c947244f3fb45732f9d47c949c879f2e978b0775</t>
        </is>
      </c>
    </row>
    <row r="1020">
      <c r="A1020" t="inlineStr">
        <is>
          <t>附表7</t>
        </is>
      </c>
      <c r="B1020" t="inlineStr">
        <is>
          <t>U20</t>
        </is>
      </c>
      <c r="C1020" t="inlineStr">
        <is>
          <t>'=G41</t>
        </is>
      </c>
      <c r="D1020" t="inlineStr">
        <is>
          <t>ae915cdf923df33d40eb639d1e04b548108936d5ed2e715c08587ec7732c045b</t>
        </is>
      </c>
    </row>
    <row r="1021">
      <c r="A1021" t="inlineStr">
        <is>
          <t>附表7</t>
        </is>
      </c>
      <c r="B1021" t="inlineStr">
        <is>
          <t>V20</t>
        </is>
      </c>
      <c r="C1021" t="inlineStr">
        <is>
          <t>'=G42</t>
        </is>
      </c>
      <c r="D1021" t="inlineStr">
        <is>
          <t>4d1910f3231f422307797321341653550b5acfe53306962f5a3567869dfeb223</t>
        </is>
      </c>
    </row>
    <row r="1022">
      <c r="A1022" t="inlineStr">
        <is>
          <t>附表7</t>
        </is>
      </c>
      <c r="B1022" t="inlineStr">
        <is>
          <t>W20</t>
        </is>
      </c>
      <c r="C1022" t="inlineStr">
        <is>
          <t>'=G43</t>
        </is>
      </c>
      <c r="D1022" t="inlineStr">
        <is>
          <t>e358be8172d86e0f968ec5e9a1d00759d9783ecb2d682e7d71916ecb90dc94cd</t>
        </is>
      </c>
    </row>
    <row r="1023">
      <c r="A1023" t="inlineStr">
        <is>
          <t>附表7</t>
        </is>
      </c>
      <c r="B1023" t="inlineStr">
        <is>
          <t>X20</t>
        </is>
      </c>
      <c r="C1023" t="inlineStr">
        <is>
          <t>'=G44</t>
        </is>
      </c>
      <c r="D1023" t="inlineStr">
        <is>
          <t>38c44bcfc3fa296a598d1de52f60d5c1985c27544698752d689427222bf81e09</t>
        </is>
      </c>
    </row>
    <row r="1024">
      <c r="A1024" t="inlineStr">
        <is>
          <t>附表7</t>
        </is>
      </c>
      <c r="B1024" t="inlineStr">
        <is>
          <t>Y20</t>
        </is>
      </c>
      <c r="C1024" t="inlineStr">
        <is>
          <t>'=G45</t>
        </is>
      </c>
      <c r="D1024" t="inlineStr">
        <is>
          <t>40e1bec3c03578c57d823fe2a88119c7ef776c1f93b61505a327241fafc4a364</t>
        </is>
      </c>
    </row>
    <row r="1025">
      <c r="A1025" t="inlineStr">
        <is>
          <t>附表7</t>
        </is>
      </c>
      <c r="B1025" t="inlineStr">
        <is>
          <t>Z20</t>
        </is>
      </c>
      <c r="C1025" t="inlineStr">
        <is>
          <t>'=G46</t>
        </is>
      </c>
      <c r="D1025" t="inlineStr">
        <is>
          <t>d586411a5acde9b8150db7f72b02645cf6033807c66e7434d010cda5d871b21f</t>
        </is>
      </c>
    </row>
    <row r="1026">
      <c r="A1026" t="inlineStr">
        <is>
          <t>附表7</t>
        </is>
      </c>
      <c r="B1026" t="inlineStr">
        <is>
          <t>AA20</t>
        </is>
      </c>
      <c r="C1026" t="inlineStr">
        <is>
          <t>'=G47</t>
        </is>
      </c>
      <c r="D1026" t="inlineStr">
        <is>
          <t>b518aad5fc8f532bf1b6ac499b904ab23a8066f798fea58d533c614d20bfa6c3</t>
        </is>
      </c>
    </row>
    <row r="1027">
      <c r="A1027" t="inlineStr">
        <is>
          <t>附表7</t>
        </is>
      </c>
      <c r="B1027" t="inlineStr">
        <is>
          <t>B24</t>
        </is>
      </c>
      <c r="C1027" t="inlineStr">
        <is>
          <t>'='附表5'!B16</t>
        </is>
      </c>
      <c r="D1027" t="inlineStr">
        <is>
          <t>27031ff0f1ce393bec8a1fe7a2bf8a64004aa548018bf7254816e07a915f37c1</t>
        </is>
      </c>
    </row>
    <row r="1028">
      <c r="A1028" t="inlineStr">
        <is>
          <t>附表7</t>
        </is>
      </c>
      <c r="B1028" t="inlineStr">
        <is>
          <t>C24</t>
        </is>
      </c>
      <c r="C1028" t="inlineStr">
        <is>
          <t>'='附表6'!F16</t>
        </is>
      </c>
      <c r="D1028" t="inlineStr">
        <is>
          <t>cfb00bddd327f043ab30296a56dbbc74ffeac6b394912da506b471be805668c6</t>
        </is>
      </c>
    </row>
    <row r="1029">
      <c r="A1029" t="inlineStr">
        <is>
          <t>附表7</t>
        </is>
      </c>
      <c r="B1029" t="inlineStr">
        <is>
          <t>D24</t>
        </is>
      </c>
      <c r="C1029" t="inlineStr">
        <is>
          <t>'='附表5'!E16</t>
        </is>
      </c>
      <c r="D1029" t="inlineStr">
        <is>
          <t>d551e89ef899c1663debafe6ffd3414a2b9527e853051ad71780487d7ecbd988</t>
        </is>
      </c>
    </row>
    <row r="1030">
      <c r="A1030" t="inlineStr">
        <is>
          <t>附表7</t>
        </is>
      </c>
      <c r="B1030" t="inlineStr">
        <is>
          <t>E24</t>
        </is>
      </c>
      <c r="C1030" t="inlineStr">
        <is>
          <t>'=B24-C24-D24</t>
        </is>
      </c>
      <c r="D1030" t="inlineStr">
        <is>
          <t>ecdd229effcf0ba285174f5dbdc97e07c54db65f88b869b8daedfc9a5dfab3c1</t>
        </is>
      </c>
    </row>
    <row r="1031">
      <c r="A1031" t="inlineStr">
        <is>
          <t>附表7</t>
        </is>
      </c>
      <c r="B1031" t="inlineStr">
        <is>
          <t>F24</t>
        </is>
      </c>
      <c r="C1031" t="inlineStr">
        <is>
          <t>'=E24+'附表6'!E16</t>
        </is>
      </c>
      <c r="D1031" t="inlineStr">
        <is>
          <t>b3c78eaf64acde71a1adcde7498ed21bbeb98c8f74bfcf3ee52282f0c89954d6</t>
        </is>
      </c>
    </row>
    <row r="1032">
      <c r="A1032" t="inlineStr">
        <is>
          <t>附表7</t>
        </is>
      </c>
      <c r="B1032" t="inlineStr">
        <is>
          <t>G24</t>
        </is>
      </c>
      <c r="C1032" t="inlineStr">
        <is>
          <t>'=F24+'附表6'!C16+'附表6'!D16</t>
        </is>
      </c>
      <c r="D1032" t="inlineStr">
        <is>
          <t>3d3dcde5e9ef3f56bda23c8b112e0b7c29d33f3ce5ee62a04bfb6e9a35a9dc06</t>
        </is>
      </c>
    </row>
    <row r="1033">
      <c r="A1033" t="inlineStr">
        <is>
          <t>附表7</t>
        </is>
      </c>
      <c r="B1033" t="inlineStr">
        <is>
          <t>I24</t>
        </is>
      </c>
      <c r="C1033" t="inlineStr">
        <is>
          <t>'=MAX(E24-H24,0)</t>
        </is>
      </c>
      <c r="D1033" t="inlineStr">
        <is>
          <t>8cf552f683530c914574bc26d3e822b346480cf332edce954b0641113d21f4da</t>
        </is>
      </c>
    </row>
    <row r="1034">
      <c r="A1034" t="inlineStr">
        <is>
          <t>附表7</t>
        </is>
      </c>
      <c r="B1034" t="inlineStr">
        <is>
          <t>K24</t>
        </is>
      </c>
      <c r="C1034" t="inlineStr">
        <is>
          <t>'=E24-J24</t>
        </is>
      </c>
      <c r="D1034" t="inlineStr">
        <is>
          <t>6719eda12d1e5c28f00ed2f3d1405723cecb86c33c49f1ef5ffa869906961c71</t>
        </is>
      </c>
    </row>
    <row r="1035">
      <c r="A1035" t="inlineStr">
        <is>
          <t>附表7</t>
        </is>
      </c>
      <c r="B1035" t="inlineStr">
        <is>
          <t>M24</t>
        </is>
      </c>
      <c r="C1035" t="inlineStr">
        <is>
          <t>'=L24+K24</t>
        </is>
      </c>
      <c r="D1035" t="inlineStr">
        <is>
          <t>bde240df883b943f02397dec9adeb8f579fe8c0a6a095802bd7509dc0b6ec34d</t>
        </is>
      </c>
    </row>
    <row r="1036">
      <c r="A1036" t="inlineStr">
        <is>
          <t>附表7</t>
        </is>
      </c>
      <c r="B1036" t="inlineStr">
        <is>
          <t>N24</t>
        </is>
      </c>
      <c r="C1036" t="inlineStr">
        <is>
          <t>'=MAX(K24,0)*10%</t>
        </is>
      </c>
      <c r="D1036" t="inlineStr">
        <is>
          <t>56dd08fb16da584850e64ca40c754ce2fc47afdd316293efa71993177f6c8183</t>
        </is>
      </c>
    </row>
    <row r="1037">
      <c r="A1037" t="inlineStr">
        <is>
          <t>附表7</t>
        </is>
      </c>
      <c r="B1037" t="inlineStr">
        <is>
          <t>O24</t>
        </is>
      </c>
      <c r="C1037" t="inlineStr">
        <is>
          <t>'=M24-N24</t>
        </is>
      </c>
      <c r="D1037" t="inlineStr">
        <is>
          <t>9cc10527bf83103016268a8d1e0604b564c85091d14280e316ffcad2f6156dfc</t>
        </is>
      </c>
    </row>
    <row r="1038">
      <c r="A1038" t="inlineStr">
        <is>
          <t>附表7</t>
        </is>
      </c>
      <c r="B1038" t="inlineStr">
        <is>
          <t>R24</t>
        </is>
      </c>
      <c r="C1038" t="inlineStr">
        <is>
          <t>'=O24-N(P24)-N(Q24)</t>
        </is>
      </c>
      <c r="D1038" t="inlineStr">
        <is>
          <t>adf61819d1a1bc7f8f670970b9cb88c008a73387d95b947055dd2af619f8f622</t>
        </is>
      </c>
    </row>
    <row r="1039">
      <c r="A1039" t="inlineStr">
        <is>
          <t>附表7</t>
        </is>
      </c>
      <c r="B1039" t="inlineStr">
        <is>
          <t>B25</t>
        </is>
      </c>
      <c r="C1039" t="inlineStr">
        <is>
          <t>'='附表5'!B17</t>
        </is>
      </c>
      <c r="D1039" t="inlineStr">
        <is>
          <t>9ab35abe0b04d1263f8a26f1ca5831f4a50983c8600981fccc987ca037d9c607</t>
        </is>
      </c>
    </row>
    <row r="1040">
      <c r="A1040" t="inlineStr">
        <is>
          <t>附表7</t>
        </is>
      </c>
      <c r="B1040" t="inlineStr">
        <is>
          <t>C25</t>
        </is>
      </c>
      <c r="C1040" t="inlineStr">
        <is>
          <t>'='附表6'!F17</t>
        </is>
      </c>
      <c r="D1040" t="inlineStr">
        <is>
          <t>2ba488cec007781da0908995c10c06a86a341dc9dc5e52b597d8be0df67f7f1f</t>
        </is>
      </c>
    </row>
    <row r="1041">
      <c r="A1041" t="inlineStr">
        <is>
          <t>附表7</t>
        </is>
      </c>
      <c r="B1041" t="inlineStr">
        <is>
          <t>D25</t>
        </is>
      </c>
      <c r="C1041" t="inlineStr">
        <is>
          <t>'='附表5'!E17</t>
        </is>
      </c>
      <c r="D1041" t="inlineStr">
        <is>
          <t>0eefee3ca4a692d5bdf02864a59185be8d2b937ba7193ebbee9a7d227b175633</t>
        </is>
      </c>
    </row>
    <row r="1042">
      <c r="A1042" t="inlineStr">
        <is>
          <t>附表7</t>
        </is>
      </c>
      <c r="B1042" t="inlineStr">
        <is>
          <t>E25</t>
        </is>
      </c>
      <c r="C1042" t="inlineStr">
        <is>
          <t>'=B25-C25-D25</t>
        </is>
      </c>
      <c r="D1042" t="inlineStr">
        <is>
          <t>5a9cf0217e22669f171e3d55acec6c5a97e4baf6e4dcd43a15d73d2206ea1381</t>
        </is>
      </c>
    </row>
    <row r="1043">
      <c r="A1043" t="inlineStr">
        <is>
          <t>附表7</t>
        </is>
      </c>
      <c r="B1043" t="inlineStr">
        <is>
          <t>F25</t>
        </is>
      </c>
      <c r="C1043" t="inlineStr">
        <is>
          <t>'=E25+'附表6'!E17</t>
        </is>
      </c>
      <c r="D1043" t="inlineStr">
        <is>
          <t>86c1c75bebbe85137b468b441cf8ea07b206b8848d095fa6e12c60a68aaefacd</t>
        </is>
      </c>
    </row>
    <row r="1044">
      <c r="A1044" t="inlineStr">
        <is>
          <t>附表7</t>
        </is>
      </c>
      <c r="B1044" t="inlineStr">
        <is>
          <t>G25</t>
        </is>
      </c>
      <c r="C1044" t="inlineStr">
        <is>
          <t>'=F25+'附表6'!C17+'附表6'!D17</t>
        </is>
      </c>
      <c r="D1044" t="inlineStr">
        <is>
          <t>4d163d1cfcfff39e0c32d3e6692cea0a99b52c9c7ef73b855ce25db75e758d20</t>
        </is>
      </c>
    </row>
    <row r="1045">
      <c r="A1045" t="inlineStr">
        <is>
          <t>附表7</t>
        </is>
      </c>
      <c r="B1045" t="inlineStr">
        <is>
          <t>I25</t>
        </is>
      </c>
      <c r="C1045" t="inlineStr">
        <is>
          <t>'=MAX(E25-H25,0)</t>
        </is>
      </c>
      <c r="D1045" t="inlineStr">
        <is>
          <t>57119e4331e668cacdc236f50a9e867ee37eebfdd6bd3efded3c4069caaeece8</t>
        </is>
      </c>
    </row>
    <row r="1046">
      <c r="A1046" t="inlineStr">
        <is>
          <t>附表7</t>
        </is>
      </c>
      <c r="B1046" t="inlineStr">
        <is>
          <t>K25</t>
        </is>
      </c>
      <c r="C1046" t="inlineStr">
        <is>
          <t>'=E25-J25</t>
        </is>
      </c>
      <c r="D1046" t="inlineStr">
        <is>
          <t>de357c49256ceb25bc0c3db2689b1228058e697854444b5f17bb4132a458c7c7</t>
        </is>
      </c>
    </row>
    <row r="1047">
      <c r="A1047" t="inlineStr">
        <is>
          <t>附表7</t>
        </is>
      </c>
      <c r="B1047" t="inlineStr">
        <is>
          <t>L25</t>
        </is>
      </c>
      <c r="C1047" t="inlineStr">
        <is>
          <t>'=R24</t>
        </is>
      </c>
      <c r="D1047" t="inlineStr">
        <is>
          <t>00f75f2ba8a53a1e8a654becfe5ae4af584810701813bd70f3418efdf42422bb</t>
        </is>
      </c>
    </row>
    <row r="1048">
      <c r="A1048" t="inlineStr">
        <is>
          <t>附表7</t>
        </is>
      </c>
      <c r="B1048" t="inlineStr">
        <is>
          <t>M25</t>
        </is>
      </c>
      <c r="C1048" t="inlineStr">
        <is>
          <t>'=L25+K25</t>
        </is>
      </c>
      <c r="D1048" t="inlineStr">
        <is>
          <t>2df12e5224f9de239c4c10a41610f4d72ed6b37e14e6ef7693aaffa0f3ae171e</t>
        </is>
      </c>
    </row>
    <row r="1049">
      <c r="A1049" t="inlineStr">
        <is>
          <t>附表7</t>
        </is>
      </c>
      <c r="B1049" t="inlineStr">
        <is>
          <t>N25</t>
        </is>
      </c>
      <c r="C1049" t="inlineStr">
        <is>
          <t>'=MAX(K25,0)*10%</t>
        </is>
      </c>
      <c r="D1049" t="inlineStr">
        <is>
          <t>1b2a166b6c73be8d76503458ca0c9094526a78f44245049d5973bef110c9d852</t>
        </is>
      </c>
    </row>
    <row r="1050">
      <c r="A1050" t="inlineStr">
        <is>
          <t>附表7</t>
        </is>
      </c>
      <c r="B1050" t="inlineStr">
        <is>
          <t>O25</t>
        </is>
      </c>
      <c r="C1050" t="inlineStr">
        <is>
          <t>'=M25-N25</t>
        </is>
      </c>
      <c r="D1050" t="inlineStr">
        <is>
          <t>677cbd31c1aa95722f882bf4dcfc1088266b7a0ea734eaefcfc97ff9323638fa</t>
        </is>
      </c>
    </row>
    <row r="1051">
      <c r="A1051" t="inlineStr">
        <is>
          <t>附表7</t>
        </is>
      </c>
      <c r="B1051" t="inlineStr">
        <is>
          <t>R25</t>
        </is>
      </c>
      <c r="C1051" t="inlineStr">
        <is>
          <t>'=O25-N(P25)-N(Q25)</t>
        </is>
      </c>
      <c r="D1051" t="inlineStr">
        <is>
          <t>343e3eefdda84dba55bf323ecf0973d060a18e30426d5be73568580da53751a5</t>
        </is>
      </c>
    </row>
    <row r="1052">
      <c r="A1052" t="inlineStr">
        <is>
          <t>附表7</t>
        </is>
      </c>
      <c r="B1052" t="inlineStr">
        <is>
          <t>B26</t>
        </is>
      </c>
      <c r="C1052" t="inlineStr">
        <is>
          <t>'='附表5'!B18</t>
        </is>
      </c>
      <c r="D1052" t="inlineStr">
        <is>
          <t>743464ee3566e94cac517d802bfb86a2c2f80f63a0623c081e402c24108ae0a4</t>
        </is>
      </c>
    </row>
    <row r="1053">
      <c r="A1053" t="inlineStr">
        <is>
          <t>附表7</t>
        </is>
      </c>
      <c r="B1053" t="inlineStr">
        <is>
          <t>C26</t>
        </is>
      </c>
      <c r="C1053" t="inlineStr">
        <is>
          <t>'='附表6'!F18</t>
        </is>
      </c>
      <c r="D1053" t="inlineStr">
        <is>
          <t>f046dfba440b0b22da48b7b47d36c9a10158a9a0abf7c36ab2bc94c39d4070a8</t>
        </is>
      </c>
    </row>
    <row r="1054">
      <c r="A1054" t="inlineStr">
        <is>
          <t>附表7</t>
        </is>
      </c>
      <c r="B1054" t="inlineStr">
        <is>
          <t>D26</t>
        </is>
      </c>
      <c r="C1054" t="inlineStr">
        <is>
          <t>'='附表5'!E18</t>
        </is>
      </c>
      <c r="D1054" t="inlineStr">
        <is>
          <t>f055d1dfbbc52e2835d2f102394d21b6c3dfcea30d44c58784b890cbb090c183</t>
        </is>
      </c>
    </row>
    <row r="1055">
      <c r="A1055" t="inlineStr">
        <is>
          <t>附表7</t>
        </is>
      </c>
      <c r="B1055" t="inlineStr">
        <is>
          <t>E26</t>
        </is>
      </c>
      <c r="C1055" t="inlineStr">
        <is>
          <t>'=B26-C26-D26</t>
        </is>
      </c>
      <c r="D1055" t="inlineStr">
        <is>
          <t>035ae02f682435fce33c5c5ac2d7b4b82b323e8b63eb0495948283ddc91ae7bd</t>
        </is>
      </c>
    </row>
    <row r="1056">
      <c r="A1056" t="inlineStr">
        <is>
          <t>附表7</t>
        </is>
      </c>
      <c r="B1056" t="inlineStr">
        <is>
          <t>F26</t>
        </is>
      </c>
      <c r="C1056" t="inlineStr">
        <is>
          <t>'=E26+'附表6'!E18</t>
        </is>
      </c>
      <c r="D1056" t="inlineStr">
        <is>
          <t>301a393e24448a902b581cb3d26a86acc4d5c656a11127538e8529272a24de66</t>
        </is>
      </c>
    </row>
    <row r="1057">
      <c r="A1057" t="inlineStr">
        <is>
          <t>附表7</t>
        </is>
      </c>
      <c r="B1057" t="inlineStr">
        <is>
          <t>G26</t>
        </is>
      </c>
      <c r="C1057" t="inlineStr">
        <is>
          <t>'=F26+'附表6'!C18+'附表6'!D18</t>
        </is>
      </c>
      <c r="D1057" t="inlineStr">
        <is>
          <t>5ba0f0b3faafc549b0da0bd45dca8f8b2b60f5e0aeb8cf67a8c49abfcc30e098</t>
        </is>
      </c>
    </row>
    <row r="1058">
      <c r="A1058" t="inlineStr">
        <is>
          <t>附表7</t>
        </is>
      </c>
      <c r="B1058" t="inlineStr">
        <is>
          <t>I26</t>
        </is>
      </c>
      <c r="C1058" t="inlineStr">
        <is>
          <t>'=MAX(E26-H26,0)</t>
        </is>
      </c>
      <c r="D1058" t="inlineStr">
        <is>
          <t>c238518bf849d8fde5b64b81215100e7612b249ffd1127effba962074436c505</t>
        </is>
      </c>
    </row>
    <row r="1059">
      <c r="A1059" t="inlineStr">
        <is>
          <t>附表7</t>
        </is>
      </c>
      <c r="B1059" t="inlineStr">
        <is>
          <t>K26</t>
        </is>
      </c>
      <c r="C1059" t="inlineStr">
        <is>
          <t>'=E26-J26</t>
        </is>
      </c>
      <c r="D1059" t="inlineStr">
        <is>
          <t>4e7433b2df52904245c5ee27b695ba757acc9ab7c3c5ce697b78903414624956</t>
        </is>
      </c>
    </row>
    <row r="1060">
      <c r="A1060" t="inlineStr">
        <is>
          <t>附表7</t>
        </is>
      </c>
      <c r="B1060" t="inlineStr">
        <is>
          <t>L26</t>
        </is>
      </c>
      <c r="C1060" t="inlineStr">
        <is>
          <t>'=R25</t>
        </is>
      </c>
      <c r="D1060" t="inlineStr">
        <is>
          <t>8ae12d8392b42f38232a349407d5428e2b9723ab8faf512773bcd6b2bbaf3fee</t>
        </is>
      </c>
    </row>
    <row r="1061">
      <c r="A1061" t="inlineStr">
        <is>
          <t>附表7</t>
        </is>
      </c>
      <c r="B1061" t="inlineStr">
        <is>
          <t>M26</t>
        </is>
      </c>
      <c r="C1061" t="inlineStr">
        <is>
          <t>'=L26+K26</t>
        </is>
      </c>
      <c r="D1061" t="inlineStr">
        <is>
          <t>27a3aecb9cb7dba52fe0c295b380340473b09cd6dd6dd46640d16ad5956cf833</t>
        </is>
      </c>
    </row>
    <row r="1062">
      <c r="A1062" t="inlineStr">
        <is>
          <t>附表7</t>
        </is>
      </c>
      <c r="B1062" t="inlineStr">
        <is>
          <t>N26</t>
        </is>
      </c>
      <c r="C1062" t="inlineStr">
        <is>
          <t>'=MAX(K26,0)*10%</t>
        </is>
      </c>
      <c r="D1062" t="inlineStr">
        <is>
          <t>53a9821b5bda064305ef11c7395f18a846bf0a64c3536e5687b118ab4a93d077</t>
        </is>
      </c>
    </row>
    <row r="1063">
      <c r="A1063" t="inlineStr">
        <is>
          <t>附表7</t>
        </is>
      </c>
      <c r="B1063" t="inlineStr">
        <is>
          <t>O26</t>
        </is>
      </c>
      <c r="C1063" t="inlineStr">
        <is>
          <t>'=M26-N26</t>
        </is>
      </c>
      <c r="D1063" t="inlineStr">
        <is>
          <t>0f0217ccdeac6395f2a89927c42324c576ee1aa2fb621aa25537dbd1dcaf1422</t>
        </is>
      </c>
    </row>
    <row r="1064">
      <c r="A1064" t="inlineStr">
        <is>
          <t>附表7</t>
        </is>
      </c>
      <c r="B1064" t="inlineStr">
        <is>
          <t>R26</t>
        </is>
      </c>
      <c r="C1064" t="inlineStr">
        <is>
          <t>'=O26-N(P26)-N(Q26)</t>
        </is>
      </c>
      <c r="D1064" t="inlineStr">
        <is>
          <t>c21bd6bb60ae062c1bbc4f396c10b147f589c8063c1e88061e22e26fa19c1d6d</t>
        </is>
      </c>
    </row>
    <row r="1065">
      <c r="A1065" t="inlineStr">
        <is>
          <t>附表7</t>
        </is>
      </c>
      <c r="B1065" t="inlineStr">
        <is>
          <t>B27</t>
        </is>
      </c>
      <c r="C1065" t="inlineStr">
        <is>
          <t>'='附表5'!B19</t>
        </is>
      </c>
      <c r="D1065" t="inlineStr">
        <is>
          <t>bb977eaecbb4f1505a2c304c2338c1cd6c13e6f66e736efd23bea3a87c82e861</t>
        </is>
      </c>
    </row>
    <row r="1066">
      <c r="A1066" t="inlineStr">
        <is>
          <t>附表7</t>
        </is>
      </c>
      <c r="B1066" t="inlineStr">
        <is>
          <t>C27</t>
        </is>
      </c>
      <c r="C1066" t="inlineStr">
        <is>
          <t>'='附表6'!F19</t>
        </is>
      </c>
      <c r="D1066" t="inlineStr">
        <is>
          <t>6d5098064a6ce3d329f34023b1b6361b55738ebfa1b1b2a3a6c9a487e05a9175</t>
        </is>
      </c>
    </row>
    <row r="1067">
      <c r="A1067" t="inlineStr">
        <is>
          <t>附表7</t>
        </is>
      </c>
      <c r="B1067" t="inlineStr">
        <is>
          <t>D27</t>
        </is>
      </c>
      <c r="C1067" t="inlineStr">
        <is>
          <t>'='附表5'!E19</t>
        </is>
      </c>
      <c r="D1067" t="inlineStr">
        <is>
          <t>ee8bd539b415f5fbc65dbc9c8483c36578f8842689cf0b37bc21e529d92245a0</t>
        </is>
      </c>
    </row>
    <row r="1068">
      <c r="A1068" t="inlineStr">
        <is>
          <t>附表7</t>
        </is>
      </c>
      <c r="B1068" t="inlineStr">
        <is>
          <t>E27</t>
        </is>
      </c>
      <c r="C1068" t="inlineStr">
        <is>
          <t>'=B27-C27-D27</t>
        </is>
      </c>
      <c r="D1068" t="inlineStr">
        <is>
          <t>9006b09ad16c87b3952a3b21ad059c194e8f6ce44cb28a2e84679880cb754aae</t>
        </is>
      </c>
    </row>
    <row r="1069">
      <c r="A1069" t="inlineStr">
        <is>
          <t>附表7</t>
        </is>
      </c>
      <c r="B1069" t="inlineStr">
        <is>
          <t>F27</t>
        </is>
      </c>
      <c r="C1069" t="inlineStr">
        <is>
          <t>'=E27+'附表6'!E19</t>
        </is>
      </c>
      <c r="D1069" t="inlineStr">
        <is>
          <t>73246b655c28d3eb0cb6b8d8635a2b3a7d347fc7ced3e776f9f185b28dfdcaad</t>
        </is>
      </c>
    </row>
    <row r="1070">
      <c r="A1070" t="inlineStr">
        <is>
          <t>附表7</t>
        </is>
      </c>
      <c r="B1070" t="inlineStr">
        <is>
          <t>G27</t>
        </is>
      </c>
      <c r="C1070" t="inlineStr">
        <is>
          <t>'=F27+'附表6'!C19+'附表6'!D19</t>
        </is>
      </c>
      <c r="D1070" t="inlineStr">
        <is>
          <t>bd7daecce9723ebcca21c89e562bacc9bcbafb42ac5c7aaf50f989220912d2fb</t>
        </is>
      </c>
    </row>
    <row r="1071">
      <c r="A1071" t="inlineStr">
        <is>
          <t>附表7</t>
        </is>
      </c>
      <c r="B1071" t="inlineStr">
        <is>
          <t>I27</t>
        </is>
      </c>
      <c r="C1071" t="inlineStr">
        <is>
          <t>'=MAX(E27-H27,0)</t>
        </is>
      </c>
      <c r="D1071" t="inlineStr">
        <is>
          <t>e41d0b39f0d7ad552240f851f0452e606b4f62dd6c058daf6d646bbff50a199c</t>
        </is>
      </c>
    </row>
    <row r="1072">
      <c r="A1072" t="inlineStr">
        <is>
          <t>附表7</t>
        </is>
      </c>
      <c r="B1072" t="inlineStr">
        <is>
          <t>K27</t>
        </is>
      </c>
      <c r="C1072" t="inlineStr">
        <is>
          <t>'=E27-J27</t>
        </is>
      </c>
      <c r="D1072" t="inlineStr">
        <is>
          <t>903df2fdb1e0987d28a1061758f45f6605c11537153edeccfb0d12e49a7ea8a1</t>
        </is>
      </c>
    </row>
    <row r="1073">
      <c r="A1073" t="inlineStr">
        <is>
          <t>附表7</t>
        </is>
      </c>
      <c r="B1073" t="inlineStr">
        <is>
          <t>L27</t>
        </is>
      </c>
      <c r="C1073" t="inlineStr">
        <is>
          <t>'=R26</t>
        </is>
      </c>
      <c r="D1073" t="inlineStr">
        <is>
          <t>d0cfe6f7de64ef048822720e609bac5b0784bbfbe990b7dc308673046c609988</t>
        </is>
      </c>
    </row>
    <row r="1074">
      <c r="A1074" t="inlineStr">
        <is>
          <t>附表7</t>
        </is>
      </c>
      <c r="B1074" t="inlineStr">
        <is>
          <t>M27</t>
        </is>
      </c>
      <c r="C1074" t="inlineStr">
        <is>
          <t>'=L27+K27</t>
        </is>
      </c>
      <c r="D1074" t="inlineStr">
        <is>
          <t>72b997a93b6962706118fa9cdf17be23f70effbb9e078b7981aa329e2cee492b</t>
        </is>
      </c>
    </row>
    <row r="1075">
      <c r="A1075" t="inlineStr">
        <is>
          <t>附表7</t>
        </is>
      </c>
      <c r="B1075" t="inlineStr">
        <is>
          <t>N27</t>
        </is>
      </c>
      <c r="C1075" t="inlineStr">
        <is>
          <t>'=MAX(K27,0)*10%</t>
        </is>
      </c>
      <c r="D1075" t="inlineStr">
        <is>
          <t>846c57d3baa36dbcb0e47c7108b8f20e52282043c1325796d9af238ebb0d76b5</t>
        </is>
      </c>
    </row>
    <row r="1076">
      <c r="A1076" t="inlineStr">
        <is>
          <t>附表7</t>
        </is>
      </c>
      <c r="B1076" t="inlineStr">
        <is>
          <t>O27</t>
        </is>
      </c>
      <c r="C1076" t="inlineStr">
        <is>
          <t>'=M27-N27</t>
        </is>
      </c>
      <c r="D1076" t="inlineStr">
        <is>
          <t>f2e19bffb951206777283c31b1c03c0b71cf808cc1f4689a21794af82d120c35</t>
        </is>
      </c>
    </row>
    <row r="1077">
      <c r="A1077" t="inlineStr">
        <is>
          <t>附表7</t>
        </is>
      </c>
      <c r="B1077" t="inlineStr">
        <is>
          <t>R27</t>
        </is>
      </c>
      <c r="C1077" t="inlineStr">
        <is>
          <t>'=O27-N(P27)-N(Q27)</t>
        </is>
      </c>
      <c r="D1077" t="inlineStr">
        <is>
          <t>65f8509db36b2ff5c402081eecddf8b792202211cea37fab15e48426a42d13f2</t>
        </is>
      </c>
    </row>
    <row r="1078">
      <c r="A1078" t="inlineStr">
        <is>
          <t>附表7</t>
        </is>
      </c>
      <c r="B1078" t="inlineStr">
        <is>
          <t>B28</t>
        </is>
      </c>
      <c r="C1078" t="inlineStr">
        <is>
          <t>'='附表5'!B20</t>
        </is>
      </c>
      <c r="D1078" t="inlineStr">
        <is>
          <t>5ba95496023d36091cbc40937b025585d6f22a074bb7d4e5736bbdfdda037989</t>
        </is>
      </c>
    </row>
    <row r="1079">
      <c r="A1079" t="inlineStr">
        <is>
          <t>附表7</t>
        </is>
      </c>
      <c r="B1079" t="inlineStr">
        <is>
          <t>C28</t>
        </is>
      </c>
      <c r="C1079" t="inlineStr">
        <is>
          <t>'='附表6'!F20</t>
        </is>
      </c>
      <c r="D1079" t="inlineStr">
        <is>
          <t>d13b4ba01b5a164fab35ad1aedd17cdc2d505cb137c713d71830832384a66709</t>
        </is>
      </c>
    </row>
    <row r="1080">
      <c r="A1080" t="inlineStr">
        <is>
          <t>附表7</t>
        </is>
      </c>
      <c r="B1080" t="inlineStr">
        <is>
          <t>D28</t>
        </is>
      </c>
      <c r="C1080" t="inlineStr">
        <is>
          <t>'='附表5'!E20</t>
        </is>
      </c>
      <c r="D1080" t="inlineStr">
        <is>
          <t>25a1f11635ee54e6ac1a0887792edbd27f98cf868a317674f9dec023c6b6076e</t>
        </is>
      </c>
    </row>
    <row r="1081">
      <c r="A1081" t="inlineStr">
        <is>
          <t>附表7</t>
        </is>
      </c>
      <c r="B1081" t="inlineStr">
        <is>
          <t>E28</t>
        </is>
      </c>
      <c r="C1081" t="inlineStr">
        <is>
          <t>'=B28-C28-D28</t>
        </is>
      </c>
      <c r="D1081" t="inlineStr">
        <is>
          <t>bd80c813b4039ddaf7d07d0b965c3b57d9723c2ebd720579f59960f62efcd423</t>
        </is>
      </c>
    </row>
    <row r="1082">
      <c r="A1082" t="inlineStr">
        <is>
          <t>附表7</t>
        </is>
      </c>
      <c r="B1082" t="inlineStr">
        <is>
          <t>F28</t>
        </is>
      </c>
      <c r="C1082" t="inlineStr">
        <is>
          <t>'=E28+'附表6'!E20</t>
        </is>
      </c>
      <c r="D1082" t="inlineStr">
        <is>
          <t>336afbcd2088a1df04095c32c67cf617261a6fb3c02110c274cba3dd7e209563</t>
        </is>
      </c>
    </row>
    <row r="1083">
      <c r="A1083" t="inlineStr">
        <is>
          <t>附表7</t>
        </is>
      </c>
      <c r="B1083" t="inlineStr">
        <is>
          <t>G28</t>
        </is>
      </c>
      <c r="C1083" t="inlineStr">
        <is>
          <t>'=F28+'附表6'!C20+'附表6'!D20</t>
        </is>
      </c>
      <c r="D1083" t="inlineStr">
        <is>
          <t>6527930d45c6d86905c0bffa0a66d21dda28ac1edb25fdd09d4462a0352d8aa5</t>
        </is>
      </c>
    </row>
    <row r="1084">
      <c r="A1084" t="inlineStr">
        <is>
          <t>附表7</t>
        </is>
      </c>
      <c r="B1084" t="inlineStr">
        <is>
          <t>I28</t>
        </is>
      </c>
      <c r="C1084" t="inlineStr">
        <is>
          <t>'=MAX(E28-H28,0)</t>
        </is>
      </c>
      <c r="D1084" t="inlineStr">
        <is>
          <t>d6d7a73315a94d3a34948cafe733aab7bef0121b2f46e510d8df47968279f1ca</t>
        </is>
      </c>
    </row>
    <row r="1085">
      <c r="A1085" t="inlineStr">
        <is>
          <t>附表7</t>
        </is>
      </c>
      <c r="B1085" t="inlineStr">
        <is>
          <t>K28</t>
        </is>
      </c>
      <c r="C1085" t="inlineStr">
        <is>
          <t>'=E28-J28</t>
        </is>
      </c>
      <c r="D1085" t="inlineStr">
        <is>
          <t>0c2e96fe4fbc0255528b45ab2690de0e4dc8ab527cea1c7277706ffad7490f03</t>
        </is>
      </c>
    </row>
    <row r="1086">
      <c r="A1086" t="inlineStr">
        <is>
          <t>附表7</t>
        </is>
      </c>
      <c r="B1086" t="inlineStr">
        <is>
          <t>L28</t>
        </is>
      </c>
      <c r="C1086" t="inlineStr">
        <is>
          <t>'=R27</t>
        </is>
      </c>
      <c r="D1086" t="inlineStr">
        <is>
          <t>d6d719f272f1eb3eac95770a01e7e7863c5793e53473d28088db4223e5151d8e</t>
        </is>
      </c>
    </row>
    <row r="1087">
      <c r="A1087" t="inlineStr">
        <is>
          <t>附表7</t>
        </is>
      </c>
      <c r="B1087" t="inlineStr">
        <is>
          <t>M28</t>
        </is>
      </c>
      <c r="C1087" t="inlineStr">
        <is>
          <t>'=L28+K28</t>
        </is>
      </c>
      <c r="D1087" t="inlineStr">
        <is>
          <t>84f1143403d2724987e4cc94746c6a1515dce7cafc018ab11005c86074bf2150</t>
        </is>
      </c>
    </row>
    <row r="1088">
      <c r="A1088" t="inlineStr">
        <is>
          <t>附表7</t>
        </is>
      </c>
      <c r="B1088" t="inlineStr">
        <is>
          <t>N28</t>
        </is>
      </c>
      <c r="C1088" t="inlineStr">
        <is>
          <t>'=MAX(K28,0)*10%</t>
        </is>
      </c>
      <c r="D1088" t="inlineStr">
        <is>
          <t>0a1311c79966dc9226252efa732f7c80eb3ac3a6bd389145d2f6cb9adb2ecb0e</t>
        </is>
      </c>
    </row>
    <row r="1089">
      <c r="A1089" t="inlineStr">
        <is>
          <t>附表7</t>
        </is>
      </c>
      <c r="B1089" t="inlineStr">
        <is>
          <t>O28</t>
        </is>
      </c>
      <c r="C1089" t="inlineStr">
        <is>
          <t>'=M28-N28</t>
        </is>
      </c>
      <c r="D1089" t="inlineStr">
        <is>
          <t>eed9f54b225225ecc6e4806e42c6a61ab4bdefd48488e54675bdf01e159354af</t>
        </is>
      </c>
    </row>
    <row r="1090">
      <c r="A1090" t="inlineStr">
        <is>
          <t>附表7</t>
        </is>
      </c>
      <c r="B1090" t="inlineStr">
        <is>
          <t>R28</t>
        </is>
      </c>
      <c r="C1090" t="inlineStr">
        <is>
          <t>'=O28-N(P28)-N(Q28)</t>
        </is>
      </c>
      <c r="D1090" t="inlineStr">
        <is>
          <t>1f734176c3b745b3d029fccd4f5d10ff7ddc699b09b5b09874e3bf4176ed0e95</t>
        </is>
      </c>
    </row>
    <row r="1091">
      <c r="A1091" t="inlineStr">
        <is>
          <t>附表7</t>
        </is>
      </c>
      <c r="B1091" t="inlineStr">
        <is>
          <t>B29</t>
        </is>
      </c>
      <c r="C1091" t="inlineStr">
        <is>
          <t>'='附表5'!B21</t>
        </is>
      </c>
      <c r="D1091" t="inlineStr">
        <is>
          <t>848cbc38970c12925a58e1f74ad225183f01cdbacf8d51166ac0a782d124a500</t>
        </is>
      </c>
    </row>
    <row r="1092">
      <c r="A1092" t="inlineStr">
        <is>
          <t>附表7</t>
        </is>
      </c>
      <c r="B1092" t="inlineStr">
        <is>
          <t>C29</t>
        </is>
      </c>
      <c r="C1092" t="inlineStr">
        <is>
          <t>'='附表6'!F21</t>
        </is>
      </c>
      <c r="D1092" t="inlineStr">
        <is>
          <t>7ddbbef706f68c5e721b050889c22274826656a228603c03a854a23c94f38d6c</t>
        </is>
      </c>
    </row>
    <row r="1093">
      <c r="A1093" t="inlineStr">
        <is>
          <t>附表7</t>
        </is>
      </c>
      <c r="B1093" t="inlineStr">
        <is>
          <t>D29</t>
        </is>
      </c>
      <c r="C1093" t="inlineStr">
        <is>
          <t>'='附表5'!E21</t>
        </is>
      </c>
      <c r="D1093" t="inlineStr">
        <is>
          <t>ecf0b06c1b4dcd1fc9a2a0e8b94c129534da31eb91f8934fa4f76296eff4369c</t>
        </is>
      </c>
    </row>
    <row r="1094">
      <c r="A1094" t="inlineStr">
        <is>
          <t>附表7</t>
        </is>
      </c>
      <c r="B1094" t="inlineStr">
        <is>
          <t>E29</t>
        </is>
      </c>
      <c r="C1094" t="inlineStr">
        <is>
          <t>'=B29-C29-D29</t>
        </is>
      </c>
      <c r="D1094" t="inlineStr">
        <is>
          <t>a841609c2f6adf2b2d95d1fc8a8fd2717e30e093ae5c10da36773beb6f6cf513</t>
        </is>
      </c>
    </row>
    <row r="1095">
      <c r="A1095" t="inlineStr">
        <is>
          <t>附表7</t>
        </is>
      </c>
      <c r="B1095" t="inlineStr">
        <is>
          <t>F29</t>
        </is>
      </c>
      <c r="C1095" t="inlineStr">
        <is>
          <t>'=E29+'附表6'!E21</t>
        </is>
      </c>
      <c r="D1095" t="inlineStr">
        <is>
          <t>e464536ea762d72a56c4b16f798ed1834bc784bdf470744ab8b0661a1586689d</t>
        </is>
      </c>
    </row>
    <row r="1096">
      <c r="A1096" t="inlineStr">
        <is>
          <t>附表7</t>
        </is>
      </c>
      <c r="B1096" t="inlineStr">
        <is>
          <t>G29</t>
        </is>
      </c>
      <c r="C1096" t="inlineStr">
        <is>
          <t>'=F29+'附表6'!C21+'附表6'!D21</t>
        </is>
      </c>
      <c r="D1096" t="inlineStr">
        <is>
          <t>e51b6229a9c9777a5925e94855b2b37f26697a035c0959ef1849edf935c04464</t>
        </is>
      </c>
    </row>
    <row r="1097">
      <c r="A1097" t="inlineStr">
        <is>
          <t>附表7</t>
        </is>
      </c>
      <c r="B1097" t="inlineStr">
        <is>
          <t>I29</t>
        </is>
      </c>
      <c r="C1097" t="inlineStr">
        <is>
          <t>'=MAX(E29-H29,0)</t>
        </is>
      </c>
      <c r="D1097" t="inlineStr">
        <is>
          <t>9ae1b37d186a1616231f31c54a63c39c5a47434c6102a8f573888010a62d6b77</t>
        </is>
      </c>
    </row>
    <row r="1098">
      <c r="A1098" t="inlineStr">
        <is>
          <t>附表7</t>
        </is>
      </c>
      <c r="B1098" t="inlineStr">
        <is>
          <t>K29</t>
        </is>
      </c>
      <c r="C1098" t="inlineStr">
        <is>
          <t>'=E29-J29</t>
        </is>
      </c>
      <c r="D1098" t="inlineStr">
        <is>
          <t>35700bfe7a23302731361e4aec2354f56d2690ee6b2955ff09a67e0d14072ff1</t>
        </is>
      </c>
    </row>
    <row r="1099">
      <c r="A1099" t="inlineStr">
        <is>
          <t>附表7</t>
        </is>
      </c>
      <c r="B1099" t="inlineStr">
        <is>
          <t>L29</t>
        </is>
      </c>
      <c r="C1099" t="inlineStr">
        <is>
          <t>'=R28</t>
        </is>
      </c>
      <c r="D1099" t="inlineStr">
        <is>
          <t>0566068a12b6ee51664017355096e28da2dd8d5e83ab9a9d9d53206dc21f610e</t>
        </is>
      </c>
    </row>
    <row r="1100">
      <c r="A1100" t="inlineStr">
        <is>
          <t>附表7</t>
        </is>
      </c>
      <c r="B1100" t="inlineStr">
        <is>
          <t>M29</t>
        </is>
      </c>
      <c r="C1100" t="inlineStr">
        <is>
          <t>'=L29+K29</t>
        </is>
      </c>
      <c r="D1100" t="inlineStr">
        <is>
          <t>93bf8f321332f9d1d67418cedacd3b0d485bdd5f716d0869d50eb1fcc19cf2ba</t>
        </is>
      </c>
    </row>
    <row r="1101">
      <c r="A1101" t="inlineStr">
        <is>
          <t>附表7</t>
        </is>
      </c>
      <c r="B1101" t="inlineStr">
        <is>
          <t>N29</t>
        </is>
      </c>
      <c r="C1101" t="inlineStr">
        <is>
          <t>'=MAX(K29,0)*10%</t>
        </is>
      </c>
      <c r="D1101" t="inlineStr">
        <is>
          <t>9834348094b0c821080c6eecad8a7d843233f4f3a5f203dd34da3b19eb0fbc78</t>
        </is>
      </c>
    </row>
    <row r="1102">
      <c r="A1102" t="inlineStr">
        <is>
          <t>附表7</t>
        </is>
      </c>
      <c r="B1102" t="inlineStr">
        <is>
          <t>O29</t>
        </is>
      </c>
      <c r="C1102" t="inlineStr">
        <is>
          <t>'=M29-N29</t>
        </is>
      </c>
      <c r="D1102" t="inlineStr">
        <is>
          <t>99d41b3bdca8804beec7a31aa5ac52be7f012553984c8525573a577d90ae7b14</t>
        </is>
      </c>
    </row>
    <row r="1103">
      <c r="A1103" t="inlineStr">
        <is>
          <t>附表7</t>
        </is>
      </c>
      <c r="B1103" t="inlineStr">
        <is>
          <t>R29</t>
        </is>
      </c>
      <c r="C1103" t="inlineStr">
        <is>
          <t>'=O29-N(P29)-N(Q29)</t>
        </is>
      </c>
      <c r="D1103" t="inlineStr">
        <is>
          <t>ea8c526400879683c8b6901f637bf5998594ab660e3979623d9854b10e3e5b92</t>
        </is>
      </c>
    </row>
    <row r="1104">
      <c r="A1104" t="inlineStr">
        <is>
          <t>附表7</t>
        </is>
      </c>
      <c r="B1104" t="inlineStr">
        <is>
          <t>B30</t>
        </is>
      </c>
      <c r="C1104" t="inlineStr">
        <is>
          <t>'='附表5'!B22</t>
        </is>
      </c>
      <c r="D1104" t="inlineStr">
        <is>
          <t>6d5c8abd68d109b84e16df25030f7bdc3c93935a438b1007a6209de76027fdb3</t>
        </is>
      </c>
    </row>
    <row r="1105">
      <c r="A1105" t="inlineStr">
        <is>
          <t>附表7</t>
        </is>
      </c>
      <c r="B1105" t="inlineStr">
        <is>
          <t>C30</t>
        </is>
      </c>
      <c r="C1105" t="inlineStr">
        <is>
          <t>'='附表6'!F22</t>
        </is>
      </c>
      <c r="D1105" t="inlineStr">
        <is>
          <t>373b0e3ca74979d441baae06c6a23b4da7fc1b9635cf6e03e46ba6fc83c923ba</t>
        </is>
      </c>
    </row>
    <row r="1106">
      <c r="A1106" t="inlineStr">
        <is>
          <t>附表7</t>
        </is>
      </c>
      <c r="B1106" t="inlineStr">
        <is>
          <t>D30</t>
        </is>
      </c>
      <c r="C1106" t="inlineStr">
        <is>
          <t>'='附表5'!E22</t>
        </is>
      </c>
      <c r="D1106" t="inlineStr">
        <is>
          <t>cfeb00498e9abcd8b2f81b2f002710a2449cf5577a5990783806e4e1e9094d91</t>
        </is>
      </c>
    </row>
    <row r="1107">
      <c r="A1107" t="inlineStr">
        <is>
          <t>附表7</t>
        </is>
      </c>
      <c r="B1107" t="inlineStr">
        <is>
          <t>E30</t>
        </is>
      </c>
      <c r="C1107" t="inlineStr">
        <is>
          <t>'=B30-C30-D30</t>
        </is>
      </c>
      <c r="D1107" t="inlineStr">
        <is>
          <t>664f4f02a79655984430c2d1f5127a2069c7077109617c48b5a728afbd6f2393</t>
        </is>
      </c>
    </row>
    <row r="1108">
      <c r="A1108" t="inlineStr">
        <is>
          <t>附表7</t>
        </is>
      </c>
      <c r="B1108" t="inlineStr">
        <is>
          <t>F30</t>
        </is>
      </c>
      <c r="C1108" t="inlineStr">
        <is>
          <t>'=E30+'附表6'!E22</t>
        </is>
      </c>
      <c r="D1108" t="inlineStr">
        <is>
          <t>b402f25efc820232df974fa0b2c2db4c96f707ea3e948582b8be9e5042452f6d</t>
        </is>
      </c>
    </row>
    <row r="1109">
      <c r="A1109" t="inlineStr">
        <is>
          <t>附表7</t>
        </is>
      </c>
      <c r="B1109" t="inlineStr">
        <is>
          <t>G30</t>
        </is>
      </c>
      <c r="C1109" t="inlineStr">
        <is>
          <t>'=F30+'附表6'!C22+'附表6'!D22</t>
        </is>
      </c>
      <c r="D1109" t="inlineStr">
        <is>
          <t>c71d118e89131f3743d3b33040ff18d396a63b1a26e7e8f7a19ae091b49388d9</t>
        </is>
      </c>
    </row>
    <row r="1110">
      <c r="A1110" t="inlineStr">
        <is>
          <t>附表7</t>
        </is>
      </c>
      <c r="B1110" t="inlineStr">
        <is>
          <t>I30</t>
        </is>
      </c>
      <c r="C1110" t="inlineStr">
        <is>
          <t>'=MAX(E30-H30,0)</t>
        </is>
      </c>
      <c r="D1110" t="inlineStr">
        <is>
          <t>32b71b544ac9179463f8ee371b1d086d3363b39ecccdd3dfc4e347a8ffff62eb</t>
        </is>
      </c>
    </row>
    <row r="1111">
      <c r="A1111" t="inlineStr">
        <is>
          <t>附表7</t>
        </is>
      </c>
      <c r="B1111" t="inlineStr">
        <is>
          <t>K30</t>
        </is>
      </c>
      <c r="C1111" t="inlineStr">
        <is>
          <t>'=E30-J30</t>
        </is>
      </c>
      <c r="D1111" t="inlineStr">
        <is>
          <t>ee7ba01a21085f749dcc29d46b2ea0eea48791aed169db360e24fa193c680031</t>
        </is>
      </c>
    </row>
    <row r="1112">
      <c r="A1112" t="inlineStr">
        <is>
          <t>附表7</t>
        </is>
      </c>
      <c r="B1112" t="inlineStr">
        <is>
          <t>L30</t>
        </is>
      </c>
      <c r="C1112" t="inlineStr">
        <is>
          <t>'=R29</t>
        </is>
      </c>
      <c r="D1112" t="inlineStr">
        <is>
          <t>26f289b98b529c0a52a1b90de498bf41f726d7400d9e16b541bed395a31001ba</t>
        </is>
      </c>
    </row>
    <row r="1113">
      <c r="A1113" t="inlineStr">
        <is>
          <t>附表7</t>
        </is>
      </c>
      <c r="B1113" t="inlineStr">
        <is>
          <t>M30</t>
        </is>
      </c>
      <c r="C1113" t="inlineStr">
        <is>
          <t>'=L30+K30</t>
        </is>
      </c>
      <c r="D1113" t="inlineStr">
        <is>
          <t>b6b64586b562d2d58661144544e80f606092d58c43993f6bbbfab1b35fc51c40</t>
        </is>
      </c>
    </row>
    <row r="1114">
      <c r="A1114" t="inlineStr">
        <is>
          <t>附表7</t>
        </is>
      </c>
      <c r="B1114" t="inlineStr">
        <is>
          <t>N30</t>
        </is>
      </c>
      <c r="C1114" t="inlineStr">
        <is>
          <t>'=MAX(K30,0)*10%</t>
        </is>
      </c>
      <c r="D1114" t="inlineStr">
        <is>
          <t>f396427826d026a5476e66a15dfaa39a1019d64c4c485147a8d36254a8813762</t>
        </is>
      </c>
    </row>
    <row r="1115">
      <c r="A1115" t="inlineStr">
        <is>
          <t>附表7</t>
        </is>
      </c>
      <c r="B1115" t="inlineStr">
        <is>
          <t>O30</t>
        </is>
      </c>
      <c r="C1115" t="inlineStr">
        <is>
          <t>'=M30-N30</t>
        </is>
      </c>
      <c r="D1115" t="inlineStr">
        <is>
          <t>bd3e3f1dc8bbe8b41b8083adb7a363409f2f4d0973861a5feceb49125571e968</t>
        </is>
      </c>
    </row>
    <row r="1116">
      <c r="A1116" t="inlineStr">
        <is>
          <t>附表7</t>
        </is>
      </c>
      <c r="B1116" t="inlineStr">
        <is>
          <t>R30</t>
        </is>
      </c>
      <c r="C1116" t="inlineStr">
        <is>
          <t>'=O30-N(P30)-N(Q30)</t>
        </is>
      </c>
      <c r="D1116" t="inlineStr">
        <is>
          <t>749adb58784e446be19300bd4c1e399286796452a93b9708a567382019044778</t>
        </is>
      </c>
    </row>
    <row r="1117">
      <c r="A1117" t="inlineStr">
        <is>
          <t>附表7</t>
        </is>
      </c>
      <c r="B1117" t="inlineStr">
        <is>
          <t>B31</t>
        </is>
      </c>
      <c r="C1117" t="inlineStr">
        <is>
          <t>'='附表5'!B23</t>
        </is>
      </c>
      <c r="D1117" t="inlineStr">
        <is>
          <t>0e61510a542c252acc47b6cfff6aee35224f76a37ed1c183cd357a1844de0b97</t>
        </is>
      </c>
    </row>
    <row r="1118">
      <c r="A1118" t="inlineStr">
        <is>
          <t>附表7</t>
        </is>
      </c>
      <c r="B1118" t="inlineStr">
        <is>
          <t>C31</t>
        </is>
      </c>
      <c r="C1118" t="inlineStr">
        <is>
          <t>'='附表6'!F23</t>
        </is>
      </c>
      <c r="D1118" t="inlineStr">
        <is>
          <t>04cd07072a4fadf135f4fa38d45154344491d5f795ea3acadc488cb9c25c5a54</t>
        </is>
      </c>
    </row>
    <row r="1119">
      <c r="A1119" t="inlineStr">
        <is>
          <t>附表7</t>
        </is>
      </c>
      <c r="B1119" t="inlineStr">
        <is>
          <t>D31</t>
        </is>
      </c>
      <c r="C1119" t="inlineStr">
        <is>
          <t>'='附表5'!E23</t>
        </is>
      </c>
      <c r="D1119" t="inlineStr">
        <is>
          <t>0ec99e9a2a141f62d5e722f935fe3a7a43aa1b33b7229b37bf34a7c9c292d2cb</t>
        </is>
      </c>
    </row>
    <row r="1120">
      <c r="A1120" t="inlineStr">
        <is>
          <t>附表7</t>
        </is>
      </c>
      <c r="B1120" t="inlineStr">
        <is>
          <t>E31</t>
        </is>
      </c>
      <c r="C1120" t="inlineStr">
        <is>
          <t>'=B31-C31-D31</t>
        </is>
      </c>
      <c r="D1120" t="inlineStr">
        <is>
          <t>50ad5d27ce522f730b736501e377d8deaab4bc554216e96fcd1f9eb3cfc4e81a</t>
        </is>
      </c>
    </row>
    <row r="1121">
      <c r="A1121" t="inlineStr">
        <is>
          <t>附表7</t>
        </is>
      </c>
      <c r="B1121" t="inlineStr">
        <is>
          <t>F31</t>
        </is>
      </c>
      <c r="C1121" t="inlineStr">
        <is>
          <t>'=E31+'附表6'!E23</t>
        </is>
      </c>
      <c r="D1121" t="inlineStr">
        <is>
          <t>b32f7c3075648252dc80932fbaf50f7717c41100d2304f075f78ff322b80d1b5</t>
        </is>
      </c>
    </row>
    <row r="1122">
      <c r="A1122" t="inlineStr">
        <is>
          <t>附表7</t>
        </is>
      </c>
      <c r="B1122" t="inlineStr">
        <is>
          <t>G31</t>
        </is>
      </c>
      <c r="C1122" t="inlineStr">
        <is>
          <t>'=F31+'附表6'!C23+'附表6'!D23</t>
        </is>
      </c>
      <c r="D1122" t="inlineStr">
        <is>
          <t>b99f9b3cde1c299542bfc0dc3437dbd434c3ee7adc2d7c0eec43f5cefcadb6a7</t>
        </is>
      </c>
    </row>
    <row r="1123">
      <c r="A1123" t="inlineStr">
        <is>
          <t>附表7</t>
        </is>
      </c>
      <c r="B1123" t="inlineStr">
        <is>
          <t>I31</t>
        </is>
      </c>
      <c r="C1123" t="inlineStr">
        <is>
          <t>'=MAX(E31-H31,0)</t>
        </is>
      </c>
      <c r="D1123" t="inlineStr">
        <is>
          <t>5e74c58fdc33462fe9c572f8386379fb2ee17167e7cce5ce733e60fc9b443a79</t>
        </is>
      </c>
    </row>
    <row r="1124">
      <c r="A1124" t="inlineStr">
        <is>
          <t>附表7</t>
        </is>
      </c>
      <c r="B1124" t="inlineStr">
        <is>
          <t>K31</t>
        </is>
      </c>
      <c r="C1124" t="inlineStr">
        <is>
          <t>'=E31-J31</t>
        </is>
      </c>
      <c r="D1124" t="inlineStr">
        <is>
          <t>af4d31df053dac9ace524f9e5f637ebc95a0bff091d4eb4d17dca096e2aba57d</t>
        </is>
      </c>
    </row>
    <row r="1125">
      <c r="A1125" t="inlineStr">
        <is>
          <t>附表7</t>
        </is>
      </c>
      <c r="B1125" t="inlineStr">
        <is>
          <t>L31</t>
        </is>
      </c>
      <c r="C1125" t="inlineStr">
        <is>
          <t>'=R30</t>
        </is>
      </c>
      <c r="D1125" t="inlineStr">
        <is>
          <t>443309d882dd6eeabc0ec18f3e22294ba3dc45029b80ca6f2303f9b3ea4679d5</t>
        </is>
      </c>
    </row>
    <row r="1126">
      <c r="A1126" t="inlineStr">
        <is>
          <t>附表7</t>
        </is>
      </c>
      <c r="B1126" t="inlineStr">
        <is>
          <t>M31</t>
        </is>
      </c>
      <c r="C1126" t="inlineStr">
        <is>
          <t>'=L31+K31</t>
        </is>
      </c>
      <c r="D1126" t="inlineStr">
        <is>
          <t>ba77164d94215c0804522accd678d0179f8e716bf56d816d7fe0488e72b6d7a5</t>
        </is>
      </c>
    </row>
    <row r="1127">
      <c r="A1127" t="inlineStr">
        <is>
          <t>附表7</t>
        </is>
      </c>
      <c r="B1127" t="inlineStr">
        <is>
          <t>N31</t>
        </is>
      </c>
      <c r="C1127" t="inlineStr">
        <is>
          <t>'=MAX(K31,0)*10%</t>
        </is>
      </c>
      <c r="D1127" t="inlineStr">
        <is>
          <t>9ccd683a6fa184f9680d290a77bcedb1466638cd4857938be10fb9b035c79075</t>
        </is>
      </c>
    </row>
    <row r="1128">
      <c r="A1128" t="inlineStr">
        <is>
          <t>附表7</t>
        </is>
      </c>
      <c r="B1128" t="inlineStr">
        <is>
          <t>O31</t>
        </is>
      </c>
      <c r="C1128" t="inlineStr">
        <is>
          <t>'=M31-N31</t>
        </is>
      </c>
      <c r="D1128" t="inlineStr">
        <is>
          <t>8700bca3310fe1f8799ef1513d8c08fad6f7cd5851ea5fd85cbd9b53b384d374</t>
        </is>
      </c>
    </row>
    <row r="1129">
      <c r="A1129" t="inlineStr">
        <is>
          <t>附表7</t>
        </is>
      </c>
      <c r="B1129" t="inlineStr">
        <is>
          <t>R31</t>
        </is>
      </c>
      <c r="C1129" t="inlineStr">
        <is>
          <t>'=O31-N(P31)-N(Q31)</t>
        </is>
      </c>
      <c r="D1129" t="inlineStr">
        <is>
          <t>893754edb6aaaeb5dac7a51fc6bc4e5b5b73068d21cb5e93d70abb183fa507a4</t>
        </is>
      </c>
    </row>
    <row r="1130">
      <c r="A1130" t="inlineStr">
        <is>
          <t>附表7</t>
        </is>
      </c>
      <c r="B1130" t="inlineStr">
        <is>
          <t>B32</t>
        </is>
      </c>
      <c r="C1130" t="inlineStr">
        <is>
          <t>'='附表5'!B24</t>
        </is>
      </c>
      <c r="D1130" t="inlineStr">
        <is>
          <t>485880aede0e5603d5833ad40a0370429a2291cc860dbc092e207ea43b653be6</t>
        </is>
      </c>
    </row>
    <row r="1131">
      <c r="A1131" t="inlineStr">
        <is>
          <t>附表7</t>
        </is>
      </c>
      <c r="B1131" t="inlineStr">
        <is>
          <t>C32</t>
        </is>
      </c>
      <c r="C1131" t="inlineStr">
        <is>
          <t>'='附表6'!F24</t>
        </is>
      </c>
      <c r="D1131" t="inlineStr">
        <is>
          <t>05b4494b92b58d3ea88ea68eac77f36ff5182146e4051e29bbaffaca3c44cea9</t>
        </is>
      </c>
    </row>
    <row r="1132">
      <c r="A1132" t="inlineStr">
        <is>
          <t>附表7</t>
        </is>
      </c>
      <c r="B1132" t="inlineStr">
        <is>
          <t>D32</t>
        </is>
      </c>
      <c r="C1132" t="inlineStr">
        <is>
          <t>'='附表5'!E24</t>
        </is>
      </c>
      <c r="D1132" t="inlineStr">
        <is>
          <t>26a355c24559122ecb1575bdc2996cdcbc5e0ada8b331a54a4c0c79e94c80dc4</t>
        </is>
      </c>
    </row>
    <row r="1133">
      <c r="A1133" t="inlineStr">
        <is>
          <t>附表7</t>
        </is>
      </c>
      <c r="B1133" t="inlineStr">
        <is>
          <t>E32</t>
        </is>
      </c>
      <c r="C1133" t="inlineStr">
        <is>
          <t>'=B32-C32-D32</t>
        </is>
      </c>
      <c r="D1133" t="inlineStr">
        <is>
          <t>7258b51fb55f6cf247e69c1152f79f0729ad08aeee612ffa428f4860f70e09e3</t>
        </is>
      </c>
    </row>
    <row r="1134">
      <c r="A1134" t="inlineStr">
        <is>
          <t>附表7</t>
        </is>
      </c>
      <c r="B1134" t="inlineStr">
        <is>
          <t>F32</t>
        </is>
      </c>
      <c r="C1134" t="inlineStr">
        <is>
          <t>'=E32+'附表6'!E24</t>
        </is>
      </c>
      <c r="D1134" t="inlineStr">
        <is>
          <t>a4bc373e33862bd9a141e33d20e8775e97dc2b30c34a49af6bec64a380f63279</t>
        </is>
      </c>
    </row>
    <row r="1135">
      <c r="A1135" t="inlineStr">
        <is>
          <t>附表7</t>
        </is>
      </c>
      <c r="B1135" t="inlineStr">
        <is>
          <t>G32</t>
        </is>
      </c>
      <c r="C1135" t="inlineStr">
        <is>
          <t>'=F32+'附表6'!C24+'附表6'!D24</t>
        </is>
      </c>
      <c r="D1135" t="inlineStr">
        <is>
          <t>3701ef4e340f5dff26266c2266ea8dcf8b5b61b8b53ee33a4e3e7647ed796d3b</t>
        </is>
      </c>
    </row>
    <row r="1136">
      <c r="A1136" t="inlineStr">
        <is>
          <t>附表7</t>
        </is>
      </c>
      <c r="B1136" t="inlineStr">
        <is>
          <t>I32</t>
        </is>
      </c>
      <c r="C1136" t="inlineStr">
        <is>
          <t>'=MAX(E32-H32,0)</t>
        </is>
      </c>
      <c r="D1136" t="inlineStr">
        <is>
          <t>c0e5e42a061925c354fea73c31d4e9962201794d48370f3378c8d48465e6f05c</t>
        </is>
      </c>
    </row>
    <row r="1137">
      <c r="A1137" t="inlineStr">
        <is>
          <t>附表7</t>
        </is>
      </c>
      <c r="B1137" t="inlineStr">
        <is>
          <t>K32</t>
        </is>
      </c>
      <c r="C1137" t="inlineStr">
        <is>
          <t>'=E32-J32</t>
        </is>
      </c>
      <c r="D1137" t="inlineStr">
        <is>
          <t>e57aec0d6cebf0e034955aa50684e7ec2f364b91f14151b1c034c66a6554bcc2</t>
        </is>
      </c>
    </row>
    <row r="1138">
      <c r="A1138" t="inlineStr">
        <is>
          <t>附表7</t>
        </is>
      </c>
      <c r="B1138" t="inlineStr">
        <is>
          <t>L32</t>
        </is>
      </c>
      <c r="C1138" t="inlineStr">
        <is>
          <t>'=R31</t>
        </is>
      </c>
      <c r="D1138" t="inlineStr">
        <is>
          <t>134ac72aea0f14c37bae6e851dfb2c588cd068276898f1bec4d19428ead1d103</t>
        </is>
      </c>
    </row>
    <row r="1139">
      <c r="A1139" t="inlineStr">
        <is>
          <t>附表7</t>
        </is>
      </c>
      <c r="B1139" t="inlineStr">
        <is>
          <t>M32</t>
        </is>
      </c>
      <c r="C1139" t="inlineStr">
        <is>
          <t>'=L32+K32</t>
        </is>
      </c>
      <c r="D1139" t="inlineStr">
        <is>
          <t>4f727c63ac00dec1ec5c6d533acde72c6a6d21aa2fc54125f325cd16848f52be</t>
        </is>
      </c>
    </row>
    <row r="1140">
      <c r="A1140" t="inlineStr">
        <is>
          <t>附表7</t>
        </is>
      </c>
      <c r="B1140" t="inlineStr">
        <is>
          <t>N32</t>
        </is>
      </c>
      <c r="C1140" t="inlineStr">
        <is>
          <t>'=MAX(K32,0)*10%</t>
        </is>
      </c>
      <c r="D1140" t="inlineStr">
        <is>
          <t>54f433136b27282d004e3369ad7f60e3be9a1eb44b6855d379275c2536e30124</t>
        </is>
      </c>
    </row>
    <row r="1141">
      <c r="A1141" t="inlineStr">
        <is>
          <t>附表7</t>
        </is>
      </c>
      <c r="B1141" t="inlineStr">
        <is>
          <t>O32</t>
        </is>
      </c>
      <c r="C1141" t="inlineStr">
        <is>
          <t>'=M32-N32</t>
        </is>
      </c>
      <c r="D1141" t="inlineStr">
        <is>
          <t>de0b04d6a685ef4bab1463d60652b40607409c3615e460d9c971d5a31d1fa84d</t>
        </is>
      </c>
    </row>
    <row r="1142">
      <c r="A1142" t="inlineStr">
        <is>
          <t>附表7</t>
        </is>
      </c>
      <c r="B1142" t="inlineStr">
        <is>
          <t>R32</t>
        </is>
      </c>
      <c r="C1142" t="inlineStr">
        <is>
          <t>'=O32-N(P32)-N(Q32)</t>
        </is>
      </c>
      <c r="D1142" t="inlineStr">
        <is>
          <t>540edf56a1d7982ba4026ce3ae9ad27679c7227fe22bdbaa0ce32297d8239268</t>
        </is>
      </c>
    </row>
    <row r="1143">
      <c r="A1143" t="inlineStr">
        <is>
          <t>附表7</t>
        </is>
      </c>
      <c r="B1143" t="inlineStr">
        <is>
          <t>B33</t>
        </is>
      </c>
      <c r="C1143" t="inlineStr">
        <is>
          <t>'='附表5'!B25</t>
        </is>
      </c>
      <c r="D1143" t="inlineStr">
        <is>
          <t>d8b21e27a89a62baca3b0c7ab58cc3e55518829fb13b89f3944308fa5bd54aca</t>
        </is>
      </c>
    </row>
    <row r="1144">
      <c r="A1144" t="inlineStr">
        <is>
          <t>附表7</t>
        </is>
      </c>
      <c r="B1144" t="inlineStr">
        <is>
          <t>C33</t>
        </is>
      </c>
      <c r="C1144" t="inlineStr">
        <is>
          <t>'='附表6'!F25</t>
        </is>
      </c>
      <c r="D1144" t="inlineStr">
        <is>
          <t>63886077acc785dda5c95f19e01072f50d43be6d0e3d4e9fc6c7ec3c11c5b65c</t>
        </is>
      </c>
    </row>
    <row r="1145">
      <c r="A1145" t="inlineStr">
        <is>
          <t>附表7</t>
        </is>
      </c>
      <c r="B1145" t="inlineStr">
        <is>
          <t>D33</t>
        </is>
      </c>
      <c r="C1145" t="inlineStr">
        <is>
          <t>'='附表5'!E25</t>
        </is>
      </c>
      <c r="D1145" t="inlineStr">
        <is>
          <t>2d74b33a293b71294aaf2f1fb736bf5ac4f9677b16b7597acd54abcd38be2913</t>
        </is>
      </c>
    </row>
    <row r="1146">
      <c r="A1146" t="inlineStr">
        <is>
          <t>附表7</t>
        </is>
      </c>
      <c r="B1146" t="inlineStr">
        <is>
          <t>E33</t>
        </is>
      </c>
      <c r="C1146" t="inlineStr">
        <is>
          <t>'=B33-C33-D33</t>
        </is>
      </c>
      <c r="D1146" t="inlineStr">
        <is>
          <t>05b3c3b81bc23e31bee5f363f384725254ffa309db8179100c9565bb17926fc4</t>
        </is>
      </c>
    </row>
    <row r="1147">
      <c r="A1147" t="inlineStr">
        <is>
          <t>附表7</t>
        </is>
      </c>
      <c r="B1147" t="inlineStr">
        <is>
          <t>F33</t>
        </is>
      </c>
      <c r="C1147" t="inlineStr">
        <is>
          <t>'=E33+'附表6'!E25</t>
        </is>
      </c>
      <c r="D1147" t="inlineStr">
        <is>
          <t>8d69f4e4e22fb5734b3cf3a9d7f787fcde48ab77dc49c239913c401d7ded40df</t>
        </is>
      </c>
    </row>
    <row r="1148">
      <c r="A1148" t="inlineStr">
        <is>
          <t>附表7</t>
        </is>
      </c>
      <c r="B1148" t="inlineStr">
        <is>
          <t>G33</t>
        </is>
      </c>
      <c r="C1148" t="inlineStr">
        <is>
          <t>'=F33+'附表6'!C25+'附表6'!D25</t>
        </is>
      </c>
      <c r="D1148" t="inlineStr">
        <is>
          <t>ac5f8f30660c4da809aa99c9c431fb5e24d9a9b2e22917c0f9e62d69c551ae82</t>
        </is>
      </c>
    </row>
    <row r="1149">
      <c r="A1149" t="inlineStr">
        <is>
          <t>附表7</t>
        </is>
      </c>
      <c r="B1149" t="inlineStr">
        <is>
          <t>I33</t>
        </is>
      </c>
      <c r="C1149" t="inlineStr">
        <is>
          <t>'=MAX(E33-H33,0)</t>
        </is>
      </c>
      <c r="D1149" t="inlineStr">
        <is>
          <t>130ff77603e63621ca05e48323bf3b8db44ee4b9891009f96380e5e4034b6fff</t>
        </is>
      </c>
    </row>
    <row r="1150">
      <c r="A1150" t="inlineStr">
        <is>
          <t>附表7</t>
        </is>
      </c>
      <c r="B1150" t="inlineStr">
        <is>
          <t>K33</t>
        </is>
      </c>
      <c r="C1150" t="inlineStr">
        <is>
          <t>'=E33-J33</t>
        </is>
      </c>
      <c r="D1150" t="inlineStr">
        <is>
          <t>8a9d13f152a817df813343907802e3148d76931222b354044617ce3bbaa4e62d</t>
        </is>
      </c>
    </row>
    <row r="1151">
      <c r="A1151" t="inlineStr">
        <is>
          <t>附表7</t>
        </is>
      </c>
      <c r="B1151" t="inlineStr">
        <is>
          <t>L33</t>
        </is>
      </c>
      <c r="C1151" t="inlineStr">
        <is>
          <t>'=R32</t>
        </is>
      </c>
      <c r="D1151" t="inlineStr">
        <is>
          <t>f52a7e4a7fc6e2c5ee904d4ea3786ce4fa895b8e8de28aeb6507b2db98d8f438</t>
        </is>
      </c>
    </row>
    <row r="1152">
      <c r="A1152" t="inlineStr">
        <is>
          <t>附表7</t>
        </is>
      </c>
      <c r="B1152" t="inlineStr">
        <is>
          <t>M33</t>
        </is>
      </c>
      <c r="C1152" t="inlineStr">
        <is>
          <t>'=L33+K33</t>
        </is>
      </c>
      <c r="D1152" t="inlineStr">
        <is>
          <t>d8925294c7875c9fa05821d9ca165e4355d35302e3497831fe2c2b049bcd5de4</t>
        </is>
      </c>
    </row>
    <row r="1153">
      <c r="A1153" t="inlineStr">
        <is>
          <t>附表7</t>
        </is>
      </c>
      <c r="B1153" t="inlineStr">
        <is>
          <t>N33</t>
        </is>
      </c>
      <c r="C1153" t="inlineStr">
        <is>
          <t>'=MAX(K33,0)*10%</t>
        </is>
      </c>
      <c r="D1153" t="inlineStr">
        <is>
          <t>0aa6394921e9cb529d7d4f28907f540374c3627f07efbf72a13c4eea0330bacc</t>
        </is>
      </c>
    </row>
    <row r="1154">
      <c r="A1154" t="inlineStr">
        <is>
          <t>附表7</t>
        </is>
      </c>
      <c r="B1154" t="inlineStr">
        <is>
          <t>O33</t>
        </is>
      </c>
      <c r="C1154" t="inlineStr">
        <is>
          <t>'=M33-N33</t>
        </is>
      </c>
      <c r="D1154" t="inlineStr">
        <is>
          <t>cb494e42f6b58ea8a5047f0b9ebf2d54213f2b0ea1b2354c3cb2bdd694291839</t>
        </is>
      </c>
    </row>
    <row r="1155">
      <c r="A1155" t="inlineStr">
        <is>
          <t>附表7</t>
        </is>
      </c>
      <c r="B1155" t="inlineStr">
        <is>
          <t>R33</t>
        </is>
      </c>
      <c r="C1155" t="inlineStr">
        <is>
          <t>'=O33-N(P33)-N(Q33)</t>
        </is>
      </c>
      <c r="D1155" t="inlineStr">
        <is>
          <t>53d14dc233c58c747bedad65c028a3e7cd43e66a63697e1b4cbd372651ec8535</t>
        </is>
      </c>
    </row>
    <row r="1156">
      <c r="A1156" t="inlineStr">
        <is>
          <t>附表7</t>
        </is>
      </c>
      <c r="B1156" t="inlineStr">
        <is>
          <t>B34</t>
        </is>
      </c>
      <c r="C1156" t="inlineStr">
        <is>
          <t>'='附表5'!B26</t>
        </is>
      </c>
      <c r="D1156" t="inlineStr">
        <is>
          <t>3f5556cbd9661fb0ff6e5f17015819e21c09b559aadd7aa1984ec3f90711d41b</t>
        </is>
      </c>
    </row>
    <row r="1157">
      <c r="A1157" t="inlineStr">
        <is>
          <t>附表7</t>
        </is>
      </c>
      <c r="B1157" t="inlineStr">
        <is>
          <t>C34</t>
        </is>
      </c>
      <c r="C1157" t="inlineStr">
        <is>
          <t>'='附表6'!F26</t>
        </is>
      </c>
      <c r="D1157" t="inlineStr">
        <is>
          <t>dac78cffbbffd7a9b5e94389d51bdfb0365d76c8d530022179b3ad212c948eb8</t>
        </is>
      </c>
    </row>
    <row r="1158">
      <c r="A1158" t="inlineStr">
        <is>
          <t>附表7</t>
        </is>
      </c>
      <c r="B1158" t="inlineStr">
        <is>
          <t>D34</t>
        </is>
      </c>
      <c r="C1158" t="inlineStr">
        <is>
          <t>'='附表5'!E26</t>
        </is>
      </c>
      <c r="D1158" t="inlineStr">
        <is>
          <t>d27e2e2af8ee6e0c829e88583e052c2e48be598e8e99e72fbe52936c7fe45db7</t>
        </is>
      </c>
    </row>
    <row r="1159">
      <c r="A1159" t="inlineStr">
        <is>
          <t>附表7</t>
        </is>
      </c>
      <c r="B1159" t="inlineStr">
        <is>
          <t>E34</t>
        </is>
      </c>
      <c r="C1159" t="inlineStr">
        <is>
          <t>'=B34-C34-D34</t>
        </is>
      </c>
      <c r="D1159" t="inlineStr">
        <is>
          <t>052e1ea5e98de273f13fcf0007368d058ff677e8fd7c7ece4493c93f333031bd</t>
        </is>
      </c>
    </row>
    <row r="1160">
      <c r="A1160" t="inlineStr">
        <is>
          <t>附表7</t>
        </is>
      </c>
      <c r="B1160" t="inlineStr">
        <is>
          <t>F34</t>
        </is>
      </c>
      <c r="C1160" t="inlineStr">
        <is>
          <t>'=E34+'附表6'!E26</t>
        </is>
      </c>
      <c r="D1160" t="inlineStr">
        <is>
          <t>3b30e98fb40f3174ed24c00fb16ca069643c5ca9a85705eaf14432bf0d470b0a</t>
        </is>
      </c>
    </row>
    <row r="1161">
      <c r="A1161" t="inlineStr">
        <is>
          <t>附表7</t>
        </is>
      </c>
      <c r="B1161" t="inlineStr">
        <is>
          <t>G34</t>
        </is>
      </c>
      <c r="C1161" t="inlineStr">
        <is>
          <t>'=F34+'附表6'!C26+'附表6'!D26</t>
        </is>
      </c>
      <c r="D1161" t="inlineStr">
        <is>
          <t>0b45d96d2defcf6f8b6d3cb4deb558e3529f41eaed8307fe5e7765e8f1c1ad72</t>
        </is>
      </c>
    </row>
    <row r="1162">
      <c r="A1162" t="inlineStr">
        <is>
          <t>附表7</t>
        </is>
      </c>
      <c r="B1162" t="inlineStr">
        <is>
          <t>I34</t>
        </is>
      </c>
      <c r="C1162" t="inlineStr">
        <is>
          <t>'=MAX(E34-H34,0)</t>
        </is>
      </c>
      <c r="D1162" t="inlineStr">
        <is>
          <t>56dbf9c3bd922408bfcaae5b1ba53982eef7147af7030a8d17d094a7039626b8</t>
        </is>
      </c>
    </row>
    <row r="1163">
      <c r="A1163" t="inlineStr">
        <is>
          <t>附表7</t>
        </is>
      </c>
      <c r="B1163" t="inlineStr">
        <is>
          <t>K34</t>
        </is>
      </c>
      <c r="C1163" t="inlineStr">
        <is>
          <t>'=E34-J34</t>
        </is>
      </c>
      <c r="D1163" t="inlineStr">
        <is>
          <t>653e202ec9068df31fb4c0bfa4e01f5ea8589d96e2a5ddcbd8a207f26519a580</t>
        </is>
      </c>
    </row>
    <row r="1164">
      <c r="A1164" t="inlineStr">
        <is>
          <t>附表7</t>
        </is>
      </c>
      <c r="B1164" t="inlineStr">
        <is>
          <t>L34</t>
        </is>
      </c>
      <c r="C1164" t="inlineStr">
        <is>
          <t>'=R33</t>
        </is>
      </c>
      <c r="D1164" t="inlineStr">
        <is>
          <t>cf37204da487bcc611413f992b651f78a90be024defb07f6b9a21c64cf407f6f</t>
        </is>
      </c>
    </row>
    <row r="1165">
      <c r="A1165" t="inlineStr">
        <is>
          <t>附表7</t>
        </is>
      </c>
      <c r="B1165" t="inlineStr">
        <is>
          <t>M34</t>
        </is>
      </c>
      <c r="C1165" t="inlineStr">
        <is>
          <t>'=L34+K34</t>
        </is>
      </c>
      <c r="D1165" t="inlineStr">
        <is>
          <t>f0ae653e6c5ce63998645efc4bde89cb9f37935ec5bb728df9bd8f82b1459d00</t>
        </is>
      </c>
    </row>
    <row r="1166">
      <c r="A1166" t="inlineStr">
        <is>
          <t>附表7</t>
        </is>
      </c>
      <c r="B1166" t="inlineStr">
        <is>
          <t>N34</t>
        </is>
      </c>
      <c r="C1166" t="inlineStr">
        <is>
          <t>'=MAX(K34,0)*10%</t>
        </is>
      </c>
      <c r="D1166" t="inlineStr">
        <is>
          <t>d04e263a21f80589603329b5606481c7c78688e48c6de4f5633d9959370dafc4</t>
        </is>
      </c>
    </row>
    <row r="1167">
      <c r="A1167" t="inlineStr">
        <is>
          <t>附表7</t>
        </is>
      </c>
      <c r="B1167" t="inlineStr">
        <is>
          <t>O34</t>
        </is>
      </c>
      <c r="C1167" t="inlineStr">
        <is>
          <t>'=M34-N34</t>
        </is>
      </c>
      <c r="D1167" t="inlineStr">
        <is>
          <t>a61e23357252af09b81f36a2cb069d07c6d94aa16b9a36eef4c5efd2b63aa866</t>
        </is>
      </c>
    </row>
    <row r="1168">
      <c r="A1168" t="inlineStr">
        <is>
          <t>附表7</t>
        </is>
      </c>
      <c r="B1168" t="inlineStr">
        <is>
          <t>R34</t>
        </is>
      </c>
      <c r="C1168" t="inlineStr">
        <is>
          <t>'=O34-N(P34)-N(Q34)</t>
        </is>
      </c>
      <c r="D1168" t="inlineStr">
        <is>
          <t>089f1e8427691012a1ea2cf9e221b9dde9b186cd2ecc5d470f9fdd4ceb9b5f15</t>
        </is>
      </c>
    </row>
    <row r="1169">
      <c r="A1169" t="inlineStr">
        <is>
          <t>附表7</t>
        </is>
      </c>
      <c r="B1169" t="inlineStr">
        <is>
          <t>B35</t>
        </is>
      </c>
      <c r="C1169" t="inlineStr">
        <is>
          <t>'='附表5'!B27</t>
        </is>
      </c>
      <c r="D1169" t="inlineStr">
        <is>
          <t>db313749a16dd079f6f107e31b062fdfab24f45cb0e59df1b2f79e6b4183d668</t>
        </is>
      </c>
    </row>
    <row r="1170">
      <c r="A1170" t="inlineStr">
        <is>
          <t>附表7</t>
        </is>
      </c>
      <c r="B1170" t="inlineStr">
        <is>
          <t>C35</t>
        </is>
      </c>
      <c r="C1170" t="inlineStr">
        <is>
          <t>'='附表6'!F27</t>
        </is>
      </c>
      <c r="D1170" t="inlineStr">
        <is>
          <t>cf2ecca602d1b96e1c6e3aeb1caeee2b3fbc250b4acab82f7ab13386467cda63</t>
        </is>
      </c>
    </row>
    <row r="1171">
      <c r="A1171" t="inlineStr">
        <is>
          <t>附表7</t>
        </is>
      </c>
      <c r="B1171" t="inlineStr">
        <is>
          <t>D35</t>
        </is>
      </c>
      <c r="C1171" t="inlineStr">
        <is>
          <t>'='附表5'!E27</t>
        </is>
      </c>
      <c r="D1171" t="inlineStr">
        <is>
          <t>52b1db1054819470ef7af8e55cafb0249b6d2a4bd56b15be470ea137a961e007</t>
        </is>
      </c>
    </row>
    <row r="1172">
      <c r="A1172" t="inlineStr">
        <is>
          <t>附表7</t>
        </is>
      </c>
      <c r="B1172" t="inlineStr">
        <is>
          <t>E35</t>
        </is>
      </c>
      <c r="C1172" t="inlineStr">
        <is>
          <t>'=B35-C35-D35</t>
        </is>
      </c>
      <c r="D1172" t="inlineStr">
        <is>
          <t>e63c04454f2f666a57ed541f820127d71b27a5e3cde179d97bfe2be5ff979bbb</t>
        </is>
      </c>
    </row>
    <row r="1173">
      <c r="A1173" t="inlineStr">
        <is>
          <t>附表7</t>
        </is>
      </c>
      <c r="B1173" t="inlineStr">
        <is>
          <t>F35</t>
        </is>
      </c>
      <c r="C1173" t="inlineStr">
        <is>
          <t>'=E35+'附表6'!E27</t>
        </is>
      </c>
      <c r="D1173" t="inlineStr">
        <is>
          <t>5b09f2471b7dad57f87fe979ee1787e4f64c0f1d339b2cd0aa66b8d169db5864</t>
        </is>
      </c>
    </row>
    <row r="1174">
      <c r="A1174" t="inlineStr">
        <is>
          <t>附表7</t>
        </is>
      </c>
      <c r="B1174" t="inlineStr">
        <is>
          <t>G35</t>
        </is>
      </c>
      <c r="C1174" t="inlineStr">
        <is>
          <t>'=F35+'附表6'!C27+'附表6'!D27</t>
        </is>
      </c>
      <c r="D1174" t="inlineStr">
        <is>
          <t>af1e6405ee0029136656ae94155020979ce1933a3b80d4e59bdb2b05f9efe60a</t>
        </is>
      </c>
    </row>
    <row r="1175">
      <c r="A1175" t="inlineStr">
        <is>
          <t>附表7</t>
        </is>
      </c>
      <c r="B1175" t="inlineStr">
        <is>
          <t>I35</t>
        </is>
      </c>
      <c r="C1175" t="inlineStr">
        <is>
          <t>'=MAX(E35-H35,0)</t>
        </is>
      </c>
      <c r="D1175" t="inlineStr">
        <is>
          <t>815a00a881c4a653a9a3db8c395d09980ba2dbb21d7d05feca8da85d2cf65247</t>
        </is>
      </c>
    </row>
    <row r="1176">
      <c r="A1176" t="inlineStr">
        <is>
          <t>附表7</t>
        </is>
      </c>
      <c r="B1176" t="inlineStr">
        <is>
          <t>K35</t>
        </is>
      </c>
      <c r="C1176" t="inlineStr">
        <is>
          <t>'=E35-J35</t>
        </is>
      </c>
      <c r="D1176" t="inlineStr">
        <is>
          <t>1dbde7f1a6a0e29f93ed222bc4ab0026b02f356aeb2d3ba2da62a928f9d476ef</t>
        </is>
      </c>
    </row>
    <row r="1177">
      <c r="A1177" t="inlineStr">
        <is>
          <t>附表7</t>
        </is>
      </c>
      <c r="B1177" t="inlineStr">
        <is>
          <t>L35</t>
        </is>
      </c>
      <c r="C1177" t="inlineStr">
        <is>
          <t>'=R34</t>
        </is>
      </c>
      <c r="D1177" t="inlineStr">
        <is>
          <t>4c571d6b51810a237de53da9d113c9baef99b6c0515ae4cbca0d0ce5877a5957</t>
        </is>
      </c>
    </row>
    <row r="1178">
      <c r="A1178" t="inlineStr">
        <is>
          <t>附表7</t>
        </is>
      </c>
      <c r="B1178" t="inlineStr">
        <is>
          <t>M35</t>
        </is>
      </c>
      <c r="C1178" t="inlineStr">
        <is>
          <t>'=L35+K35</t>
        </is>
      </c>
      <c r="D1178" t="inlineStr">
        <is>
          <t>989e351d8873ab8e8205ddf6eabc2e065102b2a2f64d98277ab8a52f7d418490</t>
        </is>
      </c>
    </row>
    <row r="1179">
      <c r="A1179" t="inlineStr">
        <is>
          <t>附表7</t>
        </is>
      </c>
      <c r="B1179" t="inlineStr">
        <is>
          <t>N35</t>
        </is>
      </c>
      <c r="C1179" t="inlineStr">
        <is>
          <t>'=MAX(K35,0)*10%</t>
        </is>
      </c>
      <c r="D1179" t="inlineStr">
        <is>
          <t>dfba89c3920e7fd87756d719bd585086a71f5cbf3132a8b9b48f92f265c41e2c</t>
        </is>
      </c>
    </row>
    <row r="1180">
      <c r="A1180" t="inlineStr">
        <is>
          <t>附表7</t>
        </is>
      </c>
      <c r="B1180" t="inlineStr">
        <is>
          <t>O35</t>
        </is>
      </c>
      <c r="C1180" t="inlineStr">
        <is>
          <t>'=M35-N35</t>
        </is>
      </c>
      <c r="D1180" t="inlineStr">
        <is>
          <t>c43f61c5157dd8643e75035eef25b267a870dce88b2b13128f6db68b0c732536</t>
        </is>
      </c>
    </row>
    <row r="1181">
      <c r="A1181" t="inlineStr">
        <is>
          <t>附表7</t>
        </is>
      </c>
      <c r="B1181" t="inlineStr">
        <is>
          <t>R35</t>
        </is>
      </c>
      <c r="C1181" t="inlineStr">
        <is>
          <t>'=O35-N(P35)-N(Q35)</t>
        </is>
      </c>
      <c r="D1181" t="inlineStr">
        <is>
          <t>1d00e9dd67ef0c8e8bc004529ee45d2ed5ed53bb377c1b5bf362cb7756ba34be</t>
        </is>
      </c>
    </row>
    <row r="1182">
      <c r="A1182" t="inlineStr">
        <is>
          <t>附表7</t>
        </is>
      </c>
      <c r="B1182" t="inlineStr">
        <is>
          <t>B36</t>
        </is>
      </c>
      <c r="C1182" t="inlineStr">
        <is>
          <t>'='附表5'!B28</t>
        </is>
      </c>
      <c r="D1182" t="inlineStr">
        <is>
          <t>289c14abaaf1c0edf603f11d4fcf90ed04a490637bb7b4578cc9f0ff237b6fb7</t>
        </is>
      </c>
    </row>
    <row r="1183">
      <c r="A1183" t="inlineStr">
        <is>
          <t>附表7</t>
        </is>
      </c>
      <c r="B1183" t="inlineStr">
        <is>
          <t>C36</t>
        </is>
      </c>
      <c r="C1183" t="inlineStr">
        <is>
          <t>'='附表6'!F28</t>
        </is>
      </c>
      <c r="D1183" t="inlineStr">
        <is>
          <t>32d50e5e94bd1b3b856690ef7c24235fd5af0626f3dde1945bbfee85ff26cdb6</t>
        </is>
      </c>
    </row>
    <row r="1184">
      <c r="A1184" t="inlineStr">
        <is>
          <t>附表7</t>
        </is>
      </c>
      <c r="B1184" t="inlineStr">
        <is>
          <t>D36</t>
        </is>
      </c>
      <c r="C1184" t="inlineStr">
        <is>
          <t>'='附表5'!E28</t>
        </is>
      </c>
      <c r="D1184" t="inlineStr">
        <is>
          <t>41d85c9a3ae3befcfea41bc6d67a5028e5fe2ae62476c78c50834b9322c61cd5</t>
        </is>
      </c>
    </row>
    <row r="1185">
      <c r="A1185" t="inlineStr">
        <is>
          <t>附表7</t>
        </is>
      </c>
      <c r="B1185" t="inlineStr">
        <is>
          <t>E36</t>
        </is>
      </c>
      <c r="C1185" t="inlineStr">
        <is>
          <t>'=B36-C36-D36</t>
        </is>
      </c>
      <c r="D1185" t="inlineStr">
        <is>
          <t>6436ba5f8eaea87a6984071172218f1adc604ae1d157ea33842f7cdff62ee759</t>
        </is>
      </c>
    </row>
    <row r="1186">
      <c r="A1186" t="inlineStr">
        <is>
          <t>附表7</t>
        </is>
      </c>
      <c r="B1186" t="inlineStr">
        <is>
          <t>F36</t>
        </is>
      </c>
      <c r="C1186" t="inlineStr">
        <is>
          <t>'=E36+'附表6'!E28</t>
        </is>
      </c>
      <c r="D1186" t="inlineStr">
        <is>
          <t>1924d056101f2bf7f45529ac01e7e1e911b03e17d22cd86f51ba7d389e658e84</t>
        </is>
      </c>
    </row>
    <row r="1187">
      <c r="A1187" t="inlineStr">
        <is>
          <t>附表7</t>
        </is>
      </c>
      <c r="B1187" t="inlineStr">
        <is>
          <t>G36</t>
        </is>
      </c>
      <c r="C1187" t="inlineStr">
        <is>
          <t>'=F36+'附表6'!C28+'附表6'!D28</t>
        </is>
      </c>
      <c r="D1187" t="inlineStr">
        <is>
          <t>9f6454f466c65148aecced0656c126000a9c39b6374559ca6aa6eb6bf54d08a3</t>
        </is>
      </c>
    </row>
    <row r="1188">
      <c r="A1188" t="inlineStr">
        <is>
          <t>附表7</t>
        </is>
      </c>
      <c r="B1188" t="inlineStr">
        <is>
          <t>I36</t>
        </is>
      </c>
      <c r="C1188" t="inlineStr">
        <is>
          <t>'=MAX(E36-H36,0)</t>
        </is>
      </c>
      <c r="D1188" t="inlineStr">
        <is>
          <t>fa9a98af9a9239f95bfa1f41d944a2d057697e88822c32a388255e71a6a669c3</t>
        </is>
      </c>
    </row>
    <row r="1189">
      <c r="A1189" t="inlineStr">
        <is>
          <t>附表7</t>
        </is>
      </c>
      <c r="B1189" t="inlineStr">
        <is>
          <t>K36</t>
        </is>
      </c>
      <c r="C1189" t="inlineStr">
        <is>
          <t>'=E36-J36</t>
        </is>
      </c>
      <c r="D1189" t="inlineStr">
        <is>
          <t>f5907f5f46ee6dc0113051d635878419a6e520fc06bf4064e452be5b20d773b3</t>
        </is>
      </c>
    </row>
    <row r="1190">
      <c r="A1190" t="inlineStr">
        <is>
          <t>附表7</t>
        </is>
      </c>
      <c r="B1190" t="inlineStr">
        <is>
          <t>L36</t>
        </is>
      </c>
      <c r="C1190" t="inlineStr">
        <is>
          <t>'=R35</t>
        </is>
      </c>
      <c r="D1190" t="inlineStr">
        <is>
          <t>ef2cdbff607eaf8f1708b245b37324cb5df505f3e771743b1b26b64b597a1324</t>
        </is>
      </c>
    </row>
    <row r="1191">
      <c r="A1191" t="inlineStr">
        <is>
          <t>附表7</t>
        </is>
      </c>
      <c r="B1191" t="inlineStr">
        <is>
          <t>M36</t>
        </is>
      </c>
      <c r="C1191" t="inlineStr">
        <is>
          <t>'=L36+K36</t>
        </is>
      </c>
      <c r="D1191" t="inlineStr">
        <is>
          <t>f11ae06cf4b30ba25112f72676504050e2adaf1381dcc54692e0bda7e5f1b92a</t>
        </is>
      </c>
    </row>
    <row r="1192">
      <c r="A1192" t="inlineStr">
        <is>
          <t>附表7</t>
        </is>
      </c>
      <c r="B1192" t="inlineStr">
        <is>
          <t>N36</t>
        </is>
      </c>
      <c r="C1192" t="inlineStr">
        <is>
          <t>'=MAX(K36,0)*10%</t>
        </is>
      </c>
      <c r="D1192" t="inlineStr">
        <is>
          <t>0cc26c72e2f874ab67869cba51c93957c6d7c0ad83a5cd4acad1b8e140f5abf7</t>
        </is>
      </c>
    </row>
    <row r="1193">
      <c r="A1193" t="inlineStr">
        <is>
          <t>附表7</t>
        </is>
      </c>
      <c r="B1193" t="inlineStr">
        <is>
          <t>O36</t>
        </is>
      </c>
      <c r="C1193" t="inlineStr">
        <is>
          <t>'=M36-N36</t>
        </is>
      </c>
      <c r="D1193" t="inlineStr">
        <is>
          <t>080a0bcbc8fc20a26819126510245441c5389d11446a65d46a217669a71cfb80</t>
        </is>
      </c>
    </row>
    <row r="1194">
      <c r="A1194" t="inlineStr">
        <is>
          <t>附表7</t>
        </is>
      </c>
      <c r="B1194" t="inlineStr">
        <is>
          <t>R36</t>
        </is>
      </c>
      <c r="C1194" t="inlineStr">
        <is>
          <t>'=O36-N(P36)-N(Q36)</t>
        </is>
      </c>
      <c r="D1194" t="inlineStr">
        <is>
          <t>679b313307e9708e2cca8f0da9c5ee279a23ad12807e8e49866a2b97d958d1da</t>
        </is>
      </c>
    </row>
    <row r="1195">
      <c r="A1195" t="inlineStr">
        <is>
          <t>附表7</t>
        </is>
      </c>
      <c r="B1195" t="inlineStr">
        <is>
          <t>B37</t>
        </is>
      </c>
      <c r="C1195" t="inlineStr">
        <is>
          <t>'='附表5'!B29</t>
        </is>
      </c>
      <c r="D1195" t="inlineStr">
        <is>
          <t>a22a3747cbbaeff2620c32c8ac89b9198fa7d180755df692c64f8ea1a07cb322</t>
        </is>
      </c>
    </row>
    <row r="1196">
      <c r="A1196" t="inlineStr">
        <is>
          <t>附表7</t>
        </is>
      </c>
      <c r="B1196" t="inlineStr">
        <is>
          <t>C37</t>
        </is>
      </c>
      <c r="C1196" t="inlineStr">
        <is>
          <t>'='附表6'!F29</t>
        </is>
      </c>
      <c r="D1196" t="inlineStr">
        <is>
          <t>f11f4599ad884e5ad2958f7917818a3f50423d37992f9a29e38a893f26af3cf6</t>
        </is>
      </c>
    </row>
    <row r="1197">
      <c r="A1197" t="inlineStr">
        <is>
          <t>附表7</t>
        </is>
      </c>
      <c r="B1197" t="inlineStr">
        <is>
          <t>D37</t>
        </is>
      </c>
      <c r="C1197" t="inlineStr">
        <is>
          <t>'='附表5'!E29</t>
        </is>
      </c>
      <c r="D1197" t="inlineStr">
        <is>
          <t>b3e93364bb337a78683cff176d89ef36bee94b0c53b0cea6feeb1a9a45193dab</t>
        </is>
      </c>
    </row>
    <row r="1198">
      <c r="A1198" t="inlineStr">
        <is>
          <t>附表7</t>
        </is>
      </c>
      <c r="B1198" t="inlineStr">
        <is>
          <t>E37</t>
        </is>
      </c>
      <c r="C1198" t="inlineStr">
        <is>
          <t>'=B37-C37-D37</t>
        </is>
      </c>
      <c r="D1198" t="inlineStr">
        <is>
          <t>274fe9a95d24969eeb192d34fd5e0b4a8c8adc566dec65bf31b48cfe48d88c98</t>
        </is>
      </c>
    </row>
    <row r="1199">
      <c r="A1199" t="inlineStr">
        <is>
          <t>附表7</t>
        </is>
      </c>
      <c r="B1199" t="inlineStr">
        <is>
          <t>F37</t>
        </is>
      </c>
      <c r="C1199" t="inlineStr">
        <is>
          <t>'=E37+'附表6'!E29</t>
        </is>
      </c>
      <c r="D1199" t="inlineStr">
        <is>
          <t>8dcc1b39e61ba6b9748bbfa5d08b077fd99a84397a83fd709b8a464c4f6d75b3</t>
        </is>
      </c>
    </row>
    <row r="1200">
      <c r="A1200" t="inlineStr">
        <is>
          <t>附表7</t>
        </is>
      </c>
      <c r="B1200" t="inlineStr">
        <is>
          <t>G37</t>
        </is>
      </c>
      <c r="C1200" t="inlineStr">
        <is>
          <t>'=F37+'附表6'!C29+'附表6'!D29</t>
        </is>
      </c>
      <c r="D1200" t="inlineStr">
        <is>
          <t>b191405c66fd41d21cebd897eec72bb0562ecad77c96f6784548934303d503e4</t>
        </is>
      </c>
    </row>
    <row r="1201">
      <c r="A1201" t="inlineStr">
        <is>
          <t>附表7</t>
        </is>
      </c>
      <c r="B1201" t="inlineStr">
        <is>
          <t>I37</t>
        </is>
      </c>
      <c r="C1201" t="inlineStr">
        <is>
          <t>'=MAX(E37-H37,0)</t>
        </is>
      </c>
      <c r="D1201" t="inlineStr">
        <is>
          <t>c2057f5c40f0f8c2214cf28f5b60ed8c976ad2767568e5bd3eb865c93d1f065a</t>
        </is>
      </c>
    </row>
    <row r="1202">
      <c r="A1202" t="inlineStr">
        <is>
          <t>附表7</t>
        </is>
      </c>
      <c r="B1202" t="inlineStr">
        <is>
          <t>K37</t>
        </is>
      </c>
      <c r="C1202" t="inlineStr">
        <is>
          <t>'=E37-J37</t>
        </is>
      </c>
      <c r="D1202" t="inlineStr">
        <is>
          <t>c7bd4bd2315e8aeb90900388a1dedfcfe4cd7a11f44e8fd79df2178a5bc2cdbd</t>
        </is>
      </c>
    </row>
    <row r="1203">
      <c r="A1203" t="inlineStr">
        <is>
          <t>附表7</t>
        </is>
      </c>
      <c r="B1203" t="inlineStr">
        <is>
          <t>L37</t>
        </is>
      </c>
      <c r="C1203" t="inlineStr">
        <is>
          <t>'=R36</t>
        </is>
      </c>
      <c r="D1203" t="inlineStr">
        <is>
          <t>1485408c23be70a1ebdaedb487ac91377c835e5b9616bd30f17e3f9ac86da0cd</t>
        </is>
      </c>
    </row>
    <row r="1204">
      <c r="A1204" t="inlineStr">
        <is>
          <t>附表7</t>
        </is>
      </c>
      <c r="B1204" t="inlineStr">
        <is>
          <t>M37</t>
        </is>
      </c>
      <c r="C1204" t="inlineStr">
        <is>
          <t>'=L37+K37</t>
        </is>
      </c>
      <c r="D1204" t="inlineStr">
        <is>
          <t>34768dc50eb0c7d80f12c3207552a03e1cf846ca1b4d20fbbd5d2892e85fe9b8</t>
        </is>
      </c>
    </row>
    <row r="1205">
      <c r="A1205" t="inlineStr">
        <is>
          <t>附表7</t>
        </is>
      </c>
      <c r="B1205" t="inlineStr">
        <is>
          <t>N37</t>
        </is>
      </c>
      <c r="C1205" t="inlineStr">
        <is>
          <t>'=MAX(K37,0)*10%</t>
        </is>
      </c>
      <c r="D1205" t="inlineStr">
        <is>
          <t>2429fdc9de686111e95ed938822a4c15d884f1bad5b00df23af12f6378cae513</t>
        </is>
      </c>
    </row>
    <row r="1206">
      <c r="A1206" t="inlineStr">
        <is>
          <t>附表7</t>
        </is>
      </c>
      <c r="B1206" t="inlineStr">
        <is>
          <t>O37</t>
        </is>
      </c>
      <c r="C1206" t="inlineStr">
        <is>
          <t>'=M37-N37</t>
        </is>
      </c>
      <c r="D1206" t="inlineStr">
        <is>
          <t>2f56394eec65d757e6a4348950763253268c3e62ea2b43e803d6a4a60d4bbe02</t>
        </is>
      </c>
    </row>
    <row r="1207">
      <c r="A1207" t="inlineStr">
        <is>
          <t>附表7</t>
        </is>
      </c>
      <c r="B1207" t="inlineStr">
        <is>
          <t>R37</t>
        </is>
      </c>
      <c r="C1207" t="inlineStr">
        <is>
          <t>'=O37-N(P37)-N(Q37)</t>
        </is>
      </c>
      <c r="D1207" t="inlineStr">
        <is>
          <t>43e0cc7e135130aa4f359e4524ff4a9d59a9b392b8bbdbf094c11acf3506fcf5</t>
        </is>
      </c>
    </row>
    <row r="1208">
      <c r="A1208" t="inlineStr">
        <is>
          <t>附表7</t>
        </is>
      </c>
      <c r="B1208" t="inlineStr">
        <is>
          <t>B38</t>
        </is>
      </c>
      <c r="C1208" t="inlineStr">
        <is>
          <t>'='附表5'!B30</t>
        </is>
      </c>
      <c r="D1208" t="inlineStr">
        <is>
          <t>69a8921c3cdba9ba842d908cc7c5e091b626dab73b3ef12bc4bc7ee0e8c26722</t>
        </is>
      </c>
    </row>
    <row r="1209">
      <c r="A1209" t="inlineStr">
        <is>
          <t>附表7</t>
        </is>
      </c>
      <c r="B1209" t="inlineStr">
        <is>
          <t>C38</t>
        </is>
      </c>
      <c r="C1209" t="inlineStr">
        <is>
          <t>'='附表6'!F30</t>
        </is>
      </c>
      <c r="D1209" t="inlineStr">
        <is>
          <t>814e49e00d739430d52bb81f9714cfaab9aeb278a2cf97372d4133184de034d2</t>
        </is>
      </c>
    </row>
    <row r="1210">
      <c r="A1210" t="inlineStr">
        <is>
          <t>附表7</t>
        </is>
      </c>
      <c r="B1210" t="inlineStr">
        <is>
          <t>D38</t>
        </is>
      </c>
      <c r="C1210" t="inlineStr">
        <is>
          <t>'='附表5'!E30</t>
        </is>
      </c>
      <c r="D1210" t="inlineStr">
        <is>
          <t>ce2dc53ab7542dcdfe42c4c9e11992fe21a4f000ffcd55e8c2cec8ea8209545e</t>
        </is>
      </c>
    </row>
    <row r="1211">
      <c r="A1211" t="inlineStr">
        <is>
          <t>附表7</t>
        </is>
      </c>
      <c r="B1211" t="inlineStr">
        <is>
          <t>E38</t>
        </is>
      </c>
      <c r="C1211" t="inlineStr">
        <is>
          <t>'=B38-C38-D38</t>
        </is>
      </c>
      <c r="D1211" t="inlineStr">
        <is>
          <t>cb126d5feb2cd696690fb32951cd13dc9df180603f477e2b7612dbea25107a82</t>
        </is>
      </c>
    </row>
    <row r="1212">
      <c r="A1212" t="inlineStr">
        <is>
          <t>附表7</t>
        </is>
      </c>
      <c r="B1212" t="inlineStr">
        <is>
          <t>F38</t>
        </is>
      </c>
      <c r="C1212" t="inlineStr">
        <is>
          <t>'=E38+'附表6'!E30</t>
        </is>
      </c>
      <c r="D1212" t="inlineStr">
        <is>
          <t>276870cbedf8d34d596499f9a527e925fa9c7a1d13864082b36faf4769f06fdb</t>
        </is>
      </c>
    </row>
    <row r="1213">
      <c r="A1213" t="inlineStr">
        <is>
          <t>附表7</t>
        </is>
      </c>
      <c r="B1213" t="inlineStr">
        <is>
          <t>G38</t>
        </is>
      </c>
      <c r="C1213" t="inlineStr">
        <is>
          <t>'=F38+'附表6'!C30+'附表6'!D30</t>
        </is>
      </c>
      <c r="D1213" t="inlineStr">
        <is>
          <t>e3217686be0d0b244c1b377760003b9cf903cd3161638d796a4516599ebe2836</t>
        </is>
      </c>
    </row>
    <row r="1214">
      <c r="A1214" t="inlineStr">
        <is>
          <t>附表7</t>
        </is>
      </c>
      <c r="B1214" t="inlineStr">
        <is>
          <t>I38</t>
        </is>
      </c>
      <c r="C1214" t="inlineStr">
        <is>
          <t>'=MAX(E38-H38,0)</t>
        </is>
      </c>
      <c r="D1214" t="inlineStr">
        <is>
          <t>701a1228795fb94708f5f540da86758df4306511b58c9e285a495aabc8df6010</t>
        </is>
      </c>
    </row>
    <row r="1215">
      <c r="A1215" t="inlineStr">
        <is>
          <t>附表7</t>
        </is>
      </c>
      <c r="B1215" t="inlineStr">
        <is>
          <t>K38</t>
        </is>
      </c>
      <c r="C1215" t="inlineStr">
        <is>
          <t>'=E38-J38</t>
        </is>
      </c>
      <c r="D1215" t="inlineStr">
        <is>
          <t>ef93f6e395e8fea2adb3d631ffcee590c3bb1a68b2ddfa40d2fcdcdb76e3fba6</t>
        </is>
      </c>
    </row>
    <row r="1216">
      <c r="A1216" t="inlineStr">
        <is>
          <t>附表7</t>
        </is>
      </c>
      <c r="B1216" t="inlineStr">
        <is>
          <t>L38</t>
        </is>
      </c>
      <c r="C1216" t="inlineStr">
        <is>
          <t>'=R37</t>
        </is>
      </c>
      <c r="D1216" t="inlineStr">
        <is>
          <t>03e3d7f04d38f550b466d8db4c20a756b6972b5ef189ce1fe58bcd9685822f0b</t>
        </is>
      </c>
    </row>
    <row r="1217">
      <c r="A1217" t="inlineStr">
        <is>
          <t>附表7</t>
        </is>
      </c>
      <c r="B1217" t="inlineStr">
        <is>
          <t>M38</t>
        </is>
      </c>
      <c r="C1217" t="inlineStr">
        <is>
          <t>'=L38+K38</t>
        </is>
      </c>
      <c r="D1217" t="inlineStr">
        <is>
          <t>e4443a4dffd345a75000a4390dfc6d1388f2b28793529a675c97851984dca70b</t>
        </is>
      </c>
    </row>
    <row r="1218">
      <c r="A1218" t="inlineStr">
        <is>
          <t>附表7</t>
        </is>
      </c>
      <c r="B1218" t="inlineStr">
        <is>
          <t>N38</t>
        </is>
      </c>
      <c r="C1218" t="inlineStr">
        <is>
          <t>'=MAX(K38,0)*10%</t>
        </is>
      </c>
      <c r="D1218" t="inlineStr">
        <is>
          <t>ced0701da8b66b8c3043bebcac789ac828a81c8d0c05123452bbda2a4f876016</t>
        </is>
      </c>
    </row>
    <row r="1219">
      <c r="A1219" t="inlineStr">
        <is>
          <t>附表7</t>
        </is>
      </c>
      <c r="B1219" t="inlineStr">
        <is>
          <t>O38</t>
        </is>
      </c>
      <c r="C1219" t="inlineStr">
        <is>
          <t>'=M38-N38</t>
        </is>
      </c>
      <c r="D1219" t="inlineStr">
        <is>
          <t>6949cc0b7f5e45f411887a949f86fa83e4fef2ae78f2f4e0667b3de96df9f798</t>
        </is>
      </c>
    </row>
    <row r="1220">
      <c r="A1220" t="inlineStr">
        <is>
          <t>附表7</t>
        </is>
      </c>
      <c r="B1220" t="inlineStr">
        <is>
          <t>R38</t>
        </is>
      </c>
      <c r="C1220" t="inlineStr">
        <is>
          <t>'=O38-N(P38)-N(Q38)</t>
        </is>
      </c>
      <c r="D1220" t="inlineStr">
        <is>
          <t>52e2b163a0f85fd4d69439d26ed97f8deb95d14a11ede4cc5cc804fb1758216c</t>
        </is>
      </c>
    </row>
    <row r="1221">
      <c r="A1221" t="inlineStr">
        <is>
          <t>附表7</t>
        </is>
      </c>
      <c r="B1221" t="inlineStr">
        <is>
          <t>B39</t>
        </is>
      </c>
      <c r="C1221" t="inlineStr">
        <is>
          <t>'='附表5'!B31</t>
        </is>
      </c>
      <c r="D1221" t="inlineStr">
        <is>
          <t>28bcaeb22ec72713a1a6db03a6d073f99e6545a9e907f66e0b83f48e1ad2bdd4</t>
        </is>
      </c>
    </row>
    <row r="1222">
      <c r="A1222" t="inlineStr">
        <is>
          <t>附表7</t>
        </is>
      </c>
      <c r="B1222" t="inlineStr">
        <is>
          <t>C39</t>
        </is>
      </c>
      <c r="C1222" t="inlineStr">
        <is>
          <t>'='附表6'!F31</t>
        </is>
      </c>
      <c r="D1222" t="inlineStr">
        <is>
          <t>bfb39ea2c170643226320a5bcb53f9ece5c4b437808ce9fdd9eb475031f420e4</t>
        </is>
      </c>
    </row>
    <row r="1223">
      <c r="A1223" t="inlineStr">
        <is>
          <t>附表7</t>
        </is>
      </c>
      <c r="B1223" t="inlineStr">
        <is>
          <t>D39</t>
        </is>
      </c>
      <c r="C1223" t="inlineStr">
        <is>
          <t>'='附表5'!E31</t>
        </is>
      </c>
      <c r="D1223" t="inlineStr">
        <is>
          <t>9c805749737b630338687ef50f98f1f44878895f3bf9de0af4798a2ee51f700b</t>
        </is>
      </c>
    </row>
    <row r="1224">
      <c r="A1224" t="inlineStr">
        <is>
          <t>附表7</t>
        </is>
      </c>
      <c r="B1224" t="inlineStr">
        <is>
          <t>E39</t>
        </is>
      </c>
      <c r="C1224" t="inlineStr">
        <is>
          <t>'=B39-C39-D39</t>
        </is>
      </c>
      <c r="D1224" t="inlineStr">
        <is>
          <t>aaaaa942d845a1a729a5b6f9e86adb0090b0580bc764c69d0169b62bf8f61d73</t>
        </is>
      </c>
    </row>
    <row r="1225">
      <c r="A1225" t="inlineStr">
        <is>
          <t>附表7</t>
        </is>
      </c>
      <c r="B1225" t="inlineStr">
        <is>
          <t>F39</t>
        </is>
      </c>
      <c r="C1225" t="inlineStr">
        <is>
          <t>'=E39+'附表6'!E31</t>
        </is>
      </c>
      <c r="D1225" t="inlineStr">
        <is>
          <t>b88970e87740f54bdee87a99536c539fa7692315d08a3ff94527e6a17d23f8d9</t>
        </is>
      </c>
    </row>
    <row r="1226">
      <c r="A1226" t="inlineStr">
        <is>
          <t>附表7</t>
        </is>
      </c>
      <c r="B1226" t="inlineStr">
        <is>
          <t>G39</t>
        </is>
      </c>
      <c r="C1226" t="inlineStr">
        <is>
          <t>'=F39+'附表6'!C31+'附表6'!D31</t>
        </is>
      </c>
      <c r="D1226" t="inlineStr">
        <is>
          <t>dd6d13c1c6a796595cfbeba4290ab6d9d72a0ab3e9a635715269bc356f39138b</t>
        </is>
      </c>
    </row>
    <row r="1227">
      <c r="A1227" t="inlineStr">
        <is>
          <t>附表7</t>
        </is>
      </c>
      <c r="B1227" t="inlineStr">
        <is>
          <t>I39</t>
        </is>
      </c>
      <c r="C1227" t="inlineStr">
        <is>
          <t>'=MAX(E39-H39,0)</t>
        </is>
      </c>
      <c r="D1227" t="inlineStr">
        <is>
          <t>bfce2b75740989f11af3b6293d09fd687280ad79f26c874173a038946eb48b3a</t>
        </is>
      </c>
    </row>
    <row r="1228">
      <c r="A1228" t="inlineStr">
        <is>
          <t>附表7</t>
        </is>
      </c>
      <c r="B1228" t="inlineStr">
        <is>
          <t>K39</t>
        </is>
      </c>
      <c r="C1228" t="inlineStr">
        <is>
          <t>'=E39-J39</t>
        </is>
      </c>
      <c r="D1228" t="inlineStr">
        <is>
          <t>99586098800377fcd58f819c7710a65bc64227f302e53f7373011100bbb6ec79</t>
        </is>
      </c>
    </row>
    <row r="1229">
      <c r="A1229" t="inlineStr">
        <is>
          <t>附表7</t>
        </is>
      </c>
      <c r="B1229" t="inlineStr">
        <is>
          <t>L39</t>
        </is>
      </c>
      <c r="C1229" t="inlineStr">
        <is>
          <t>'=R38</t>
        </is>
      </c>
      <c r="D1229" t="inlineStr">
        <is>
          <t>8426122da89e845716a5c9011d1b4f4a7b29281fb0a07229f515cf1756574629</t>
        </is>
      </c>
    </row>
    <row r="1230">
      <c r="A1230" t="inlineStr">
        <is>
          <t>附表7</t>
        </is>
      </c>
      <c r="B1230" t="inlineStr">
        <is>
          <t>M39</t>
        </is>
      </c>
      <c r="C1230" t="inlineStr">
        <is>
          <t>'=L39+K39</t>
        </is>
      </c>
      <c r="D1230" t="inlineStr">
        <is>
          <t>09b7031c1696e3a4f74956954da4011196332a0f7393bda4e4cd938b0326104a</t>
        </is>
      </c>
    </row>
    <row r="1231">
      <c r="A1231" t="inlineStr">
        <is>
          <t>附表7</t>
        </is>
      </c>
      <c r="B1231" t="inlineStr">
        <is>
          <t>N39</t>
        </is>
      </c>
      <c r="C1231" t="inlineStr">
        <is>
          <t>'=MAX(K39,0)*10%</t>
        </is>
      </c>
      <c r="D1231" t="inlineStr">
        <is>
          <t>a6c7f66fd81e8c38d601e7c3fa47354faa9524492f1016a3213ea1fe91b1c926</t>
        </is>
      </c>
    </row>
    <row r="1232">
      <c r="A1232" t="inlineStr">
        <is>
          <t>附表7</t>
        </is>
      </c>
      <c r="B1232" t="inlineStr">
        <is>
          <t>O39</t>
        </is>
      </c>
      <c r="C1232" t="inlineStr">
        <is>
          <t>'=M39-N39</t>
        </is>
      </c>
      <c r="D1232" t="inlineStr">
        <is>
          <t>14523e18970e88e1d51618b5f0ecdd171a778c2804c34e00c3dcc79ea4e063b1</t>
        </is>
      </c>
    </row>
    <row r="1233">
      <c r="A1233" t="inlineStr">
        <is>
          <t>附表7</t>
        </is>
      </c>
      <c r="B1233" t="inlineStr">
        <is>
          <t>R39</t>
        </is>
      </c>
      <c r="C1233" t="inlineStr">
        <is>
          <t>'=O39-N(P39)-N(Q39)</t>
        </is>
      </c>
      <c r="D1233" t="inlineStr">
        <is>
          <t>57498472b23a3aa45e419aff1fc64ba9d466aaee3045604294ee99f721ffa5ed</t>
        </is>
      </c>
    </row>
    <row r="1234">
      <c r="A1234" t="inlineStr">
        <is>
          <t>附表7</t>
        </is>
      </c>
      <c r="B1234" t="inlineStr">
        <is>
          <t>B40</t>
        </is>
      </c>
      <c r="C1234" t="inlineStr">
        <is>
          <t>'='附表5'!B32</t>
        </is>
      </c>
      <c r="D1234" t="inlineStr">
        <is>
          <t>ac7c8ed5516125053e33495ff6f238e77b4de1e66f5148c42efa02151a6cbdb0</t>
        </is>
      </c>
    </row>
    <row r="1235">
      <c r="A1235" t="inlineStr">
        <is>
          <t>附表7</t>
        </is>
      </c>
      <c r="B1235" t="inlineStr">
        <is>
          <t>C40</t>
        </is>
      </c>
      <c r="C1235" t="inlineStr">
        <is>
          <t>'='附表6'!F32</t>
        </is>
      </c>
      <c r="D1235" t="inlineStr">
        <is>
          <t>312994970824bd9bc1935d3b2786715459500679f78004711a9ee426a7f2f5b3</t>
        </is>
      </c>
    </row>
    <row r="1236">
      <c r="A1236" t="inlineStr">
        <is>
          <t>附表7</t>
        </is>
      </c>
      <c r="B1236" t="inlineStr">
        <is>
          <t>D40</t>
        </is>
      </c>
      <c r="C1236" t="inlineStr">
        <is>
          <t>'='附表5'!E32</t>
        </is>
      </c>
      <c r="D1236" t="inlineStr">
        <is>
          <t>7c81535aa46fcb2c0e16aa07d7712980b6b3e2d21f98d411f100e75a2188b4a6</t>
        </is>
      </c>
    </row>
    <row r="1237">
      <c r="A1237" t="inlineStr">
        <is>
          <t>附表7</t>
        </is>
      </c>
      <c r="B1237" t="inlineStr">
        <is>
          <t>E40</t>
        </is>
      </c>
      <c r="C1237" t="inlineStr">
        <is>
          <t>'=B40-C40-D40</t>
        </is>
      </c>
      <c r="D1237" t="inlineStr">
        <is>
          <t>50525d68b79e20ec969aa0c9deeafc273417c9dde308aae023eff4d8c522e2c3</t>
        </is>
      </c>
    </row>
    <row r="1238">
      <c r="A1238" t="inlineStr">
        <is>
          <t>附表7</t>
        </is>
      </c>
      <c r="B1238" t="inlineStr">
        <is>
          <t>F40</t>
        </is>
      </c>
      <c r="C1238" t="inlineStr">
        <is>
          <t>'=E40+'附表6'!E32</t>
        </is>
      </c>
      <c r="D1238" t="inlineStr">
        <is>
          <t>35e495dea1e1a9183c2eed3f2d845a414068c851018f5597626086bb41471cc1</t>
        </is>
      </c>
    </row>
    <row r="1239">
      <c r="A1239" t="inlineStr">
        <is>
          <t>附表7</t>
        </is>
      </c>
      <c r="B1239" t="inlineStr">
        <is>
          <t>G40</t>
        </is>
      </c>
      <c r="C1239" t="inlineStr">
        <is>
          <t>'=F40+'附表6'!C32+'附表6'!D32</t>
        </is>
      </c>
      <c r="D1239" t="inlineStr">
        <is>
          <t>2bf66f3d112d2803d7536c08244051ea0610bdb584f08bdfb79ff32ad8fb78ef</t>
        </is>
      </c>
    </row>
    <row r="1240">
      <c r="A1240" t="inlineStr">
        <is>
          <t>附表7</t>
        </is>
      </c>
      <c r="B1240" t="inlineStr">
        <is>
          <t>I40</t>
        </is>
      </c>
      <c r="C1240" t="inlineStr">
        <is>
          <t>'=MAX(E40-H40,0)</t>
        </is>
      </c>
      <c r="D1240" t="inlineStr">
        <is>
          <t>fd4e9bea9db44943b641a186c24ed178463b600535c2aa6a52e858d5f45d644e</t>
        </is>
      </c>
    </row>
    <row r="1241">
      <c r="A1241" t="inlineStr">
        <is>
          <t>附表7</t>
        </is>
      </c>
      <c r="B1241" t="inlineStr">
        <is>
          <t>K40</t>
        </is>
      </c>
      <c r="C1241" t="inlineStr">
        <is>
          <t>'=E40-J40</t>
        </is>
      </c>
      <c r="D1241" t="inlineStr">
        <is>
          <t>248f30f0d050cfc1308b2b5fce732bb18f6f359aea7c0a77684239fc0e1e5d37</t>
        </is>
      </c>
    </row>
    <row r="1242">
      <c r="A1242" t="inlineStr">
        <is>
          <t>附表7</t>
        </is>
      </c>
      <c r="B1242" t="inlineStr">
        <is>
          <t>L40</t>
        </is>
      </c>
      <c r="C1242" t="inlineStr">
        <is>
          <t>'=R39</t>
        </is>
      </c>
      <c r="D1242" t="inlineStr">
        <is>
          <t>9f21ac88885f14adf7a9850b066a8b8855c12571ab999240625eede17607634b</t>
        </is>
      </c>
    </row>
    <row r="1243">
      <c r="A1243" t="inlineStr">
        <is>
          <t>附表7</t>
        </is>
      </c>
      <c r="B1243" t="inlineStr">
        <is>
          <t>M40</t>
        </is>
      </c>
      <c r="C1243" t="inlineStr">
        <is>
          <t>'=L40+K40</t>
        </is>
      </c>
      <c r="D1243" t="inlineStr">
        <is>
          <t>f25bee9da9b8307b931bb219af2110bf2641f5c870c53e6ed774b9a32b7c1198</t>
        </is>
      </c>
    </row>
    <row r="1244">
      <c r="A1244" t="inlineStr">
        <is>
          <t>附表7</t>
        </is>
      </c>
      <c r="B1244" t="inlineStr">
        <is>
          <t>N40</t>
        </is>
      </c>
      <c r="C1244" t="inlineStr">
        <is>
          <t>'=MAX(K40,0)*10%</t>
        </is>
      </c>
      <c r="D1244" t="inlineStr">
        <is>
          <t>9672193222aae306e0ce6d8fc8edf50128a2b5aa96e17e69069e4c8d1a06245a</t>
        </is>
      </c>
    </row>
    <row r="1245">
      <c r="A1245" t="inlineStr">
        <is>
          <t>附表7</t>
        </is>
      </c>
      <c r="B1245" t="inlineStr">
        <is>
          <t>O40</t>
        </is>
      </c>
      <c r="C1245" t="inlineStr">
        <is>
          <t>'=M40-N40</t>
        </is>
      </c>
      <c r="D1245" t="inlineStr">
        <is>
          <t>4384ea67579060bc5cbd5932b44e3c31ea98e706dd6cb04d773f967ce441857c</t>
        </is>
      </c>
    </row>
    <row r="1246">
      <c r="A1246" t="inlineStr">
        <is>
          <t>附表7</t>
        </is>
      </c>
      <c r="B1246" t="inlineStr">
        <is>
          <t>R40</t>
        </is>
      </c>
      <c r="C1246" t="inlineStr">
        <is>
          <t>'=O40-N(P40)-N(Q40)</t>
        </is>
      </c>
      <c r="D1246" t="inlineStr">
        <is>
          <t>fce7f4dd543aa8d91fb4b67cf5018044cf40b46edca30c25da59f57ce0b764a5</t>
        </is>
      </c>
    </row>
    <row r="1247">
      <c r="A1247" t="inlineStr">
        <is>
          <t>附表7</t>
        </is>
      </c>
      <c r="B1247" t="inlineStr">
        <is>
          <t>B41</t>
        </is>
      </c>
      <c r="C1247" t="inlineStr">
        <is>
          <t>'='附表5'!B33</t>
        </is>
      </c>
      <c r="D1247" t="inlineStr">
        <is>
          <t>27ffd6eff59a44aa0690410a8a6a94f0b0821b5e7eee0537acccc64a291f268e</t>
        </is>
      </c>
    </row>
    <row r="1248">
      <c r="A1248" t="inlineStr">
        <is>
          <t>附表7</t>
        </is>
      </c>
      <c r="B1248" t="inlineStr">
        <is>
          <t>C41</t>
        </is>
      </c>
      <c r="C1248" t="inlineStr">
        <is>
          <t>'='附表6'!F33</t>
        </is>
      </c>
      <c r="D1248" t="inlineStr">
        <is>
          <t>d54928d0cfe112343a17412b7d4f1d2ae0177d0cc06c1b14dc2b6d9afafe9559</t>
        </is>
      </c>
    </row>
    <row r="1249">
      <c r="A1249" t="inlineStr">
        <is>
          <t>附表7</t>
        </is>
      </c>
      <c r="B1249" t="inlineStr">
        <is>
          <t>D41</t>
        </is>
      </c>
      <c r="C1249" t="inlineStr">
        <is>
          <t>'='附表5'!E33</t>
        </is>
      </c>
      <c r="D1249" t="inlineStr">
        <is>
          <t>80fa838a66313be546e3487495d3297ad55d1584b121e68301ce247860f9e054</t>
        </is>
      </c>
    </row>
    <row r="1250">
      <c r="A1250" t="inlineStr">
        <is>
          <t>附表7</t>
        </is>
      </c>
      <c r="B1250" t="inlineStr">
        <is>
          <t>E41</t>
        </is>
      </c>
      <c r="C1250" t="inlineStr">
        <is>
          <t>'=B41-C41-D41</t>
        </is>
      </c>
      <c r="D1250" t="inlineStr">
        <is>
          <t>9fe7ae986d70bd2271d2eeef9dddf3d23d37e5180ee7e2a7eb850a82b90ae5dd</t>
        </is>
      </c>
    </row>
    <row r="1251">
      <c r="A1251" t="inlineStr">
        <is>
          <t>附表7</t>
        </is>
      </c>
      <c r="B1251" t="inlineStr">
        <is>
          <t>F41</t>
        </is>
      </c>
      <c r="C1251" t="inlineStr">
        <is>
          <t>'=E41+'附表6'!E33</t>
        </is>
      </c>
      <c r="D1251" t="inlineStr">
        <is>
          <t>1228a1ac8f302f9f20934f31919e446ce4e846336653fa6e3e68461f510dee4b</t>
        </is>
      </c>
    </row>
    <row r="1252">
      <c r="A1252" t="inlineStr">
        <is>
          <t>附表7</t>
        </is>
      </c>
      <c r="B1252" t="inlineStr">
        <is>
          <t>G41</t>
        </is>
      </c>
      <c r="C1252" t="inlineStr">
        <is>
          <t>'=F41+'附表6'!C33+'附表6'!D33</t>
        </is>
      </c>
      <c r="D1252" t="inlineStr">
        <is>
          <t>6b5acba1f1a5265f5ce78e84bea6a74742ae609dd76a1dc5d3e89a33474dd81e</t>
        </is>
      </c>
    </row>
    <row r="1253">
      <c r="A1253" t="inlineStr">
        <is>
          <t>附表7</t>
        </is>
      </c>
      <c r="B1253" t="inlineStr">
        <is>
          <t>I41</t>
        </is>
      </c>
      <c r="C1253" t="inlineStr">
        <is>
          <t>'=MAX(E41-H41,0)</t>
        </is>
      </c>
      <c r="D1253" t="inlineStr">
        <is>
          <t>ce1ec846f295a9d3e413b6e0909a39f98e9ed12246f073a8577c28f22403c0dd</t>
        </is>
      </c>
    </row>
    <row r="1254">
      <c r="A1254" t="inlineStr">
        <is>
          <t>附表7</t>
        </is>
      </c>
      <c r="B1254" t="inlineStr">
        <is>
          <t>K41</t>
        </is>
      </c>
      <c r="C1254" t="inlineStr">
        <is>
          <t>'=E41-J41</t>
        </is>
      </c>
      <c r="D1254" t="inlineStr">
        <is>
          <t>a9d9deeab903385b4a5baacfee1bc287aba18819c2e7b58274d08f8056d22823</t>
        </is>
      </c>
    </row>
    <row r="1255">
      <c r="A1255" t="inlineStr">
        <is>
          <t>附表7</t>
        </is>
      </c>
      <c r="B1255" t="inlineStr">
        <is>
          <t>L41</t>
        </is>
      </c>
      <c r="C1255" t="inlineStr">
        <is>
          <t>'=R40</t>
        </is>
      </c>
      <c r="D1255" t="inlineStr">
        <is>
          <t>d3148e0a694d9e1091b0c98574bd07bbcbeb29529e993758118536de72507cbf</t>
        </is>
      </c>
    </row>
    <row r="1256">
      <c r="A1256" t="inlineStr">
        <is>
          <t>附表7</t>
        </is>
      </c>
      <c r="B1256" t="inlineStr">
        <is>
          <t>M41</t>
        </is>
      </c>
      <c r="C1256" t="inlineStr">
        <is>
          <t>'=L41+K41</t>
        </is>
      </c>
      <c r="D1256" t="inlineStr">
        <is>
          <t>00083447c45f416a34aac66cef8d6a33c3ad5b1d0a59c645751e237d52c685e5</t>
        </is>
      </c>
    </row>
    <row r="1257">
      <c r="A1257" t="inlineStr">
        <is>
          <t>附表7</t>
        </is>
      </c>
      <c r="B1257" t="inlineStr">
        <is>
          <t>N41</t>
        </is>
      </c>
      <c r="C1257" t="inlineStr">
        <is>
          <t>'=MAX(K41,0)*10%</t>
        </is>
      </c>
      <c r="D1257" t="inlineStr">
        <is>
          <t>a3a6db1331cda365336c06cd1414e9b85c5aeadf0f0224a036fcb6d86b51ca4a</t>
        </is>
      </c>
    </row>
    <row r="1258">
      <c r="A1258" t="inlineStr">
        <is>
          <t>附表7</t>
        </is>
      </c>
      <c r="B1258" t="inlineStr">
        <is>
          <t>O41</t>
        </is>
      </c>
      <c r="C1258" t="inlineStr">
        <is>
          <t>'=M41-N41</t>
        </is>
      </c>
      <c r="D1258" t="inlineStr">
        <is>
          <t>50dd67ea5fc3e5b2d3aacf7dd28fa54e904c40678e4614c5414af7f878c2054f</t>
        </is>
      </c>
    </row>
    <row r="1259">
      <c r="A1259" t="inlineStr">
        <is>
          <t>附表7</t>
        </is>
      </c>
      <c r="B1259" t="inlineStr">
        <is>
          <t>R41</t>
        </is>
      </c>
      <c r="C1259" t="inlineStr">
        <is>
          <t>'=O41-N(P41)-N(Q41)</t>
        </is>
      </c>
      <c r="D1259" t="inlineStr">
        <is>
          <t>c7bf1fae3706278335b25b9f7da0104254aa3f5592ed7032cdd91525898f1458</t>
        </is>
      </c>
    </row>
    <row r="1260">
      <c r="A1260" t="inlineStr">
        <is>
          <t>附表7</t>
        </is>
      </c>
      <c r="B1260" t="inlineStr">
        <is>
          <t>B42</t>
        </is>
      </c>
      <c r="C1260" t="inlineStr">
        <is>
          <t>'='附表5'!B34</t>
        </is>
      </c>
      <c r="D1260" t="inlineStr">
        <is>
          <t>9c435fa55a2efa76ebcfe61574210b23c1a348a982db05fa56e95815bbdd41db</t>
        </is>
      </c>
    </row>
    <row r="1261">
      <c r="A1261" t="inlineStr">
        <is>
          <t>附表7</t>
        </is>
      </c>
      <c r="B1261" t="inlineStr">
        <is>
          <t>C42</t>
        </is>
      </c>
      <c r="C1261" t="inlineStr">
        <is>
          <t>'='附表6'!F34</t>
        </is>
      </c>
      <c r="D1261" t="inlineStr">
        <is>
          <t>0101d9af668802a57074e81df6d3a68644db09183c74463ae14aeb41a9d5bedd</t>
        </is>
      </c>
    </row>
    <row r="1262">
      <c r="A1262" t="inlineStr">
        <is>
          <t>附表7</t>
        </is>
      </c>
      <c r="B1262" t="inlineStr">
        <is>
          <t>D42</t>
        </is>
      </c>
      <c r="C1262" t="inlineStr">
        <is>
          <t>'='附表5'!E34</t>
        </is>
      </c>
      <c r="D1262" t="inlineStr">
        <is>
          <t>30b7d4c8c93c6d4b08e901aebe29c9132b1d94705f1012ff4b31a5d20f686bae</t>
        </is>
      </c>
    </row>
    <row r="1263">
      <c r="A1263" t="inlineStr">
        <is>
          <t>附表7</t>
        </is>
      </c>
      <c r="B1263" t="inlineStr">
        <is>
          <t>E42</t>
        </is>
      </c>
      <c r="C1263" t="inlineStr">
        <is>
          <t>'=B42-C42-D42</t>
        </is>
      </c>
      <c r="D1263" t="inlineStr">
        <is>
          <t>380d5e37b6a8d61e386dd962671985c41e0e3937d1ac3fa6b48545e5b0eb95da</t>
        </is>
      </c>
    </row>
    <row r="1264">
      <c r="A1264" t="inlineStr">
        <is>
          <t>附表7</t>
        </is>
      </c>
      <c r="B1264" t="inlineStr">
        <is>
          <t>F42</t>
        </is>
      </c>
      <c r="C1264" t="inlineStr">
        <is>
          <t>'=E42+'附表6'!E34</t>
        </is>
      </c>
      <c r="D1264" t="inlineStr">
        <is>
          <t>1d1f5d30cd1b28277f35e013118f003af083f73bbf3422056841cef70865abf5</t>
        </is>
      </c>
    </row>
    <row r="1265">
      <c r="A1265" t="inlineStr">
        <is>
          <t>附表7</t>
        </is>
      </c>
      <c r="B1265" t="inlineStr">
        <is>
          <t>G42</t>
        </is>
      </c>
      <c r="C1265" t="inlineStr">
        <is>
          <t>'=F42+'附表6'!C34+'附表6'!D34</t>
        </is>
      </c>
      <c r="D1265" t="inlineStr">
        <is>
          <t>9c28c6ccc6ce0d0169d4869cb79e994dbfdd4c8459ad7d7d5459157db833280d</t>
        </is>
      </c>
    </row>
    <row r="1266">
      <c r="A1266" t="inlineStr">
        <is>
          <t>附表7</t>
        </is>
      </c>
      <c r="B1266" t="inlineStr">
        <is>
          <t>I42</t>
        </is>
      </c>
      <c r="C1266" t="inlineStr">
        <is>
          <t>'=MAX(E42-H42,0)</t>
        </is>
      </c>
      <c r="D1266" t="inlineStr">
        <is>
          <t>6ee3fdd8594ae400a25d8b3f9ea769e2b6b0d9a7ee34bf77ee98bd4292d81037</t>
        </is>
      </c>
    </row>
    <row r="1267">
      <c r="A1267" t="inlineStr">
        <is>
          <t>附表7</t>
        </is>
      </c>
      <c r="B1267" t="inlineStr">
        <is>
          <t>K42</t>
        </is>
      </c>
      <c r="C1267" t="inlineStr">
        <is>
          <t>'=E42-J42</t>
        </is>
      </c>
      <c r="D1267" t="inlineStr">
        <is>
          <t>645fae1d9df44c4e17778ed6cb598168182694b8c56af830a2636303214c512d</t>
        </is>
      </c>
    </row>
    <row r="1268">
      <c r="A1268" t="inlineStr">
        <is>
          <t>附表7</t>
        </is>
      </c>
      <c r="B1268" t="inlineStr">
        <is>
          <t>L42</t>
        </is>
      </c>
      <c r="C1268" t="inlineStr">
        <is>
          <t>'=R41</t>
        </is>
      </c>
      <c r="D1268" t="inlineStr">
        <is>
          <t>4708c86ae4942835c0ac0cf60bfa85517355f2923dc77028fe48449884ffade8</t>
        </is>
      </c>
    </row>
    <row r="1269">
      <c r="A1269" t="inlineStr">
        <is>
          <t>附表7</t>
        </is>
      </c>
      <c r="B1269" t="inlineStr">
        <is>
          <t>M42</t>
        </is>
      </c>
      <c r="C1269" t="inlineStr">
        <is>
          <t>'=L42+K42</t>
        </is>
      </c>
      <c r="D1269" t="inlineStr">
        <is>
          <t>f56d191a7c948ca9b2a14fb5857965b3081b6e37a98285775e97897cec427b37</t>
        </is>
      </c>
    </row>
    <row r="1270">
      <c r="A1270" t="inlineStr">
        <is>
          <t>附表7</t>
        </is>
      </c>
      <c r="B1270" t="inlineStr">
        <is>
          <t>N42</t>
        </is>
      </c>
      <c r="C1270" t="inlineStr">
        <is>
          <t>'=MAX(K42,0)*10%</t>
        </is>
      </c>
      <c r="D1270" t="inlineStr">
        <is>
          <t>3fd8aa5d7c054aeb036751541eb24e889bcd4aa01645f4d0e489cfaf2219ba05</t>
        </is>
      </c>
    </row>
    <row r="1271">
      <c r="A1271" t="inlineStr">
        <is>
          <t>附表7</t>
        </is>
      </c>
      <c r="B1271" t="inlineStr">
        <is>
          <t>O42</t>
        </is>
      </c>
      <c r="C1271" t="inlineStr">
        <is>
          <t>'=M42-N42</t>
        </is>
      </c>
      <c r="D1271" t="inlineStr">
        <is>
          <t>baef994650eea5ef210feb81d3f80c6eea3fa723dcbedb0cf0161673266a9d61</t>
        </is>
      </c>
    </row>
    <row r="1272">
      <c r="A1272" t="inlineStr">
        <is>
          <t>附表7</t>
        </is>
      </c>
      <c r="B1272" t="inlineStr">
        <is>
          <t>R42</t>
        </is>
      </c>
      <c r="C1272" t="inlineStr">
        <is>
          <t>'=O42-N(P42)-N(Q42)</t>
        </is>
      </c>
      <c r="D1272" t="inlineStr">
        <is>
          <t>b889ada5c855f8ea9e2ffd38341bca6d5365f7c986115f06c4af7546f942bd71</t>
        </is>
      </c>
    </row>
    <row r="1273">
      <c r="A1273" t="inlineStr">
        <is>
          <t>附表7</t>
        </is>
      </c>
      <c r="B1273" t="inlineStr">
        <is>
          <t>B43</t>
        </is>
      </c>
      <c r="C1273" t="inlineStr">
        <is>
          <t>'='附表5'!B35</t>
        </is>
      </c>
      <c r="D1273" t="inlineStr">
        <is>
          <t>12dcb6ece86ea65443c9a26526e4e344bc15d836b8c2e20b9368d039f4f4a50f</t>
        </is>
      </c>
    </row>
    <row r="1274">
      <c r="A1274" t="inlineStr">
        <is>
          <t>附表7</t>
        </is>
      </c>
      <c r="B1274" t="inlineStr">
        <is>
          <t>C43</t>
        </is>
      </c>
      <c r="C1274" t="inlineStr">
        <is>
          <t>'='附表6'!F35</t>
        </is>
      </c>
      <c r="D1274" t="inlineStr">
        <is>
          <t>c3dcd281f08c7d478791a09c392363ea58fffca3f068648d5fd528ad0b81aabf</t>
        </is>
      </c>
    </row>
    <row r="1275">
      <c r="A1275" t="inlineStr">
        <is>
          <t>附表7</t>
        </is>
      </c>
      <c r="B1275" t="inlineStr">
        <is>
          <t>D43</t>
        </is>
      </c>
      <c r="C1275" t="inlineStr">
        <is>
          <t>'='附表5'!E35</t>
        </is>
      </c>
      <c r="D1275" t="inlineStr">
        <is>
          <t>c268afcfa79db41868e08978a65283806a8ae44ef20845db4636a84a7296139b</t>
        </is>
      </c>
    </row>
    <row r="1276">
      <c r="A1276" t="inlineStr">
        <is>
          <t>附表7</t>
        </is>
      </c>
      <c r="B1276" t="inlineStr">
        <is>
          <t>E43</t>
        </is>
      </c>
      <c r="C1276" t="inlineStr">
        <is>
          <t>'=B43-C43-D43</t>
        </is>
      </c>
      <c r="D1276" t="inlineStr">
        <is>
          <t>d1acec59995b4e6d2d4a503bf7fac8115d3c8df0890123559be9f7213ffd7c47</t>
        </is>
      </c>
    </row>
    <row r="1277">
      <c r="A1277" t="inlineStr">
        <is>
          <t>附表7</t>
        </is>
      </c>
      <c r="B1277" t="inlineStr">
        <is>
          <t>F43</t>
        </is>
      </c>
      <c r="C1277" t="inlineStr">
        <is>
          <t>'=E43+'附表6'!E35</t>
        </is>
      </c>
      <c r="D1277" t="inlineStr">
        <is>
          <t>d69fcb0131810ade478385d9fc63303d2403220bdd483d232c80d87397244761</t>
        </is>
      </c>
    </row>
    <row r="1278">
      <c r="A1278" t="inlineStr">
        <is>
          <t>附表7</t>
        </is>
      </c>
      <c r="B1278" t="inlineStr">
        <is>
          <t>G43</t>
        </is>
      </c>
      <c r="C1278" t="inlineStr">
        <is>
          <t>'=F43+'附表6'!C35+'附表6'!D35</t>
        </is>
      </c>
      <c r="D1278" t="inlineStr">
        <is>
          <t>957998842acc0a4394dc6bc1fc1cefb9bc72dadd6d957a5355201bf480c61b76</t>
        </is>
      </c>
    </row>
    <row r="1279">
      <c r="A1279" t="inlineStr">
        <is>
          <t>附表7</t>
        </is>
      </c>
      <c r="B1279" t="inlineStr">
        <is>
          <t>I43</t>
        </is>
      </c>
      <c r="C1279" t="inlineStr">
        <is>
          <t>'=MAX(E43-H43,0)</t>
        </is>
      </c>
      <c r="D1279" t="inlineStr">
        <is>
          <t>8ac1fd1d8a1137ffccf07e9edff233d3f66ab96c19b74de3e2cd94506976374b</t>
        </is>
      </c>
    </row>
    <row r="1280">
      <c r="A1280" t="inlineStr">
        <is>
          <t>附表7</t>
        </is>
      </c>
      <c r="B1280" t="inlineStr">
        <is>
          <t>K43</t>
        </is>
      </c>
      <c r="C1280" t="inlineStr">
        <is>
          <t>'=E43-J43</t>
        </is>
      </c>
      <c r="D1280" t="inlineStr">
        <is>
          <t>a99bc4d479e624f35170451f3422810aef1ebbdb42b5d53e4dbcdaa43f594abb</t>
        </is>
      </c>
    </row>
    <row r="1281">
      <c r="A1281" t="inlineStr">
        <is>
          <t>附表7</t>
        </is>
      </c>
      <c r="B1281" t="inlineStr">
        <is>
          <t>L43</t>
        </is>
      </c>
      <c r="C1281" t="inlineStr">
        <is>
          <t>'=R42</t>
        </is>
      </c>
      <c r="D1281" t="inlineStr">
        <is>
          <t>c75c829b3f8b1c8686b1c17031181d7344c8a79df65cd41f98e2406a3ddbe921</t>
        </is>
      </c>
    </row>
    <row r="1282">
      <c r="A1282" t="inlineStr">
        <is>
          <t>附表7</t>
        </is>
      </c>
      <c r="B1282" t="inlineStr">
        <is>
          <t>M43</t>
        </is>
      </c>
      <c r="C1282" t="inlineStr">
        <is>
          <t>'=L43+K43</t>
        </is>
      </c>
      <c r="D1282" t="inlineStr">
        <is>
          <t>532a68623cf17f8bc94a145c1f5bfce63b94cd369f83069afeb56920a252cb36</t>
        </is>
      </c>
    </row>
    <row r="1283">
      <c r="A1283" t="inlineStr">
        <is>
          <t>附表7</t>
        </is>
      </c>
      <c r="B1283" t="inlineStr">
        <is>
          <t>N43</t>
        </is>
      </c>
      <c r="C1283" t="inlineStr">
        <is>
          <t>'=MAX(K43,0)*10%</t>
        </is>
      </c>
      <c r="D1283" t="inlineStr">
        <is>
          <t>1a6028fa4f8de041753336cc16d9bc9fafa84538482a5648ed4cec5915d352dd</t>
        </is>
      </c>
    </row>
    <row r="1284">
      <c r="A1284" t="inlineStr">
        <is>
          <t>附表7</t>
        </is>
      </c>
      <c r="B1284" t="inlineStr">
        <is>
          <t>O43</t>
        </is>
      </c>
      <c r="C1284" t="inlineStr">
        <is>
          <t>'=M43-N43</t>
        </is>
      </c>
      <c r="D1284" t="inlineStr">
        <is>
          <t>5bf8ef4f73c4b1a76c9a6427a3ef1f6d1416be9cc7ff6f663d844330ce1c5324</t>
        </is>
      </c>
    </row>
    <row r="1285">
      <c r="A1285" t="inlineStr">
        <is>
          <t>附表7</t>
        </is>
      </c>
      <c r="B1285" t="inlineStr">
        <is>
          <t>R43</t>
        </is>
      </c>
      <c r="C1285" t="inlineStr">
        <is>
          <t>'=O43-N(P43)-N(Q43)</t>
        </is>
      </c>
      <c r="D1285" t="inlineStr">
        <is>
          <t>09a055ee6f2b60ad8421f9dc8c930823af041be75fa952ceb1b8e4d2a86ff38d</t>
        </is>
      </c>
    </row>
    <row r="1286">
      <c r="A1286" t="inlineStr">
        <is>
          <t>附表7</t>
        </is>
      </c>
      <c r="B1286" t="inlineStr">
        <is>
          <t>B44</t>
        </is>
      </c>
      <c r="C1286" t="inlineStr">
        <is>
          <t>'='附表5'!B36</t>
        </is>
      </c>
      <c r="D1286" t="inlineStr">
        <is>
          <t>b61dee8083bb490177e9d45856f26a1ebbab9567710627ea98b013e689cf110f</t>
        </is>
      </c>
    </row>
    <row r="1287">
      <c r="A1287" t="inlineStr">
        <is>
          <t>附表7</t>
        </is>
      </c>
      <c r="B1287" t="inlineStr">
        <is>
          <t>C44</t>
        </is>
      </c>
      <c r="C1287" t="inlineStr">
        <is>
          <t>'='附表6'!F36</t>
        </is>
      </c>
      <c r="D1287" t="inlineStr">
        <is>
          <t>164907ecb20092c5ff01a1fa7315bcfc503840d0f04fc893ecf9a32d70389782</t>
        </is>
      </c>
    </row>
    <row r="1288">
      <c r="A1288" t="inlineStr">
        <is>
          <t>附表7</t>
        </is>
      </c>
      <c r="B1288" t="inlineStr">
        <is>
          <t>D44</t>
        </is>
      </c>
      <c r="C1288" t="inlineStr">
        <is>
          <t>'='附表5'!E36</t>
        </is>
      </c>
      <c r="D1288" t="inlineStr">
        <is>
          <t>c3fd789eaae249ffe49896fc3fe3413b1864891bf8410425a5f72fb257a806fa</t>
        </is>
      </c>
    </row>
    <row r="1289">
      <c r="A1289" t="inlineStr">
        <is>
          <t>附表7</t>
        </is>
      </c>
      <c r="B1289" t="inlineStr">
        <is>
          <t>E44</t>
        </is>
      </c>
      <c r="C1289" t="inlineStr">
        <is>
          <t>'=B44-C44-D44</t>
        </is>
      </c>
      <c r="D1289" t="inlineStr">
        <is>
          <t>858646462317d4d59068dfc04a6dd71510e8bef69d2f3a36e3bf2207fae2682b</t>
        </is>
      </c>
    </row>
    <row r="1290">
      <c r="A1290" t="inlineStr">
        <is>
          <t>附表7</t>
        </is>
      </c>
      <c r="B1290" t="inlineStr">
        <is>
          <t>F44</t>
        </is>
      </c>
      <c r="C1290" t="inlineStr">
        <is>
          <t>'=E44+'附表6'!E36</t>
        </is>
      </c>
      <c r="D1290" t="inlineStr">
        <is>
          <t>211b2ac6fff762b044aab598e30ce95679e5f71a85fc9289b9c200efae4ae196</t>
        </is>
      </c>
    </row>
    <row r="1291">
      <c r="A1291" t="inlineStr">
        <is>
          <t>附表7</t>
        </is>
      </c>
      <c r="B1291" t="inlineStr">
        <is>
          <t>G44</t>
        </is>
      </c>
      <c r="C1291" t="inlineStr">
        <is>
          <t>'=F44+'附表6'!C36+'附表6'!D36</t>
        </is>
      </c>
      <c r="D1291" t="inlineStr">
        <is>
          <t>e20507e4982db6d7a0e853283ae2a3726ac04a603cfe5216d1d8170c1c6f2c88</t>
        </is>
      </c>
    </row>
    <row r="1292">
      <c r="A1292" t="inlineStr">
        <is>
          <t>附表7</t>
        </is>
      </c>
      <c r="B1292" t="inlineStr">
        <is>
          <t>I44</t>
        </is>
      </c>
      <c r="C1292" t="inlineStr">
        <is>
          <t>'=MAX(E44-H44,0)</t>
        </is>
      </c>
      <c r="D1292" t="inlineStr">
        <is>
          <t>4248ba9f16b25b9ddc3d13b3febfbdad5fff14f693a56a182547bf027f6578e6</t>
        </is>
      </c>
    </row>
    <row r="1293">
      <c r="A1293" t="inlineStr">
        <is>
          <t>附表7</t>
        </is>
      </c>
      <c r="B1293" t="inlineStr">
        <is>
          <t>K44</t>
        </is>
      </c>
      <c r="C1293" t="inlineStr">
        <is>
          <t>'=E44-J44</t>
        </is>
      </c>
      <c r="D1293" t="inlineStr">
        <is>
          <t>2f58498d5e6c9397c36a962af8e3774b78530156e81d9b647d446b301bf71acf</t>
        </is>
      </c>
    </row>
    <row r="1294">
      <c r="A1294" t="inlineStr">
        <is>
          <t>附表7</t>
        </is>
      </c>
      <c r="B1294" t="inlineStr">
        <is>
          <t>L44</t>
        </is>
      </c>
      <c r="C1294" t="inlineStr">
        <is>
          <t>'=R43</t>
        </is>
      </c>
      <c r="D1294" t="inlineStr">
        <is>
          <t>4627a11972a902d48d41e83bcc4cb85599b5b8abfe73ebe2b94f6d64927d4ca9</t>
        </is>
      </c>
    </row>
    <row r="1295">
      <c r="A1295" t="inlineStr">
        <is>
          <t>附表7</t>
        </is>
      </c>
      <c r="B1295" t="inlineStr">
        <is>
          <t>M44</t>
        </is>
      </c>
      <c r="C1295" t="inlineStr">
        <is>
          <t>'=L44+K44</t>
        </is>
      </c>
      <c r="D1295" t="inlineStr">
        <is>
          <t>c332c6c3512d23d3f67be0860f1e35d0dc7db9c9d7e8664b0a96ca2149255724</t>
        </is>
      </c>
    </row>
    <row r="1296">
      <c r="A1296" t="inlineStr">
        <is>
          <t>附表7</t>
        </is>
      </c>
      <c r="B1296" t="inlineStr">
        <is>
          <t>N44</t>
        </is>
      </c>
      <c r="C1296" t="inlineStr">
        <is>
          <t>'=MAX(K44,0)*10%</t>
        </is>
      </c>
      <c r="D1296" t="inlineStr">
        <is>
          <t>2fe9368b7bfe60200367446f75911de958aae646ad3541322300dd7a614f4eef</t>
        </is>
      </c>
    </row>
    <row r="1297">
      <c r="A1297" t="inlineStr">
        <is>
          <t>附表7</t>
        </is>
      </c>
      <c r="B1297" t="inlineStr">
        <is>
          <t>O44</t>
        </is>
      </c>
      <c r="C1297" t="inlineStr">
        <is>
          <t>'=M44-N44</t>
        </is>
      </c>
      <c r="D1297" t="inlineStr">
        <is>
          <t>263429fcffce923267e5031af5ff63f861b661bd31a73f371b206c507a320013</t>
        </is>
      </c>
    </row>
    <row r="1298">
      <c r="A1298" t="inlineStr">
        <is>
          <t>附表7</t>
        </is>
      </c>
      <c r="B1298" t="inlineStr">
        <is>
          <t>R44</t>
        </is>
      </c>
      <c r="C1298" t="inlineStr">
        <is>
          <t>'=O44-N(P44)-N(Q44)</t>
        </is>
      </c>
      <c r="D1298" t="inlineStr">
        <is>
          <t>aaebaa6130e716e5daf2b45407c8b3e88f3983e0b8228f2fcac3e92c6600300a</t>
        </is>
      </c>
    </row>
    <row r="1299">
      <c r="A1299" t="inlineStr">
        <is>
          <t>附表7</t>
        </is>
      </c>
      <c r="B1299" t="inlineStr">
        <is>
          <t>B45</t>
        </is>
      </c>
      <c r="C1299" t="inlineStr">
        <is>
          <t>'='附表5'!B37</t>
        </is>
      </c>
      <c r="D1299" t="inlineStr">
        <is>
          <t>9e852cff9548afcc23e3969143f17719c4c0d034ddecdee5f02963fea2025b2f</t>
        </is>
      </c>
    </row>
    <row r="1300">
      <c r="A1300" t="inlineStr">
        <is>
          <t>附表7</t>
        </is>
      </c>
      <c r="B1300" t="inlineStr">
        <is>
          <t>C45</t>
        </is>
      </c>
      <c r="C1300" t="inlineStr">
        <is>
          <t>'='附表6'!F37</t>
        </is>
      </c>
      <c r="D1300" t="inlineStr">
        <is>
          <t>0541a3df97b3d6ac621f7f25656a62f416c32a8d1b5300ad24a4c6105da527fd</t>
        </is>
      </c>
    </row>
    <row r="1301">
      <c r="A1301" t="inlineStr">
        <is>
          <t>附表7</t>
        </is>
      </c>
      <c r="B1301" t="inlineStr">
        <is>
          <t>D45</t>
        </is>
      </c>
      <c r="C1301" t="inlineStr">
        <is>
          <t>'='附表5'!E37</t>
        </is>
      </c>
      <c r="D1301" t="inlineStr">
        <is>
          <t>a3aa07c899f418f873866bbbb8c93f7bdc6f3bca8000463e6db29ca0e7f620bc</t>
        </is>
      </c>
    </row>
    <row r="1302">
      <c r="A1302" t="inlineStr">
        <is>
          <t>附表7</t>
        </is>
      </c>
      <c r="B1302" t="inlineStr">
        <is>
          <t>E45</t>
        </is>
      </c>
      <c r="C1302" t="inlineStr">
        <is>
          <t>'=B45-C45-D45</t>
        </is>
      </c>
      <c r="D1302" t="inlineStr">
        <is>
          <t>f5c054124edf4d412f479fef8e0266f66a8de905499363a4a3fe6d0c9d4f5809</t>
        </is>
      </c>
    </row>
    <row r="1303">
      <c r="A1303" t="inlineStr">
        <is>
          <t>附表7</t>
        </is>
      </c>
      <c r="B1303" t="inlineStr">
        <is>
          <t>F45</t>
        </is>
      </c>
      <c r="C1303" t="inlineStr">
        <is>
          <t>'=E45+'附表6'!E37</t>
        </is>
      </c>
      <c r="D1303" t="inlineStr">
        <is>
          <t>f5cabf52b03d1058da2b4e6149d09f4be84aa1233cd6c67e6e25641e8aa408eb</t>
        </is>
      </c>
    </row>
    <row r="1304">
      <c r="A1304" t="inlineStr">
        <is>
          <t>附表7</t>
        </is>
      </c>
      <c r="B1304" t="inlineStr">
        <is>
          <t>G45</t>
        </is>
      </c>
      <c r="C1304" t="inlineStr">
        <is>
          <t>'=F45+'附表6'!C37+'附表6'!D37</t>
        </is>
      </c>
      <c r="D1304" t="inlineStr">
        <is>
          <t>6816e4ef48f4fe8da2f89b25717b587c0e912f97d0a777a48d2839b801881aae</t>
        </is>
      </c>
    </row>
    <row r="1305">
      <c r="A1305" t="inlineStr">
        <is>
          <t>附表7</t>
        </is>
      </c>
      <c r="B1305" t="inlineStr">
        <is>
          <t>I45</t>
        </is>
      </c>
      <c r="C1305" t="inlineStr">
        <is>
          <t>'=MAX(E45-H45,0)</t>
        </is>
      </c>
      <c r="D1305" t="inlineStr">
        <is>
          <t>97c36a4a047797a109578d76a9379f3084da6e65701be740e281b9338af9ba7b</t>
        </is>
      </c>
    </row>
    <row r="1306">
      <c r="A1306" t="inlineStr">
        <is>
          <t>附表7</t>
        </is>
      </c>
      <c r="B1306" t="inlineStr">
        <is>
          <t>K45</t>
        </is>
      </c>
      <c r="C1306" t="inlineStr">
        <is>
          <t>'=E45-J45</t>
        </is>
      </c>
      <c r="D1306" t="inlineStr">
        <is>
          <t>5e3513d003728498516c1fb7eb5ccb70ba27c541d13ec9b2fe3f2d51c539de87</t>
        </is>
      </c>
    </row>
    <row r="1307">
      <c r="A1307" t="inlineStr">
        <is>
          <t>附表7</t>
        </is>
      </c>
      <c r="B1307" t="inlineStr">
        <is>
          <t>L45</t>
        </is>
      </c>
      <c r="C1307" t="inlineStr">
        <is>
          <t>'=R44</t>
        </is>
      </c>
      <c r="D1307" t="inlineStr">
        <is>
          <t>8ea32156dd57ce62734dd6baa9390c4ec0b821b8aeadb42122d8fc57457a22e8</t>
        </is>
      </c>
    </row>
    <row r="1308">
      <c r="A1308" t="inlineStr">
        <is>
          <t>附表7</t>
        </is>
      </c>
      <c r="B1308" t="inlineStr">
        <is>
          <t>M45</t>
        </is>
      </c>
      <c r="C1308" t="inlineStr">
        <is>
          <t>'=L45+K45</t>
        </is>
      </c>
      <c r="D1308" t="inlineStr">
        <is>
          <t>75a84a1aa9daa007bad599ff4891f76f5c7e32f1c215de02e7360bc222dab112</t>
        </is>
      </c>
    </row>
    <row r="1309">
      <c r="A1309" t="inlineStr">
        <is>
          <t>附表7</t>
        </is>
      </c>
      <c r="B1309" t="inlineStr">
        <is>
          <t>N45</t>
        </is>
      </c>
      <c r="C1309" t="inlineStr">
        <is>
          <t>'=MAX(K45,0)*10%</t>
        </is>
      </c>
      <c r="D1309" t="inlineStr">
        <is>
          <t>d04b7b73d7af647a44d401b0b479d7cf71c0c1b2056c98445179983ecff6c58c</t>
        </is>
      </c>
    </row>
    <row r="1310">
      <c r="A1310" t="inlineStr">
        <is>
          <t>附表7</t>
        </is>
      </c>
      <c r="B1310" t="inlineStr">
        <is>
          <t>O45</t>
        </is>
      </c>
      <c r="C1310" t="inlineStr">
        <is>
          <t>'=M45-N45</t>
        </is>
      </c>
      <c r="D1310" t="inlineStr">
        <is>
          <t>42b8585f94f3e15bcaa8a4bc679eea15e368cc11f2fb1f3f1882dd7bc3a67722</t>
        </is>
      </c>
    </row>
    <row r="1311">
      <c r="A1311" t="inlineStr">
        <is>
          <t>附表7</t>
        </is>
      </c>
      <c r="B1311" t="inlineStr">
        <is>
          <t>R45</t>
        </is>
      </c>
      <c r="C1311" t="inlineStr">
        <is>
          <t>'=O45-N(P45)-N(Q45)</t>
        </is>
      </c>
      <c r="D1311" t="inlineStr">
        <is>
          <t>1c0f1bee068d2a49f2d99f289c8494551d5e73ead730b1ca46595ccad1998c7f</t>
        </is>
      </c>
    </row>
    <row r="1312">
      <c r="A1312" t="inlineStr">
        <is>
          <t>附表7</t>
        </is>
      </c>
      <c r="B1312" t="inlineStr">
        <is>
          <t>B46</t>
        </is>
      </c>
      <c r="C1312" t="inlineStr">
        <is>
          <t>'='附表5'!B38</t>
        </is>
      </c>
      <c r="D1312" t="inlineStr">
        <is>
          <t>f0c684c3009c4eef1747b132505edb6d28ef2961fe52422a10ef1fed61caa84c</t>
        </is>
      </c>
    </row>
    <row r="1313">
      <c r="A1313" t="inlineStr">
        <is>
          <t>附表7</t>
        </is>
      </c>
      <c r="B1313" t="inlineStr">
        <is>
          <t>C46</t>
        </is>
      </c>
      <c r="C1313" t="inlineStr">
        <is>
          <t>'='附表6'!F38</t>
        </is>
      </c>
      <c r="D1313" t="inlineStr">
        <is>
          <t>d470716bef3b729a148d133e6a7733b01147e7d122ce910981fc72a2b2442592</t>
        </is>
      </c>
    </row>
    <row r="1314">
      <c r="A1314" t="inlineStr">
        <is>
          <t>附表7</t>
        </is>
      </c>
      <c r="B1314" t="inlineStr">
        <is>
          <t>D46</t>
        </is>
      </c>
      <c r="C1314" t="inlineStr">
        <is>
          <t>'='附表5'!E38</t>
        </is>
      </c>
      <c r="D1314" t="inlineStr">
        <is>
          <t>a8b7a8ebfa1da50d48246d72ddf0a7642f41b159fbbe64fca4d867bc105bf241</t>
        </is>
      </c>
    </row>
    <row r="1315">
      <c r="A1315" t="inlineStr">
        <is>
          <t>附表7</t>
        </is>
      </c>
      <c r="B1315" t="inlineStr">
        <is>
          <t>E46</t>
        </is>
      </c>
      <c r="C1315" t="inlineStr">
        <is>
          <t>'=B46-C46-D46</t>
        </is>
      </c>
      <c r="D1315" t="inlineStr">
        <is>
          <t>7672d409cfc7236ea9551516166761356aa1825d5796cb576f09b383d05741f2</t>
        </is>
      </c>
    </row>
    <row r="1316">
      <c r="A1316" t="inlineStr">
        <is>
          <t>附表7</t>
        </is>
      </c>
      <c r="B1316" t="inlineStr">
        <is>
          <t>F46</t>
        </is>
      </c>
      <c r="C1316" t="inlineStr">
        <is>
          <t>'=E46+'附表6'!E38</t>
        </is>
      </c>
      <c r="D1316" t="inlineStr">
        <is>
          <t>61edd962fe18289e52062757d46949a81511d7bd6e35e5f01e8733be9972ea84</t>
        </is>
      </c>
    </row>
    <row r="1317">
      <c r="A1317" t="inlineStr">
        <is>
          <t>附表7</t>
        </is>
      </c>
      <c r="B1317" t="inlineStr">
        <is>
          <t>G46</t>
        </is>
      </c>
      <c r="C1317" t="inlineStr">
        <is>
          <t>'=F46+'附表6'!C38+'附表6'!D38</t>
        </is>
      </c>
      <c r="D1317" t="inlineStr">
        <is>
          <t>f5d2928acb34fc924fb6e0f4f3167a9196b89af98eeedf3bf31bfdc17fd9f47f</t>
        </is>
      </c>
    </row>
    <row r="1318">
      <c r="A1318" t="inlineStr">
        <is>
          <t>附表7</t>
        </is>
      </c>
      <c r="B1318" t="inlineStr">
        <is>
          <t>I46</t>
        </is>
      </c>
      <c r="C1318" t="inlineStr">
        <is>
          <t>'=MAX(E46-H46,0)</t>
        </is>
      </c>
      <c r="D1318" t="inlineStr">
        <is>
          <t>499798e644705f1404af6dfa424f49364cdbc91bc188d7c57e1a70c58a800624</t>
        </is>
      </c>
    </row>
    <row r="1319">
      <c r="A1319" t="inlineStr">
        <is>
          <t>附表7</t>
        </is>
      </c>
      <c r="B1319" t="inlineStr">
        <is>
          <t>K46</t>
        </is>
      </c>
      <c r="C1319" t="inlineStr">
        <is>
          <t>'=E46-J46</t>
        </is>
      </c>
      <c r="D1319" t="inlineStr">
        <is>
          <t>9b19e7a01449007c60ddbaadfb193e57b0f91ba98e76fab7b1cbfbcde08d8f6c</t>
        </is>
      </c>
    </row>
    <row r="1320">
      <c r="A1320" t="inlineStr">
        <is>
          <t>附表7</t>
        </is>
      </c>
      <c r="B1320" t="inlineStr">
        <is>
          <t>L46</t>
        </is>
      </c>
      <c r="C1320" t="inlineStr">
        <is>
          <t>'=R45</t>
        </is>
      </c>
      <c r="D1320" t="inlineStr">
        <is>
          <t>1ead8c37837174e3e7e66906f38d743ef6743fe8ba6dc8bfc21e1f366dbe7277</t>
        </is>
      </c>
    </row>
    <row r="1321">
      <c r="A1321" t="inlineStr">
        <is>
          <t>附表7</t>
        </is>
      </c>
      <c r="B1321" t="inlineStr">
        <is>
          <t>M46</t>
        </is>
      </c>
      <c r="C1321" t="inlineStr">
        <is>
          <t>'=L46+K46</t>
        </is>
      </c>
      <c r="D1321" t="inlineStr">
        <is>
          <t>cee25b27792b5c278a890f48364963b9016f846d90589cc2aafb3c620fcf92a3</t>
        </is>
      </c>
    </row>
    <row r="1322">
      <c r="A1322" t="inlineStr">
        <is>
          <t>附表7</t>
        </is>
      </c>
      <c r="B1322" t="inlineStr">
        <is>
          <t>N46</t>
        </is>
      </c>
      <c r="C1322" t="inlineStr">
        <is>
          <t>'=MAX(K46,0)*10%</t>
        </is>
      </c>
      <c r="D1322" t="inlineStr">
        <is>
          <t>8db4d8d3852bfa0cdf8fd288b7fc2614b24df46e236f28568190c0be1860275d</t>
        </is>
      </c>
    </row>
    <row r="1323">
      <c r="A1323" t="inlineStr">
        <is>
          <t>附表7</t>
        </is>
      </c>
      <c r="B1323" t="inlineStr">
        <is>
          <t>O46</t>
        </is>
      </c>
      <c r="C1323" t="inlineStr">
        <is>
          <t>'=M46-N46</t>
        </is>
      </c>
      <c r="D1323" t="inlineStr">
        <is>
          <t>27b4524bc713b0a4e2fb413dfc45df35dd68816f6f66c1728ae987a65fb3e3aa</t>
        </is>
      </c>
    </row>
    <row r="1324">
      <c r="A1324" t="inlineStr">
        <is>
          <t>附表7</t>
        </is>
      </c>
      <c r="B1324" t="inlineStr">
        <is>
          <t>R46</t>
        </is>
      </c>
      <c r="C1324" t="inlineStr">
        <is>
          <t>'=O46-N(P46)-N(Q46)</t>
        </is>
      </c>
      <c r="D1324" t="inlineStr">
        <is>
          <t>19a76222caa5cb22ff199b240fa516b6a8704c7154f8b154350d4614ee57685c</t>
        </is>
      </c>
    </row>
    <row r="1325">
      <c r="A1325" t="inlineStr">
        <is>
          <t>附表7</t>
        </is>
      </c>
      <c r="B1325" t="inlineStr">
        <is>
          <t>B47</t>
        </is>
      </c>
      <c r="C1325" t="inlineStr">
        <is>
          <t>'='附表5'!B39</t>
        </is>
      </c>
      <c r="D1325" t="inlineStr">
        <is>
          <t>d37572eb2008ca9700623753d2e0b91fa9c8d91c5e6f7ca5c61a8386008c1622</t>
        </is>
      </c>
    </row>
    <row r="1326">
      <c r="A1326" t="inlineStr">
        <is>
          <t>附表7</t>
        </is>
      </c>
      <c r="B1326" t="inlineStr">
        <is>
          <t>C47</t>
        </is>
      </c>
      <c r="C1326" t="inlineStr">
        <is>
          <t>'='附表6'!F39</t>
        </is>
      </c>
      <c r="D1326" t="inlineStr">
        <is>
          <t>5f85dce08b934bcaf54990fcb9c809ccfd56be0ccb1d5deaed69b43e9afa85a3</t>
        </is>
      </c>
    </row>
    <row r="1327">
      <c r="A1327" t="inlineStr">
        <is>
          <t>附表7</t>
        </is>
      </c>
      <c r="B1327" t="inlineStr">
        <is>
          <t>D47</t>
        </is>
      </c>
      <c r="C1327" t="inlineStr">
        <is>
          <t>'='附表5'!E39</t>
        </is>
      </c>
      <c r="D1327" t="inlineStr">
        <is>
          <t>69dc6485122c5d2a165d7dacb09eef7f71cdd864206bb7d0d2e33c5b3fb92863</t>
        </is>
      </c>
    </row>
    <row r="1328">
      <c r="A1328" t="inlineStr">
        <is>
          <t>附表7</t>
        </is>
      </c>
      <c r="B1328" t="inlineStr">
        <is>
          <t>E47</t>
        </is>
      </c>
      <c r="C1328" t="inlineStr">
        <is>
          <t>'=B47-C47-D47</t>
        </is>
      </c>
      <c r="D1328" t="inlineStr">
        <is>
          <t>25a31a4e1a7b5522905aecfdacf6b59cc82c873eecbe029e0ceb133be4171fa3</t>
        </is>
      </c>
    </row>
    <row r="1329">
      <c r="A1329" t="inlineStr">
        <is>
          <t>附表7</t>
        </is>
      </c>
      <c r="B1329" t="inlineStr">
        <is>
          <t>F47</t>
        </is>
      </c>
      <c r="C1329" t="inlineStr">
        <is>
          <t>'=E47+'附表6'!E39</t>
        </is>
      </c>
      <c r="D1329" t="inlineStr">
        <is>
          <t>1e1318e94430abb7a934e03c366164475236930ff152524d7d03a3770e1e9d2d</t>
        </is>
      </c>
    </row>
    <row r="1330">
      <c r="A1330" t="inlineStr">
        <is>
          <t>附表7</t>
        </is>
      </c>
      <c r="B1330" t="inlineStr">
        <is>
          <t>G47</t>
        </is>
      </c>
      <c r="C1330" t="inlineStr">
        <is>
          <t>'=F47+'附表6'!C39+'附表6'!D39</t>
        </is>
      </c>
      <c r="D1330" t="inlineStr">
        <is>
          <t>30fb9d128462a19d22395302c8d6a992822a45d95d21ea1a8a670d4e42b49dd8</t>
        </is>
      </c>
    </row>
    <row r="1331">
      <c r="A1331" t="inlineStr">
        <is>
          <t>附表7</t>
        </is>
      </c>
      <c r="B1331" t="inlineStr">
        <is>
          <t>I47</t>
        </is>
      </c>
      <c r="C1331" t="inlineStr">
        <is>
          <t>'=MAX(E47-H47,0)</t>
        </is>
      </c>
      <c r="D1331" t="inlineStr">
        <is>
          <t>faade4b24be24f1575d4a32f1c33d4568a9b22789dc108daae6315692923ad58</t>
        </is>
      </c>
    </row>
    <row r="1332">
      <c r="A1332" t="inlineStr">
        <is>
          <t>附表7</t>
        </is>
      </c>
      <c r="B1332" t="inlineStr">
        <is>
          <t>K47</t>
        </is>
      </c>
      <c r="C1332" t="inlineStr">
        <is>
          <t>'=E47-J47</t>
        </is>
      </c>
      <c r="D1332" t="inlineStr">
        <is>
          <t>464f9d9cbf723026bd42d475e8e0e4f6247ea4961c22312aeef519155f4a35d4</t>
        </is>
      </c>
    </row>
    <row r="1333">
      <c r="A1333" t="inlineStr">
        <is>
          <t>附表7</t>
        </is>
      </c>
      <c r="B1333" t="inlineStr">
        <is>
          <t>L47</t>
        </is>
      </c>
      <c r="C1333" t="inlineStr">
        <is>
          <t>'=R46</t>
        </is>
      </c>
      <c r="D1333" t="inlineStr">
        <is>
          <t>a40bf7bfb5bcd5d74931a062402a448558c99f186652542a9b0a10afb4924aef</t>
        </is>
      </c>
    </row>
    <row r="1334">
      <c r="A1334" t="inlineStr">
        <is>
          <t>附表7</t>
        </is>
      </c>
      <c r="B1334" t="inlineStr">
        <is>
          <t>M47</t>
        </is>
      </c>
      <c r="C1334" t="inlineStr">
        <is>
          <t>'=L47+K47</t>
        </is>
      </c>
      <c r="D1334" t="inlineStr">
        <is>
          <t>640aec084da01bea866b3e838a170539dd20916f98802633e02fe366a9b7f69e</t>
        </is>
      </c>
    </row>
    <row r="1335">
      <c r="A1335" t="inlineStr">
        <is>
          <t>附表7</t>
        </is>
      </c>
      <c r="B1335" t="inlineStr">
        <is>
          <t>N47</t>
        </is>
      </c>
      <c r="C1335" t="inlineStr">
        <is>
          <t>'=MAX(K47,0)*10%</t>
        </is>
      </c>
      <c r="D1335" t="inlineStr">
        <is>
          <t>9008ca4c00d971a04152e68b1949a3b6a65759cd0cf42b12b66ac8d54420ce6d</t>
        </is>
      </c>
    </row>
    <row r="1336">
      <c r="A1336" t="inlineStr">
        <is>
          <t>附表7</t>
        </is>
      </c>
      <c r="B1336" t="inlineStr">
        <is>
          <t>O47</t>
        </is>
      </c>
      <c r="C1336" t="inlineStr">
        <is>
          <t>'=M47-N47</t>
        </is>
      </c>
      <c r="D1336" t="inlineStr">
        <is>
          <t>bf729da9440022c58566dfdf3364ecc46cb8b2362d43d819c9d1ad458c58e72e</t>
        </is>
      </c>
    </row>
    <row r="1337">
      <c r="A1337" t="inlineStr">
        <is>
          <t>附表7</t>
        </is>
      </c>
      <c r="B1337" t="inlineStr">
        <is>
          <t>R47</t>
        </is>
      </c>
      <c r="C1337" t="inlineStr">
        <is>
          <t>'=O47-N(P47)-N(Q47)</t>
        </is>
      </c>
      <c r="D1337" t="inlineStr">
        <is>
          <t>1561260eb48ef2895724a4129d48fe42bd24d598f33a1dc0f465817cef464abb</t>
        </is>
      </c>
    </row>
    <row r="1338">
      <c r="A1338" t="inlineStr">
        <is>
          <t>附表7</t>
        </is>
      </c>
      <c r="B1338" t="inlineStr">
        <is>
          <t>B49</t>
        </is>
      </c>
      <c r="C1338" t="inlineStr">
        <is>
          <t>'='附表5'!A16</t>
        </is>
      </c>
      <c r="D1338" t="inlineStr">
        <is>
          <t>9e86d3f6dc5eef08931a266e3af2300dab7e04c81b34c405975043cc7b67e9fc</t>
        </is>
      </c>
    </row>
    <row r="1339">
      <c r="A1339" t="inlineStr">
        <is>
          <t>附表7</t>
        </is>
      </c>
      <c r="B1339" t="inlineStr">
        <is>
          <t>B50</t>
        </is>
      </c>
      <c r="C1339" t="inlineStr">
        <is>
          <t>'='附表6'!A16</t>
        </is>
      </c>
      <c r="D1339" t="inlineStr">
        <is>
          <t>e9224cbc17779d2d0759671efd869586f98efc1a61ce19a04a9aac1d75372c12</t>
        </is>
      </c>
    </row>
    <row r="1340">
      <c r="A1340" t="inlineStr">
        <is>
          <t>附表7</t>
        </is>
      </c>
      <c r="B1340" t="inlineStr">
        <is>
          <t>B51</t>
        </is>
      </c>
      <c r="C1340" t="inlineStr">
        <is>
          <t>'='附表6-2'!A8</t>
        </is>
      </c>
      <c r="D1340" t="inlineStr">
        <is>
          <t>8f152fa170dc255184f4fc88ab5e55746015528984a700084027d0f536f1b704</t>
        </is>
      </c>
    </row>
    <row r="1341">
      <c r="A1341" t="inlineStr">
        <is>
          <t>附表7</t>
        </is>
      </c>
      <c r="B1341" t="inlineStr">
        <is>
          <t>B52</t>
        </is>
      </c>
      <c r="C1341" t="inlineStr">
        <is>
          <t>'='附表6-3'!A8</t>
        </is>
      </c>
      <c r="D1341" t="inlineStr">
        <is>
          <t>7022020bff39c368f22de5c4a85eb288e3621ddf6f5472098ea710b2e15acf7f</t>
        </is>
      </c>
    </row>
    <row r="1342">
      <c r="A1342" t="inlineStr">
        <is>
          <t>附表8</t>
        </is>
      </c>
      <c r="B1342" t="inlineStr">
        <is>
          <t>C4</t>
        </is>
      </c>
      <c r="C1342" t="inlineStr">
        <is>
          <t>'=AA4</t>
        </is>
      </c>
      <c r="D1342" t="inlineStr">
        <is>
          <t>bce994fadd7cc986eb30c2fa5bda41533a8b5cd890ae9b860e27c0c57252376c</t>
        </is>
      </c>
    </row>
    <row r="1343">
      <c r="A1343" t="inlineStr">
        <is>
          <t>附表8</t>
        </is>
      </c>
      <c r="B1343" t="inlineStr">
        <is>
          <t>D4</t>
        </is>
      </c>
      <c r="C1343" t="inlineStr">
        <is>
          <t>'=B24</t>
        </is>
      </c>
      <c r="D1343" t="inlineStr">
        <is>
          <t>730ae340688638a1a27e70cd6c0feac2f8dfddd026da6b70f7a92767282ac1a7</t>
        </is>
      </c>
    </row>
    <row r="1344">
      <c r="A1344" t="inlineStr">
        <is>
          <t>附表8</t>
        </is>
      </c>
      <c r="B1344" t="inlineStr">
        <is>
          <t>E4</t>
        </is>
      </c>
      <c r="C1344" t="inlineStr">
        <is>
          <t>'=B25</t>
        </is>
      </c>
      <c r="D1344" t="inlineStr">
        <is>
          <t>c21ed6eaeeaff854fbfc0606c99b43d86641bfc3849e8a054136c1cac2d287f9</t>
        </is>
      </c>
    </row>
    <row r="1345">
      <c r="A1345" t="inlineStr">
        <is>
          <t>附表8</t>
        </is>
      </c>
      <c r="B1345" t="inlineStr">
        <is>
          <t>F4</t>
        </is>
      </c>
      <c r="C1345" t="inlineStr">
        <is>
          <t>'=B26</t>
        </is>
      </c>
      <c r="D1345" t="inlineStr">
        <is>
          <t>4decc89728bfcc1c2aa9917cc46d876371a0ea32aaf679167d722770a80bc615</t>
        </is>
      </c>
    </row>
    <row r="1346">
      <c r="A1346" t="inlineStr">
        <is>
          <t>附表8</t>
        </is>
      </c>
      <c r="B1346" t="inlineStr">
        <is>
          <t>G4</t>
        </is>
      </c>
      <c r="C1346" t="inlineStr">
        <is>
          <t>'=B27</t>
        </is>
      </c>
      <c r="D1346" t="inlineStr">
        <is>
          <t>35edf781c8cfa2cfa5acda1a912d588d3cc55565144e9c1be4d5d8e1231d8c14</t>
        </is>
      </c>
    </row>
    <row r="1347">
      <c r="A1347" t="inlineStr">
        <is>
          <t>附表8</t>
        </is>
      </c>
      <c r="B1347" t="inlineStr">
        <is>
          <t>H4</t>
        </is>
      </c>
      <c r="C1347" t="inlineStr">
        <is>
          <t>'=B28</t>
        </is>
      </c>
      <c r="D1347" t="inlineStr">
        <is>
          <t>8213bbad3ef16d77a645a6d4b8f67525a2d9d7686c52bf681588f0708915cd16</t>
        </is>
      </c>
    </row>
    <row r="1348">
      <c r="A1348" t="inlineStr">
        <is>
          <t>附表8</t>
        </is>
      </c>
      <c r="B1348" t="inlineStr">
        <is>
          <t>I4</t>
        </is>
      </c>
      <c r="C1348" t="inlineStr">
        <is>
          <t>'=B29</t>
        </is>
      </c>
      <c r="D1348" t="inlineStr">
        <is>
          <t>18a599c3727733e7da2c2ce7ef2bfcd7db41fbe9b2440bf38d8a966076790399</t>
        </is>
      </c>
    </row>
    <row r="1349">
      <c r="A1349" t="inlineStr">
        <is>
          <t>附表8</t>
        </is>
      </c>
      <c r="B1349" t="inlineStr">
        <is>
          <t>J4</t>
        </is>
      </c>
      <c r="C1349" t="inlineStr">
        <is>
          <t>'=B30</t>
        </is>
      </c>
      <c r="D1349" t="inlineStr">
        <is>
          <t>7d60414b56386b27d6ca510adb8e9b97c26c7028a90da9ead19ee06dc4718ec3</t>
        </is>
      </c>
    </row>
    <row r="1350">
      <c r="A1350" t="inlineStr">
        <is>
          <t>附表8</t>
        </is>
      </c>
      <c r="B1350" t="inlineStr">
        <is>
          <t>K4</t>
        </is>
      </c>
      <c r="C1350" t="inlineStr">
        <is>
          <t>'=B31</t>
        </is>
      </c>
      <c r="D1350" t="inlineStr">
        <is>
          <t>abccdd472cd69b2c7da65d1710eec828869b6e65bd053ebc6edd9a0ccd6fd8ae</t>
        </is>
      </c>
    </row>
    <row r="1351">
      <c r="A1351" t="inlineStr">
        <is>
          <t>附表8</t>
        </is>
      </c>
      <c r="B1351" t="inlineStr">
        <is>
          <t>L4</t>
        </is>
      </c>
      <c r="C1351" t="inlineStr">
        <is>
          <t>'=B32</t>
        </is>
      </c>
      <c r="D1351" t="inlineStr">
        <is>
          <t>3077aa330b73350bcce41e9dadebfd0fcb7b7c5b85503121270d7b0d96d17f93</t>
        </is>
      </c>
    </row>
    <row r="1352">
      <c r="A1352" t="inlineStr">
        <is>
          <t>附表8</t>
        </is>
      </c>
      <c r="B1352" t="inlineStr">
        <is>
          <t>M4</t>
        </is>
      </c>
      <c r="C1352" t="inlineStr">
        <is>
          <t>'=B33</t>
        </is>
      </c>
      <c r="D1352" t="inlineStr">
        <is>
          <t>c1ba1c9812a1b4b9224eb3ded96378cd1be4d6dd4b8113c5a63fdefd419de1a5</t>
        </is>
      </c>
    </row>
    <row r="1353">
      <c r="A1353" t="inlineStr">
        <is>
          <t>附表8</t>
        </is>
      </c>
      <c r="B1353" t="inlineStr">
        <is>
          <t>N4</t>
        </is>
      </c>
      <c r="C1353" t="inlineStr">
        <is>
          <t>'=B34</t>
        </is>
      </c>
      <c r="D1353" t="inlineStr">
        <is>
          <t>59c2543dbd59c4cb098c37ec6ba4ff0573708c937fb318b3fc2efebf1e849171</t>
        </is>
      </c>
    </row>
    <row r="1354">
      <c r="A1354" t="inlineStr">
        <is>
          <t>附表8</t>
        </is>
      </c>
      <c r="B1354" t="inlineStr">
        <is>
          <t>O4</t>
        </is>
      </c>
      <c r="C1354" t="inlineStr">
        <is>
          <t>'=B35</t>
        </is>
      </c>
      <c r="D1354" t="inlineStr">
        <is>
          <t>b510efda07cced1658ffc3ba167329bbf2e1a3e67eeff3064c1e313940ccd558</t>
        </is>
      </c>
    </row>
    <row r="1355">
      <c r="A1355" t="inlineStr">
        <is>
          <t>附表8</t>
        </is>
      </c>
      <c r="B1355" t="inlineStr">
        <is>
          <t>P4</t>
        </is>
      </c>
      <c r="C1355" t="inlineStr">
        <is>
          <t>'=B36</t>
        </is>
      </c>
      <c r="D1355" t="inlineStr">
        <is>
          <t>9cc4653054b3b00a4899449a791405dd1f3f20d6bea0298c5d35e49c6ceabd30</t>
        </is>
      </c>
    </row>
    <row r="1356">
      <c r="A1356" t="inlineStr">
        <is>
          <t>附表8</t>
        </is>
      </c>
      <c r="B1356" t="inlineStr">
        <is>
          <t>Q4</t>
        </is>
      </c>
      <c r="C1356" t="inlineStr">
        <is>
          <t>'=B37</t>
        </is>
      </c>
      <c r="D1356" t="inlineStr">
        <is>
          <t>b49709eb7129425f298b72beace6f4f071554e76db3592ac289d7d48b6c2cdbb</t>
        </is>
      </c>
    </row>
    <row r="1357">
      <c r="A1357" t="inlineStr">
        <is>
          <t>附表8</t>
        </is>
      </c>
      <c r="B1357" t="inlineStr">
        <is>
          <t>R4</t>
        </is>
      </c>
      <c r="C1357" t="inlineStr">
        <is>
          <t>'=B38</t>
        </is>
      </c>
      <c r="D1357" t="inlineStr">
        <is>
          <t>ca6fb43762cb4a9675bf3cc6c00130b70563b37c1717fee363fa5ca0b7ae3e15</t>
        </is>
      </c>
    </row>
    <row r="1358">
      <c r="A1358" t="inlineStr">
        <is>
          <t>附表8</t>
        </is>
      </c>
      <c r="B1358" t="inlineStr">
        <is>
          <t>S4</t>
        </is>
      </c>
      <c r="C1358" t="inlineStr">
        <is>
          <t>'=B39</t>
        </is>
      </c>
      <c r="D1358" t="inlineStr">
        <is>
          <t>4443f76d6fe7712dd63282662e3fffc237f1d3b5d376e569fe662ca15da98f13</t>
        </is>
      </c>
    </row>
    <row r="1359">
      <c r="A1359" t="inlineStr">
        <is>
          <t>附表8</t>
        </is>
      </c>
      <c r="B1359" t="inlineStr">
        <is>
          <t>T4</t>
        </is>
      </c>
      <c r="C1359" t="inlineStr">
        <is>
          <t>'=B40</t>
        </is>
      </c>
      <c r="D1359" t="inlineStr">
        <is>
          <t>6d49181396cad4b7c9f3707c7db0aea2fa5f764d1f19bc4957db66b7957f4048</t>
        </is>
      </c>
    </row>
    <row r="1360">
      <c r="A1360" t="inlineStr">
        <is>
          <t>附表8</t>
        </is>
      </c>
      <c r="B1360" t="inlineStr">
        <is>
          <t>U4</t>
        </is>
      </c>
      <c r="C1360" t="inlineStr">
        <is>
          <t>'=B41</t>
        </is>
      </c>
      <c r="D1360" t="inlineStr">
        <is>
          <t>502092e1392f755516bdcfee69362a325f9d3a5ed7d4a93ea9fee6d76144b9be</t>
        </is>
      </c>
    </row>
    <row r="1361">
      <c r="A1361" t="inlineStr">
        <is>
          <t>附表8</t>
        </is>
      </c>
      <c r="B1361" t="inlineStr">
        <is>
          <t>V4</t>
        </is>
      </c>
      <c r="C1361" t="inlineStr">
        <is>
          <t>'=B42</t>
        </is>
      </c>
      <c r="D1361" t="inlineStr">
        <is>
          <t>c34b9c496ccacadcd3d60a022626c999caf0c07ace6237c6afd9ffa9d84a62a5</t>
        </is>
      </c>
    </row>
    <row r="1362">
      <c r="A1362" t="inlineStr">
        <is>
          <t>附表8</t>
        </is>
      </c>
      <c r="B1362" t="inlineStr">
        <is>
          <t>W4</t>
        </is>
      </c>
      <c r="C1362" t="inlineStr">
        <is>
          <t>'=B43</t>
        </is>
      </c>
      <c r="D1362" t="inlineStr">
        <is>
          <t>dbe41435bb20c2a908a26de1281199731a98414880967f5e378ad5f744d2415b</t>
        </is>
      </c>
    </row>
    <row r="1363">
      <c r="A1363" t="inlineStr">
        <is>
          <t>附表8</t>
        </is>
      </c>
      <c r="B1363" t="inlineStr">
        <is>
          <t>X4</t>
        </is>
      </c>
      <c r="C1363" t="inlineStr">
        <is>
          <t>'=B44</t>
        </is>
      </c>
      <c r="D1363" t="inlineStr">
        <is>
          <t>f7d274a116d6d1ca90d0c2bf88bf803c57740ae5259e8b767b6f91af8248d9b1</t>
        </is>
      </c>
    </row>
    <row r="1364">
      <c r="A1364" t="inlineStr">
        <is>
          <t>附表8</t>
        </is>
      </c>
      <c r="B1364" t="inlineStr">
        <is>
          <t>Y4</t>
        </is>
      </c>
      <c r="C1364" t="inlineStr">
        <is>
          <t>'=B45</t>
        </is>
      </c>
      <c r="D1364" t="inlineStr">
        <is>
          <t>6e2e82900320a5bb784223eb3e43f3695b69e98cd2f90f206a6c7042a9e0de04</t>
        </is>
      </c>
    </row>
    <row r="1365">
      <c r="A1365" t="inlineStr">
        <is>
          <t>附表8</t>
        </is>
      </c>
      <c r="B1365" t="inlineStr">
        <is>
          <t>Z4</t>
        </is>
      </c>
      <c r="C1365" t="inlineStr">
        <is>
          <t>'=B46</t>
        </is>
      </c>
      <c r="D1365" t="inlineStr">
        <is>
          <t>5fc3524ddee875f687703a1d699d8e22b5c6ce83c40ee2a388323f654d4b241a</t>
        </is>
      </c>
    </row>
    <row r="1366">
      <c r="A1366" t="inlineStr">
        <is>
          <t>附表8</t>
        </is>
      </c>
      <c r="B1366" t="inlineStr">
        <is>
          <t>AA4</t>
        </is>
      </c>
      <c r="C1366" t="inlineStr">
        <is>
          <t>'=B47</t>
        </is>
      </c>
      <c r="D1366" t="inlineStr">
        <is>
          <t>13180f5fabd3e29f925420290ffe905ff614149628dfdc0475fd29b3de4705a6</t>
        </is>
      </c>
    </row>
    <row r="1367">
      <c r="A1367" t="inlineStr">
        <is>
          <t>附表8</t>
        </is>
      </c>
      <c r="B1367" t="inlineStr">
        <is>
          <t>C5</t>
        </is>
      </c>
      <c r="C1367" t="inlineStr">
        <is>
          <t>'=SUM(D5,E5,F5,G5,H5,I5,J5,K5,L5,M5,N5,O5,P5,Q5,R5,S5,T5,U5,V5,W5,X5,Y5,Z5,AA5)</t>
        </is>
      </c>
      <c r="D1367" t="inlineStr">
        <is>
          <t>7eb38897a27409e5bfbfdb8ab403ca8076aef30465ca0a03d3f7c643d0faa79a</t>
        </is>
      </c>
    </row>
    <row r="1368">
      <c r="A1368" t="inlineStr">
        <is>
          <t>附表8</t>
        </is>
      </c>
      <c r="B1368" t="inlineStr">
        <is>
          <t>D5</t>
        </is>
      </c>
      <c r="C1368" t="inlineStr">
        <is>
          <t>'=C24</t>
        </is>
      </c>
      <c r="D1368" t="inlineStr">
        <is>
          <t>43de46d09a807da850b11cf4b9f825e6af7dfa0f1e1d17f3b5132f95ade83149</t>
        </is>
      </c>
    </row>
    <row r="1369">
      <c r="A1369" t="inlineStr">
        <is>
          <t>附表8</t>
        </is>
      </c>
      <c r="B1369" t="inlineStr">
        <is>
          <t>E5</t>
        </is>
      </c>
      <c r="C1369" t="inlineStr">
        <is>
          <t>'=C25</t>
        </is>
      </c>
      <c r="D1369" t="inlineStr">
        <is>
          <t>c3acf3980d9d88544df14844f1b5fd3b75c5cd442835abb01f8b548fe4691fb8</t>
        </is>
      </c>
    </row>
    <row r="1370">
      <c r="A1370" t="inlineStr">
        <is>
          <t>附表8</t>
        </is>
      </c>
      <c r="B1370" t="inlineStr">
        <is>
          <t>F5</t>
        </is>
      </c>
      <c r="C1370" t="inlineStr">
        <is>
          <t>'=C26</t>
        </is>
      </c>
      <c r="D1370" t="inlineStr">
        <is>
          <t>e4753ba3f76f3fc83415ab8d8cdd8a77e5b51ec6d834ff84419687a0d53db51d</t>
        </is>
      </c>
    </row>
    <row r="1371">
      <c r="A1371" t="inlineStr">
        <is>
          <t>附表8</t>
        </is>
      </c>
      <c r="B1371" t="inlineStr">
        <is>
          <t>G5</t>
        </is>
      </c>
      <c r="C1371" t="inlineStr">
        <is>
          <t>'=C27</t>
        </is>
      </c>
      <c r="D1371" t="inlineStr">
        <is>
          <t>ab0890b218feaa9f139fb33cb49c96ae21bf6b19ff47660914d0ddfe03c0c89d</t>
        </is>
      </c>
    </row>
    <row r="1372">
      <c r="A1372" t="inlineStr">
        <is>
          <t>附表8</t>
        </is>
      </c>
      <c r="B1372" t="inlineStr">
        <is>
          <t>H5</t>
        </is>
      </c>
      <c r="C1372" t="inlineStr">
        <is>
          <t>'=C28</t>
        </is>
      </c>
      <c r="D1372" t="inlineStr">
        <is>
          <t>6f165d5c9a22dffda1501afe7729c38a8ed47bbf34119815eb6eb389fc2efa8c</t>
        </is>
      </c>
    </row>
    <row r="1373">
      <c r="A1373" t="inlineStr">
        <is>
          <t>附表8</t>
        </is>
      </c>
      <c r="B1373" t="inlineStr">
        <is>
          <t>I5</t>
        </is>
      </c>
      <c r="C1373" t="inlineStr">
        <is>
          <t>'=C29</t>
        </is>
      </c>
      <c r="D1373" t="inlineStr">
        <is>
          <t>91618ce5f53efbc38bc637dfecc12775fb5be6fac2a45d04b3242b703f91946f</t>
        </is>
      </c>
    </row>
    <row r="1374">
      <c r="A1374" t="inlineStr">
        <is>
          <t>附表8</t>
        </is>
      </c>
      <c r="B1374" t="inlineStr">
        <is>
          <t>J5</t>
        </is>
      </c>
      <c r="C1374" t="inlineStr">
        <is>
          <t>'=C30</t>
        </is>
      </c>
      <c r="D1374" t="inlineStr">
        <is>
          <t>7053b1f84c72798ad508eec0f3c2f765842a6bba85da663101b39bbd58c7eda0</t>
        </is>
      </c>
    </row>
    <row r="1375">
      <c r="A1375" t="inlineStr">
        <is>
          <t>附表8</t>
        </is>
      </c>
      <c r="B1375" t="inlineStr">
        <is>
          <t>K5</t>
        </is>
      </c>
      <c r="C1375" t="inlineStr">
        <is>
          <t>'=C31</t>
        </is>
      </c>
      <c r="D1375" t="inlineStr">
        <is>
          <t>3af8c58aa833fff592c980eedb0711e9c708061c49798f04722298d64d9f80b7</t>
        </is>
      </c>
    </row>
    <row r="1376">
      <c r="A1376" t="inlineStr">
        <is>
          <t>附表8</t>
        </is>
      </c>
      <c r="B1376" t="inlineStr">
        <is>
          <t>L5</t>
        </is>
      </c>
      <c r="C1376" t="inlineStr">
        <is>
          <t>'=C32</t>
        </is>
      </c>
      <c r="D1376" t="inlineStr">
        <is>
          <t>64bed7883bbcb4cee222cf94bd9058653bf9c19cbfad6f7c876d439826db21a7</t>
        </is>
      </c>
    </row>
    <row r="1377">
      <c r="A1377" t="inlineStr">
        <is>
          <t>附表8</t>
        </is>
      </c>
      <c r="B1377" t="inlineStr">
        <is>
          <t>M5</t>
        </is>
      </c>
      <c r="C1377" t="inlineStr">
        <is>
          <t>'=C33</t>
        </is>
      </c>
      <c r="D1377" t="inlineStr">
        <is>
          <t>107f76788d629db052c128792f733da226e3970752f3807f05fe92d0ba77ffcc</t>
        </is>
      </c>
    </row>
    <row r="1378">
      <c r="A1378" t="inlineStr">
        <is>
          <t>附表8</t>
        </is>
      </c>
      <c r="B1378" t="inlineStr">
        <is>
          <t>N5</t>
        </is>
      </c>
      <c r="C1378" t="inlineStr">
        <is>
          <t>'=C34</t>
        </is>
      </c>
      <c r="D1378" t="inlineStr">
        <is>
          <t>1f7b734b8ef59d0aa0d31dafe489144061301fd53957fd6c4b107290278fb509</t>
        </is>
      </c>
    </row>
    <row r="1379">
      <c r="A1379" t="inlineStr">
        <is>
          <t>附表8</t>
        </is>
      </c>
      <c r="B1379" t="inlineStr">
        <is>
          <t>O5</t>
        </is>
      </c>
      <c r="C1379" t="inlineStr">
        <is>
          <t>'=C35</t>
        </is>
      </c>
      <c r="D1379" t="inlineStr">
        <is>
          <t>d08b330c4cc3b8679105499e6f78c8d8490a7631f3e97f996ad72e72b56b2152</t>
        </is>
      </c>
    </row>
    <row r="1380">
      <c r="A1380" t="inlineStr">
        <is>
          <t>附表8</t>
        </is>
      </c>
      <c r="B1380" t="inlineStr">
        <is>
          <t>P5</t>
        </is>
      </c>
      <c r="C1380" t="inlineStr">
        <is>
          <t>'=C36</t>
        </is>
      </c>
      <c r="D1380" t="inlineStr">
        <is>
          <t>7bb337d05f0c53978d99f25a46a9cd4415d01ec63196efbdb88bdb7922c3991a</t>
        </is>
      </c>
    </row>
    <row r="1381">
      <c r="A1381" t="inlineStr">
        <is>
          <t>附表8</t>
        </is>
      </c>
      <c r="B1381" t="inlineStr">
        <is>
          <t>Q5</t>
        </is>
      </c>
      <c r="C1381" t="inlineStr">
        <is>
          <t>'=C37</t>
        </is>
      </c>
      <c r="D1381" t="inlineStr">
        <is>
          <t>71816f9491558462d1cb75a53d9f4300bd7c9a147feb8a7246af285ba0fed056</t>
        </is>
      </c>
    </row>
    <row r="1382">
      <c r="A1382" t="inlineStr">
        <is>
          <t>附表8</t>
        </is>
      </c>
      <c r="B1382" t="inlineStr">
        <is>
          <t>R5</t>
        </is>
      </c>
      <c r="C1382" t="inlineStr">
        <is>
          <t>'=C38</t>
        </is>
      </c>
      <c r="D1382" t="inlineStr">
        <is>
          <t>c7347c5ff799cd95f98d42326b7d9b2d4b8df2874282786aa2fb32e40ed3646d</t>
        </is>
      </c>
    </row>
    <row r="1383">
      <c r="A1383" t="inlineStr">
        <is>
          <t>附表8</t>
        </is>
      </c>
      <c r="B1383" t="inlineStr">
        <is>
          <t>S5</t>
        </is>
      </c>
      <c r="C1383" t="inlineStr">
        <is>
          <t>'=C39</t>
        </is>
      </c>
      <c r="D1383" t="inlineStr">
        <is>
          <t>f53e20e9f2d916f0f1cb90c71e3a5731af3f96f2fdcd50dce970f2816fbf61e1</t>
        </is>
      </c>
    </row>
    <row r="1384">
      <c r="A1384" t="inlineStr">
        <is>
          <t>附表8</t>
        </is>
      </c>
      <c r="B1384" t="inlineStr">
        <is>
          <t>T5</t>
        </is>
      </c>
      <c r="C1384" t="inlineStr">
        <is>
          <t>'=C40</t>
        </is>
      </c>
      <c r="D1384" t="inlineStr">
        <is>
          <t>721e5fcb705d4919ec4c272fe4cebc8d2912b9ff0e793bbdc50c23f2e0b6a352</t>
        </is>
      </c>
    </row>
    <row r="1385">
      <c r="A1385" t="inlineStr">
        <is>
          <t>附表8</t>
        </is>
      </c>
      <c r="B1385" t="inlineStr">
        <is>
          <t>U5</t>
        </is>
      </c>
      <c r="C1385" t="inlineStr">
        <is>
          <t>'=C41</t>
        </is>
      </c>
      <c r="D1385" t="inlineStr">
        <is>
          <t>ee37432d42122e6ce613c8c5d75f49ebd873d386e05774faaf1a49c5aed8b275</t>
        </is>
      </c>
    </row>
    <row r="1386">
      <c r="A1386" t="inlineStr">
        <is>
          <t>附表8</t>
        </is>
      </c>
      <c r="B1386" t="inlineStr">
        <is>
          <t>V5</t>
        </is>
      </c>
      <c r="C1386" t="inlineStr">
        <is>
          <t>'=C42</t>
        </is>
      </c>
      <c r="D1386" t="inlineStr">
        <is>
          <t>b28a9da389888874581e0650d6f25054803fc47f18c528979d0419ea2c534107</t>
        </is>
      </c>
    </row>
    <row r="1387">
      <c r="A1387" t="inlineStr">
        <is>
          <t>附表8</t>
        </is>
      </c>
      <c r="B1387" t="inlineStr">
        <is>
          <t>W5</t>
        </is>
      </c>
      <c r="C1387" t="inlineStr">
        <is>
          <t>'=C43</t>
        </is>
      </c>
      <c r="D1387" t="inlineStr">
        <is>
          <t>26f9dc951b0d5361c07c3ae8cd5c6ac63a3e04d9aa66a40872ad1fa3b289de3e</t>
        </is>
      </c>
    </row>
    <row r="1388">
      <c r="A1388" t="inlineStr">
        <is>
          <t>附表8</t>
        </is>
      </c>
      <c r="B1388" t="inlineStr">
        <is>
          <t>X5</t>
        </is>
      </c>
      <c r="C1388" t="inlineStr">
        <is>
          <t>'=C44</t>
        </is>
      </c>
      <c r="D1388" t="inlineStr">
        <is>
          <t>7691c1e330ce550e27e0ee31a813daa512bd252da747c67406c6a894ca3d5d01</t>
        </is>
      </c>
    </row>
    <row r="1389">
      <c r="A1389" t="inlineStr">
        <is>
          <t>附表8</t>
        </is>
      </c>
      <c r="B1389" t="inlineStr">
        <is>
          <t>Y5</t>
        </is>
      </c>
      <c r="C1389" t="inlineStr">
        <is>
          <t>'=C45</t>
        </is>
      </c>
      <c r="D1389" t="inlineStr">
        <is>
          <t>39c0968c7cd5a56b5fca4fdc9776e74a3ee294d214147da0e6786324eb70b54d</t>
        </is>
      </c>
    </row>
    <row r="1390">
      <c r="A1390" t="inlineStr">
        <is>
          <t>附表8</t>
        </is>
      </c>
      <c r="B1390" t="inlineStr">
        <is>
          <t>Z5</t>
        </is>
      </c>
      <c r="C1390" t="inlineStr">
        <is>
          <t>'=C46</t>
        </is>
      </c>
      <c r="D1390" t="inlineStr">
        <is>
          <t>9b79955b6eaa91fa77a05c357f3593f4c740b9b71c5dea5025a401516732366e</t>
        </is>
      </c>
    </row>
    <row r="1391">
      <c r="A1391" t="inlineStr">
        <is>
          <t>附表8</t>
        </is>
      </c>
      <c r="B1391" t="inlineStr">
        <is>
          <t>AA5</t>
        </is>
      </c>
      <c r="C1391" t="inlineStr">
        <is>
          <t>'=C47</t>
        </is>
      </c>
      <c r="D1391" t="inlineStr">
        <is>
          <t>cb98dd1139a320e2c33bc3aa6fdebd60dab0b8ebcae545b119b6ad94ea5bb442</t>
        </is>
      </c>
    </row>
    <row r="1392">
      <c r="A1392" t="inlineStr">
        <is>
          <t>附表8</t>
        </is>
      </c>
      <c r="B1392" t="inlineStr">
        <is>
          <t>C6</t>
        </is>
      </c>
      <c r="C1392" t="inlineStr">
        <is>
          <t>'=SUM(D6,E6,F6,G6,H6,I6,J6,K6,L6,M6,N6,O6,P6,Q6,R6,S6,T6,U6,V6,W6,X6,Y6,Z6,AA6)</t>
        </is>
      </c>
      <c r="D1392" t="inlineStr">
        <is>
          <t>a2156f20dcbde6e2fd846aa7e2975a35655ccdd13e654601085c7aacfe189694</t>
        </is>
      </c>
    </row>
    <row r="1393">
      <c r="A1393" t="inlineStr">
        <is>
          <t>附表8</t>
        </is>
      </c>
      <c r="B1393" t="inlineStr">
        <is>
          <t>D6</t>
        </is>
      </c>
      <c r="C1393" t="inlineStr">
        <is>
          <t>'=G24</t>
        </is>
      </c>
      <c r="D1393" t="inlineStr">
        <is>
          <t>e873a113f3cb6a4181ed56f6cbdbfe6533c7b52fff3d19a58074b39247c01639</t>
        </is>
      </c>
    </row>
    <row r="1394">
      <c r="A1394" t="inlineStr">
        <is>
          <t>附表8</t>
        </is>
      </c>
      <c r="B1394" t="inlineStr">
        <is>
          <t>E6</t>
        </is>
      </c>
      <c r="C1394" t="inlineStr">
        <is>
          <t>'=G25</t>
        </is>
      </c>
      <c r="D1394" t="inlineStr">
        <is>
          <t>5c9ed5f0c2507d58baf81c8840b53532d1b826c768b1c9aa97384529d2db27dc</t>
        </is>
      </c>
    </row>
    <row r="1395">
      <c r="A1395" t="inlineStr">
        <is>
          <t>附表8</t>
        </is>
      </c>
      <c r="B1395" t="inlineStr">
        <is>
          <t>F6</t>
        </is>
      </c>
      <c r="C1395" t="inlineStr">
        <is>
          <t>'=G26</t>
        </is>
      </c>
      <c r="D1395" t="inlineStr">
        <is>
          <t>9c211c3151fb83928955207b23369248324f0fd54a94dc3b1addd365a30dff80</t>
        </is>
      </c>
    </row>
    <row r="1396">
      <c r="A1396" t="inlineStr">
        <is>
          <t>附表8</t>
        </is>
      </c>
      <c r="B1396" t="inlineStr">
        <is>
          <t>G6</t>
        </is>
      </c>
      <c r="C1396" t="inlineStr">
        <is>
          <t>'=G27</t>
        </is>
      </c>
      <c r="D1396" t="inlineStr">
        <is>
          <t>5231049cf6d05b433e90e145d16b63ea2e8b8ec44523ef42937ce141ca81fd4a</t>
        </is>
      </c>
    </row>
    <row r="1397">
      <c r="A1397" t="inlineStr">
        <is>
          <t>附表8</t>
        </is>
      </c>
      <c r="B1397" t="inlineStr">
        <is>
          <t>H6</t>
        </is>
      </c>
      <c r="C1397" t="inlineStr">
        <is>
          <t>'=G28</t>
        </is>
      </c>
      <c r="D1397" t="inlineStr">
        <is>
          <t>060cbac1a6ae6513ca39922e0f0d35a66d23b72e374dc927057e23581919bca3</t>
        </is>
      </c>
    </row>
    <row r="1398">
      <c r="A1398" t="inlineStr">
        <is>
          <t>附表8</t>
        </is>
      </c>
      <c r="B1398" t="inlineStr">
        <is>
          <t>I6</t>
        </is>
      </c>
      <c r="C1398" t="inlineStr">
        <is>
          <t>'=G29</t>
        </is>
      </c>
      <c r="D1398" t="inlineStr">
        <is>
          <t>63f7466f532662973439dccf918138dc8040475193223e112c1cc51fc21bf570</t>
        </is>
      </c>
    </row>
    <row r="1399">
      <c r="A1399" t="inlineStr">
        <is>
          <t>附表8</t>
        </is>
      </c>
      <c r="B1399" t="inlineStr">
        <is>
          <t>J6</t>
        </is>
      </c>
      <c r="C1399" t="inlineStr">
        <is>
          <t>'=G30</t>
        </is>
      </c>
      <c r="D1399" t="inlineStr">
        <is>
          <t>41fd488e5d3dd6fcbf4e5e5c633bfb51c90bb8a8439da9587acdd0f1ea211487</t>
        </is>
      </c>
    </row>
    <row r="1400">
      <c r="A1400" t="inlineStr">
        <is>
          <t>附表8</t>
        </is>
      </c>
      <c r="B1400" t="inlineStr">
        <is>
          <t>K6</t>
        </is>
      </c>
      <c r="C1400" t="inlineStr">
        <is>
          <t>'=G31</t>
        </is>
      </c>
      <c r="D1400" t="inlineStr">
        <is>
          <t>eba155dad46081db9df400980508ff7210792d789827731d896df45abf543a45</t>
        </is>
      </c>
    </row>
    <row r="1401">
      <c r="A1401" t="inlineStr">
        <is>
          <t>附表8</t>
        </is>
      </c>
      <c r="B1401" t="inlineStr">
        <is>
          <t>L6</t>
        </is>
      </c>
      <c r="C1401" t="inlineStr">
        <is>
          <t>'=G32</t>
        </is>
      </c>
      <c r="D1401" t="inlineStr">
        <is>
          <t>3e5861b287d5d10dfae0918c5b745b4c0be1390b467524ad5e06457ad9728224</t>
        </is>
      </c>
    </row>
    <row r="1402">
      <c r="A1402" t="inlineStr">
        <is>
          <t>附表8</t>
        </is>
      </c>
      <c r="B1402" t="inlineStr">
        <is>
          <t>M6</t>
        </is>
      </c>
      <c r="C1402" t="inlineStr">
        <is>
          <t>'=G33</t>
        </is>
      </c>
      <c r="D1402" t="inlineStr">
        <is>
          <t>2424047923137c08b617a6624a3c5be2682085e9f7d0c6003e0555e69d25cce8</t>
        </is>
      </c>
    </row>
    <row r="1403">
      <c r="A1403" t="inlineStr">
        <is>
          <t>附表8</t>
        </is>
      </c>
      <c r="B1403" t="inlineStr">
        <is>
          <t>N6</t>
        </is>
      </c>
      <c r="C1403" t="inlineStr">
        <is>
          <t>'=G34</t>
        </is>
      </c>
      <c r="D1403" t="inlineStr">
        <is>
          <t>02ff088281b9d9e1870b58f707ed6c7c80c4702e44545c413c2f0578ab21bb8c</t>
        </is>
      </c>
    </row>
    <row r="1404">
      <c r="A1404" t="inlineStr">
        <is>
          <t>附表8</t>
        </is>
      </c>
      <c r="B1404" t="inlineStr">
        <is>
          <t>O6</t>
        </is>
      </c>
      <c r="C1404" t="inlineStr">
        <is>
          <t>'=G35</t>
        </is>
      </c>
      <c r="D1404" t="inlineStr">
        <is>
          <t>b37668a5de7c12c5dddc59ec1a23d37808355ca83f749818c9d283eb442637f0</t>
        </is>
      </c>
    </row>
    <row r="1405">
      <c r="A1405" t="inlineStr">
        <is>
          <t>附表8</t>
        </is>
      </c>
      <c r="B1405" t="inlineStr">
        <is>
          <t>P6</t>
        </is>
      </c>
      <c r="C1405" t="inlineStr">
        <is>
          <t>'=G36</t>
        </is>
      </c>
      <c r="D1405" t="inlineStr">
        <is>
          <t>3cdcffd14f7f5c5214c7a49334a833fe22c789caa5ebd9aee989e815d808ba0b</t>
        </is>
      </c>
    </row>
    <row r="1406">
      <c r="A1406" t="inlineStr">
        <is>
          <t>附表8</t>
        </is>
      </c>
      <c r="B1406" t="inlineStr">
        <is>
          <t>Q6</t>
        </is>
      </c>
      <c r="C1406" t="inlineStr">
        <is>
          <t>'=G37</t>
        </is>
      </c>
      <c r="D1406" t="inlineStr">
        <is>
          <t>9a72d161b9e361d5e7e7e69d940f0e46950ac5327867a4c9909bf645763ebdf7</t>
        </is>
      </c>
    </row>
    <row r="1407">
      <c r="A1407" t="inlineStr">
        <is>
          <t>附表8</t>
        </is>
      </c>
      <c r="B1407" t="inlineStr">
        <is>
          <t>R6</t>
        </is>
      </c>
      <c r="C1407" t="inlineStr">
        <is>
          <t>'=G38</t>
        </is>
      </c>
      <c r="D1407" t="inlineStr">
        <is>
          <t>a44654774ab89a5fe352e183097de5beae27663426b8b5c90930c16f11615e37</t>
        </is>
      </c>
    </row>
    <row r="1408">
      <c r="A1408" t="inlineStr">
        <is>
          <t>附表8</t>
        </is>
      </c>
      <c r="B1408" t="inlineStr">
        <is>
          <t>S6</t>
        </is>
      </c>
      <c r="C1408" t="inlineStr">
        <is>
          <t>'=G39</t>
        </is>
      </c>
      <c r="D1408" t="inlineStr">
        <is>
          <t>f21ae9cb2bacdce99bda5f85274f725e695070f07235a27291f89c10357a8a43</t>
        </is>
      </c>
    </row>
    <row r="1409">
      <c r="A1409" t="inlineStr">
        <is>
          <t>附表8</t>
        </is>
      </c>
      <c r="B1409" t="inlineStr">
        <is>
          <t>T6</t>
        </is>
      </c>
      <c r="C1409" t="inlineStr">
        <is>
          <t>'=G40</t>
        </is>
      </c>
      <c r="D1409" t="inlineStr">
        <is>
          <t>1eaba9704c774525e79bc582c947244f3fb45732f9d47c949c879f2e978b0775</t>
        </is>
      </c>
    </row>
    <row r="1410">
      <c r="A1410" t="inlineStr">
        <is>
          <t>附表8</t>
        </is>
      </c>
      <c r="B1410" t="inlineStr">
        <is>
          <t>U6</t>
        </is>
      </c>
      <c r="C1410" t="inlineStr">
        <is>
          <t>'=G41</t>
        </is>
      </c>
      <c r="D1410" t="inlineStr">
        <is>
          <t>ae915cdf923df33d40eb639d1e04b548108936d5ed2e715c08587ec7732c045b</t>
        </is>
      </c>
    </row>
    <row r="1411">
      <c r="A1411" t="inlineStr">
        <is>
          <t>附表8</t>
        </is>
      </c>
      <c r="B1411" t="inlineStr">
        <is>
          <t>V6</t>
        </is>
      </c>
      <c r="C1411" t="inlineStr">
        <is>
          <t>'=G42</t>
        </is>
      </c>
      <c r="D1411" t="inlineStr">
        <is>
          <t>4d1910f3231f422307797321341653550b5acfe53306962f5a3567869dfeb223</t>
        </is>
      </c>
    </row>
    <row r="1412">
      <c r="A1412" t="inlineStr">
        <is>
          <t>附表8</t>
        </is>
      </c>
      <c r="B1412" t="inlineStr">
        <is>
          <t>W6</t>
        </is>
      </c>
      <c r="C1412" t="inlineStr">
        <is>
          <t>'=G43</t>
        </is>
      </c>
      <c r="D1412" t="inlineStr">
        <is>
          <t>e358be8172d86e0f968ec5e9a1d00759d9783ecb2d682e7d71916ecb90dc94cd</t>
        </is>
      </c>
    </row>
    <row r="1413">
      <c r="A1413" t="inlineStr">
        <is>
          <t>附表8</t>
        </is>
      </c>
      <c r="B1413" t="inlineStr">
        <is>
          <t>X6</t>
        </is>
      </c>
      <c r="C1413" t="inlineStr">
        <is>
          <t>'=G44</t>
        </is>
      </c>
      <c r="D1413" t="inlineStr">
        <is>
          <t>38c44bcfc3fa296a598d1de52f60d5c1985c27544698752d689427222bf81e09</t>
        </is>
      </c>
    </row>
    <row r="1414">
      <c r="A1414" t="inlineStr">
        <is>
          <t>附表8</t>
        </is>
      </c>
      <c r="B1414" t="inlineStr">
        <is>
          <t>Y6</t>
        </is>
      </c>
      <c r="C1414" t="inlineStr">
        <is>
          <t>'=G45</t>
        </is>
      </c>
      <c r="D1414" t="inlineStr">
        <is>
          <t>40e1bec3c03578c57d823fe2a88119c7ef776c1f93b61505a327241fafc4a364</t>
        </is>
      </c>
    </row>
    <row r="1415">
      <c r="A1415" t="inlineStr">
        <is>
          <t>附表8</t>
        </is>
      </c>
      <c r="B1415" t="inlineStr">
        <is>
          <t>Z6</t>
        </is>
      </c>
      <c r="C1415" t="inlineStr">
        <is>
          <t>'=G46</t>
        </is>
      </c>
      <c r="D1415" t="inlineStr">
        <is>
          <t>d586411a5acde9b8150db7f72b02645cf6033807c66e7434d010cda5d871b21f</t>
        </is>
      </c>
    </row>
    <row r="1416">
      <c r="A1416" t="inlineStr">
        <is>
          <t>附表8</t>
        </is>
      </c>
      <c r="B1416" t="inlineStr">
        <is>
          <t>AA6</t>
        </is>
      </c>
      <c r="C1416" t="inlineStr">
        <is>
          <t>'=G47</t>
        </is>
      </c>
      <c r="D1416" t="inlineStr">
        <is>
          <t>b518aad5fc8f532bf1b6ac499b904ab23a8066f798fea58d533c614d20bfa6c3</t>
        </is>
      </c>
    </row>
    <row r="1417">
      <c r="A1417" t="inlineStr">
        <is>
          <t>附表8</t>
        </is>
      </c>
      <c r="B1417" t="inlineStr">
        <is>
          <t>C7</t>
        </is>
      </c>
      <c r="C1417" t="inlineStr">
        <is>
          <t>'=SUM(D7,E7,F7,G7,H7,I7,J7,K7,L7,M7,N7,O7,P7,Q7,R7,S7,T7,U7,V7,W7,X7,Y7,Z7,AA7)</t>
        </is>
      </c>
      <c r="D1417" t="inlineStr">
        <is>
          <t>6c1afab37f46b0f8cc54244e35cf344bc3383d90fbea7e62b9644ea360b51bc2</t>
        </is>
      </c>
    </row>
    <row r="1418">
      <c r="A1418" t="inlineStr">
        <is>
          <t>附表8</t>
        </is>
      </c>
      <c r="B1418" t="inlineStr">
        <is>
          <t>D7</t>
        </is>
      </c>
      <c r="C1418" t="inlineStr">
        <is>
          <t>'=E24</t>
        </is>
      </c>
      <c r="D1418" t="inlineStr">
        <is>
          <t>ff40c724feadaf7d60cfcbeb2bb4506626a7d1d584e20c3572e046372ca103a0</t>
        </is>
      </c>
    </row>
    <row r="1419">
      <c r="A1419" t="inlineStr">
        <is>
          <t>附表8</t>
        </is>
      </c>
      <c r="B1419" t="inlineStr">
        <is>
          <t>E7</t>
        </is>
      </c>
      <c r="C1419" t="inlineStr">
        <is>
          <t>'=E25</t>
        </is>
      </c>
      <c r="D1419" t="inlineStr">
        <is>
          <t>bee489adc18703ca78293e5fa79dbe2fc039df6f5a0897bd29f2afc1f0f44f4f</t>
        </is>
      </c>
    </row>
    <row r="1420">
      <c r="A1420" t="inlineStr">
        <is>
          <t>附表8</t>
        </is>
      </c>
      <c r="B1420" t="inlineStr">
        <is>
          <t>F7</t>
        </is>
      </c>
      <c r="C1420" t="inlineStr">
        <is>
          <t>'=E26</t>
        </is>
      </c>
      <c r="D1420" t="inlineStr">
        <is>
          <t>d528036d55c16bc8bb929bca4c1c8c7bb5c4220cf8c44f3c65ebdced4feaa2d6</t>
        </is>
      </c>
    </row>
    <row r="1421">
      <c r="A1421" t="inlineStr">
        <is>
          <t>附表8</t>
        </is>
      </c>
      <c r="B1421" t="inlineStr">
        <is>
          <t>G7</t>
        </is>
      </c>
      <c r="C1421" t="inlineStr">
        <is>
          <t>'=E27</t>
        </is>
      </c>
      <c r="D1421" t="inlineStr">
        <is>
          <t>b18c01b39373e16b82f579f4ff9f16b35c9ab8e4983583d5bb6e660a4c67f7ae</t>
        </is>
      </c>
    </row>
    <row r="1422">
      <c r="A1422" t="inlineStr">
        <is>
          <t>附表8</t>
        </is>
      </c>
      <c r="B1422" t="inlineStr">
        <is>
          <t>H7</t>
        </is>
      </c>
      <c r="C1422" t="inlineStr">
        <is>
          <t>'=E28</t>
        </is>
      </c>
      <c r="D1422" t="inlineStr">
        <is>
          <t>7631880322d74cf866bc65bf42898faec259e43e467b54ea5c9af511e68e6fd3</t>
        </is>
      </c>
    </row>
    <row r="1423">
      <c r="A1423" t="inlineStr">
        <is>
          <t>附表8</t>
        </is>
      </c>
      <c r="B1423" t="inlineStr">
        <is>
          <t>I7</t>
        </is>
      </c>
      <c r="C1423" t="inlineStr">
        <is>
          <t>'=E29</t>
        </is>
      </c>
      <c r="D1423" t="inlineStr">
        <is>
          <t>029d731d4663e03c8520795799642b96638809daed8bf0eb23339c0ba23a73f5</t>
        </is>
      </c>
    </row>
    <row r="1424">
      <c r="A1424" t="inlineStr">
        <is>
          <t>附表8</t>
        </is>
      </c>
      <c r="B1424" t="inlineStr">
        <is>
          <t>J7</t>
        </is>
      </c>
      <c r="C1424" t="inlineStr">
        <is>
          <t>'=E30</t>
        </is>
      </c>
      <c r="D1424" t="inlineStr">
        <is>
          <t>f9d1044436f187ad9ffde2b6f00aa4c37acdb8c819ce9bfaa0f9515b303dfff1</t>
        </is>
      </c>
    </row>
    <row r="1425">
      <c r="A1425" t="inlineStr">
        <is>
          <t>附表8</t>
        </is>
      </c>
      <c r="B1425" t="inlineStr">
        <is>
          <t>K7</t>
        </is>
      </c>
      <c r="C1425" t="inlineStr">
        <is>
          <t>'=E31</t>
        </is>
      </c>
      <c r="D1425" t="inlineStr">
        <is>
          <t>ccb0bd9c84094861b829aaaf09075d3c7ff6aafd759aeeb9215e2031d1c57476</t>
        </is>
      </c>
    </row>
    <row r="1426">
      <c r="A1426" t="inlineStr">
        <is>
          <t>附表8</t>
        </is>
      </c>
      <c r="B1426" t="inlineStr">
        <is>
          <t>L7</t>
        </is>
      </c>
      <c r="C1426" t="inlineStr">
        <is>
          <t>'=E32</t>
        </is>
      </c>
      <c r="D1426" t="inlineStr">
        <is>
          <t>5c2a9afdbd4b0ba3b6a28bbaea56a5310c357764c67edcff1106f88069e55777</t>
        </is>
      </c>
    </row>
    <row r="1427">
      <c r="A1427" t="inlineStr">
        <is>
          <t>附表8</t>
        </is>
      </c>
      <c r="B1427" t="inlineStr">
        <is>
          <t>M7</t>
        </is>
      </c>
      <c r="C1427" t="inlineStr">
        <is>
          <t>'=E33</t>
        </is>
      </c>
      <c r="D1427" t="inlineStr">
        <is>
          <t>8fabd9c5fe8cc507d064eddbc6fe9ea8c6e41213dbb42ffe37a6b88d49f6ab0c</t>
        </is>
      </c>
    </row>
    <row r="1428">
      <c r="A1428" t="inlineStr">
        <is>
          <t>附表8</t>
        </is>
      </c>
      <c r="B1428" t="inlineStr">
        <is>
          <t>N7</t>
        </is>
      </c>
      <c r="C1428" t="inlineStr">
        <is>
          <t>'=E34</t>
        </is>
      </c>
      <c r="D1428" t="inlineStr">
        <is>
          <t>87bbd2477ff72ff7af7fdabda66289421d5f5adebb9dfd3f1d3e7c2dbebbb27a</t>
        </is>
      </c>
    </row>
    <row r="1429">
      <c r="A1429" t="inlineStr">
        <is>
          <t>附表8</t>
        </is>
      </c>
      <c r="B1429" t="inlineStr">
        <is>
          <t>O7</t>
        </is>
      </c>
      <c r="C1429" t="inlineStr">
        <is>
          <t>'=E35</t>
        </is>
      </c>
      <c r="D1429" t="inlineStr">
        <is>
          <t>ee2ff98424ffd4f6db529a5ecb297178271832fdbf4e970635feb7414c8509b0</t>
        </is>
      </c>
    </row>
    <row r="1430">
      <c r="A1430" t="inlineStr">
        <is>
          <t>附表8</t>
        </is>
      </c>
      <c r="B1430" t="inlineStr">
        <is>
          <t>P7</t>
        </is>
      </c>
      <c r="C1430" t="inlineStr">
        <is>
          <t>'=E36</t>
        </is>
      </c>
      <c r="D1430" t="inlineStr">
        <is>
          <t>e03c280f19d18115f9033f7f0461af62082bd0820db7049321cea8a442ff8b7f</t>
        </is>
      </c>
    </row>
    <row r="1431">
      <c r="A1431" t="inlineStr">
        <is>
          <t>附表8</t>
        </is>
      </c>
      <c r="B1431" t="inlineStr">
        <is>
          <t>Q7</t>
        </is>
      </c>
      <c r="C1431" t="inlineStr">
        <is>
          <t>'=E37</t>
        </is>
      </c>
      <c r="D1431" t="inlineStr">
        <is>
          <t>449f92e3bbc37b7984e20507510a886f3541bb4216353fee56c0bd03f8422e76</t>
        </is>
      </c>
    </row>
    <row r="1432">
      <c r="A1432" t="inlineStr">
        <is>
          <t>附表8</t>
        </is>
      </c>
      <c r="B1432" t="inlineStr">
        <is>
          <t>R7</t>
        </is>
      </c>
      <c r="C1432" t="inlineStr">
        <is>
          <t>'=E38</t>
        </is>
      </c>
      <c r="D1432" t="inlineStr">
        <is>
          <t>ae14f5f36d788372e885fbd1715a2f03db3885b298775270bfcd1fc38cf6139b</t>
        </is>
      </c>
    </row>
    <row r="1433">
      <c r="A1433" t="inlineStr">
        <is>
          <t>附表8</t>
        </is>
      </c>
      <c r="B1433" t="inlineStr">
        <is>
          <t>S7</t>
        </is>
      </c>
      <c r="C1433" t="inlineStr">
        <is>
          <t>'=E39</t>
        </is>
      </c>
      <c r="D1433" t="inlineStr">
        <is>
          <t>18114e6dbb02cc34e72eddfc241655b4f0225f99f8dea3788846c10a1261c6b1</t>
        </is>
      </c>
    </row>
    <row r="1434">
      <c r="A1434" t="inlineStr">
        <is>
          <t>附表8</t>
        </is>
      </c>
      <c r="B1434" t="inlineStr">
        <is>
          <t>T7</t>
        </is>
      </c>
      <c r="C1434" t="inlineStr">
        <is>
          <t>'=E40</t>
        </is>
      </c>
      <c r="D1434" t="inlineStr">
        <is>
          <t>96ae72a57795c393b59351fa715ceabc9fdfee27ba0ff5aceadb7f9f3fb7033b</t>
        </is>
      </c>
    </row>
    <row r="1435">
      <c r="A1435" t="inlineStr">
        <is>
          <t>附表8</t>
        </is>
      </c>
      <c r="B1435" t="inlineStr">
        <is>
          <t>U7</t>
        </is>
      </c>
      <c r="C1435" t="inlineStr">
        <is>
          <t>'=E41</t>
        </is>
      </c>
      <c r="D1435" t="inlineStr">
        <is>
          <t>df2be7009a4fee7fbef6f913d108f785409c79bac7afe4773864b50e39757f8a</t>
        </is>
      </c>
    </row>
    <row r="1436">
      <c r="A1436" t="inlineStr">
        <is>
          <t>附表8</t>
        </is>
      </c>
      <c r="B1436" t="inlineStr">
        <is>
          <t>V7</t>
        </is>
      </c>
      <c r="C1436" t="inlineStr">
        <is>
          <t>'=E42</t>
        </is>
      </c>
      <c r="D1436" t="inlineStr">
        <is>
          <t>ee0a6309448c128077fe11cd3227f58249aa116eb97563f567a515393ec4639d</t>
        </is>
      </c>
    </row>
    <row r="1437">
      <c r="A1437" t="inlineStr">
        <is>
          <t>附表8</t>
        </is>
      </c>
      <c r="B1437" t="inlineStr">
        <is>
          <t>W7</t>
        </is>
      </c>
      <c r="C1437" t="inlineStr">
        <is>
          <t>'=E43</t>
        </is>
      </c>
      <c r="D1437" t="inlineStr">
        <is>
          <t>12a200ed6ecd5c28cd56afa60c2b95563124792363b42520e05cbdd19036469a</t>
        </is>
      </c>
    </row>
    <row r="1438">
      <c r="A1438" t="inlineStr">
        <is>
          <t>附表8</t>
        </is>
      </c>
      <c r="B1438" t="inlineStr">
        <is>
          <t>X7</t>
        </is>
      </c>
      <c r="C1438" t="inlineStr">
        <is>
          <t>'=E44</t>
        </is>
      </c>
      <c r="D1438" t="inlineStr">
        <is>
          <t>0f32438aef4cb4f2d74c50cd89be2d577befdc919ddc9b270281e5632c44e49b</t>
        </is>
      </c>
    </row>
    <row r="1439">
      <c r="A1439" t="inlineStr">
        <is>
          <t>附表8</t>
        </is>
      </c>
      <c r="B1439" t="inlineStr">
        <is>
          <t>Y7</t>
        </is>
      </c>
      <c r="C1439" t="inlineStr">
        <is>
          <t>'=E45</t>
        </is>
      </c>
      <c r="D1439" t="inlineStr">
        <is>
          <t>1d2c1f1a488546d0adec7b80dfef795e39908dfc871512c883e4c75334f6f19a</t>
        </is>
      </c>
    </row>
    <row r="1440">
      <c r="A1440" t="inlineStr">
        <is>
          <t>附表8</t>
        </is>
      </c>
      <c r="B1440" t="inlineStr">
        <is>
          <t>Z7</t>
        </is>
      </c>
      <c r="C1440" t="inlineStr">
        <is>
          <t>'=E46</t>
        </is>
      </c>
      <c r="D1440" t="inlineStr">
        <is>
          <t>9028c1bdc130af8090cd8abe2a4756689f49321fa7bb143fa1ef27f7a38edfa2</t>
        </is>
      </c>
    </row>
    <row r="1441">
      <c r="A1441" t="inlineStr">
        <is>
          <t>附表8</t>
        </is>
      </c>
      <c r="B1441" t="inlineStr">
        <is>
          <t>AA7</t>
        </is>
      </c>
      <c r="C1441" t="inlineStr">
        <is>
          <t>'=E47</t>
        </is>
      </c>
      <c r="D1441" t="inlineStr">
        <is>
          <t>211f1176e467fe610e2fa0d5737b14ddd849ef8475f4c8808628d60e9f90d558</t>
        </is>
      </c>
    </row>
    <row r="1442">
      <c r="A1442" t="inlineStr">
        <is>
          <t>附表8</t>
        </is>
      </c>
      <c r="B1442" t="inlineStr">
        <is>
          <t>C8</t>
        </is>
      </c>
      <c r="C1442" t="inlineStr">
        <is>
          <t>'=SUM(D8,E8,F8,G8,H8,I8,J8,K8,L8,M8,N8,O8,P8,Q8,R8,S8,T8,U8,V8,W8,X8,Y8,Z8,AA8)</t>
        </is>
      </c>
      <c r="D1442" t="inlineStr">
        <is>
          <t>065436c3f2eb117a0fae9d7d3577184382546d6b3c7a96373a37a320553f8b6e</t>
        </is>
      </c>
    </row>
    <row r="1443">
      <c r="A1443" t="inlineStr">
        <is>
          <t>附表8</t>
        </is>
      </c>
      <c r="B1443" t="inlineStr">
        <is>
          <t>D8</t>
        </is>
      </c>
      <c r="C1443" t="inlineStr">
        <is>
          <t>'=F24</t>
        </is>
      </c>
      <c r="D1443" t="inlineStr">
        <is>
          <t>9ed367a5e3825d0f50d44fde06665a27a1a5b1d481a22b68505857131cb7ec82</t>
        </is>
      </c>
    </row>
    <row r="1444">
      <c r="A1444" t="inlineStr">
        <is>
          <t>附表8</t>
        </is>
      </c>
      <c r="B1444" t="inlineStr">
        <is>
          <t>E8</t>
        </is>
      </c>
      <c r="C1444" t="inlineStr">
        <is>
          <t>'=F25</t>
        </is>
      </c>
      <c r="D1444" t="inlineStr">
        <is>
          <t>47314388abee27a224eb6b91587e32b9cbbcdf0f974af9705530b790432232c3</t>
        </is>
      </c>
    </row>
    <row r="1445">
      <c r="A1445" t="inlineStr">
        <is>
          <t>附表8</t>
        </is>
      </c>
      <c r="B1445" t="inlineStr">
        <is>
          <t>F8</t>
        </is>
      </c>
      <c r="C1445" t="inlineStr">
        <is>
          <t>'=F26</t>
        </is>
      </c>
      <c r="D1445" t="inlineStr">
        <is>
          <t>8e8873507784a884e464929f855f269ae86026be510b312d169ad528e85712ab</t>
        </is>
      </c>
    </row>
    <row r="1446">
      <c r="A1446" t="inlineStr">
        <is>
          <t>附表8</t>
        </is>
      </c>
      <c r="B1446" t="inlineStr">
        <is>
          <t>G8</t>
        </is>
      </c>
      <c r="C1446" t="inlineStr">
        <is>
          <t>'=F27</t>
        </is>
      </c>
      <c r="D1446" t="inlineStr">
        <is>
          <t>5954ec758fe3318bf4d7f1f341de39825d6bc4eaa209e3196524590f535316c2</t>
        </is>
      </c>
    </row>
    <row r="1447">
      <c r="A1447" t="inlineStr">
        <is>
          <t>附表8</t>
        </is>
      </c>
      <c r="B1447" t="inlineStr">
        <is>
          <t>H8</t>
        </is>
      </c>
      <c r="C1447" t="inlineStr">
        <is>
          <t>'=F28</t>
        </is>
      </c>
      <c r="D1447" t="inlineStr">
        <is>
          <t>13f4ea59e7fc664f85ea46b2816893f73e36306223e4bdc135741ec0d1fe42b4</t>
        </is>
      </c>
    </row>
    <row r="1448">
      <c r="A1448" t="inlineStr">
        <is>
          <t>附表8</t>
        </is>
      </c>
      <c r="B1448" t="inlineStr">
        <is>
          <t>I8</t>
        </is>
      </c>
      <c r="C1448" t="inlineStr">
        <is>
          <t>'=F29</t>
        </is>
      </c>
      <c r="D1448" t="inlineStr">
        <is>
          <t>890e43661b159feafd46522f2327e365b2920f02cc7fbd207e2e3baa215b9f6d</t>
        </is>
      </c>
    </row>
    <row r="1449">
      <c r="A1449" t="inlineStr">
        <is>
          <t>附表8</t>
        </is>
      </c>
      <c r="B1449" t="inlineStr">
        <is>
          <t>J8</t>
        </is>
      </c>
      <c r="C1449" t="inlineStr">
        <is>
          <t>'=F30</t>
        </is>
      </c>
      <c r="D1449" t="inlineStr">
        <is>
          <t>36a95251f26c1b8da73153b6feb4d5c2fcf0060d1918ed64dc475c458e02475a</t>
        </is>
      </c>
    </row>
    <row r="1450">
      <c r="A1450" t="inlineStr">
        <is>
          <t>附表8</t>
        </is>
      </c>
      <c r="B1450" t="inlineStr">
        <is>
          <t>K8</t>
        </is>
      </c>
      <c r="C1450" t="inlineStr">
        <is>
          <t>'=F31</t>
        </is>
      </c>
      <c r="D1450" t="inlineStr">
        <is>
          <t>20c870fd001d5c247be7b3fc4a289f983c2c2f12246199d92dcc1102b343ca6b</t>
        </is>
      </c>
    </row>
    <row r="1451">
      <c r="A1451" t="inlineStr">
        <is>
          <t>附表8</t>
        </is>
      </c>
      <c r="B1451" t="inlineStr">
        <is>
          <t>L8</t>
        </is>
      </c>
      <c r="C1451" t="inlineStr">
        <is>
          <t>'=F32</t>
        </is>
      </c>
      <c r="D1451" t="inlineStr">
        <is>
          <t>c5ae83bf4079b265fbe8e53096c13e8d016f1c3cff2d7006581c001eb2606b11</t>
        </is>
      </c>
    </row>
    <row r="1452">
      <c r="A1452" t="inlineStr">
        <is>
          <t>附表8</t>
        </is>
      </c>
      <c r="B1452" t="inlineStr">
        <is>
          <t>M8</t>
        </is>
      </c>
      <c r="C1452" t="inlineStr">
        <is>
          <t>'=F33</t>
        </is>
      </c>
      <c r="D1452" t="inlineStr">
        <is>
          <t>72589d5a055938823a5f2078e039aff33eb904440acbb0faeafe94847d6a4b96</t>
        </is>
      </c>
    </row>
    <row r="1453">
      <c r="A1453" t="inlineStr">
        <is>
          <t>附表8</t>
        </is>
      </c>
      <c r="B1453" t="inlineStr">
        <is>
          <t>N8</t>
        </is>
      </c>
      <c r="C1453" t="inlineStr">
        <is>
          <t>'=F34</t>
        </is>
      </c>
      <c r="D1453" t="inlineStr">
        <is>
          <t>e3c7865be4287277c5f6870291e7b2c5c43544c67056f211dbafbba1dacc87e0</t>
        </is>
      </c>
    </row>
    <row r="1454">
      <c r="A1454" t="inlineStr">
        <is>
          <t>附表8</t>
        </is>
      </c>
      <c r="B1454" t="inlineStr">
        <is>
          <t>O8</t>
        </is>
      </c>
      <c r="C1454" t="inlineStr">
        <is>
          <t>'=F35</t>
        </is>
      </c>
      <c r="D1454" t="inlineStr">
        <is>
          <t>a3c5399eb56df218770a83790a52696db93845721fa43ca553ce45bf51e93f4e</t>
        </is>
      </c>
    </row>
    <row r="1455">
      <c r="A1455" t="inlineStr">
        <is>
          <t>附表8</t>
        </is>
      </c>
      <c r="B1455" t="inlineStr">
        <is>
          <t>P8</t>
        </is>
      </c>
      <c r="C1455" t="inlineStr">
        <is>
          <t>'=F36</t>
        </is>
      </c>
      <c r="D1455" t="inlineStr">
        <is>
          <t>81f7c878de8b0183e578fd1938bf26fd7bdfdc595bd979ce4326cfa1bbe9c46b</t>
        </is>
      </c>
    </row>
    <row r="1456">
      <c r="A1456" t="inlineStr">
        <is>
          <t>附表8</t>
        </is>
      </c>
      <c r="B1456" t="inlineStr">
        <is>
          <t>Q8</t>
        </is>
      </c>
      <c r="C1456" t="inlineStr">
        <is>
          <t>'=F37</t>
        </is>
      </c>
      <c r="D1456" t="inlineStr">
        <is>
          <t>d5b9cceb096710596835f0ce8f26a4b71d69869b1ff997a5749fdd39ea712e82</t>
        </is>
      </c>
    </row>
    <row r="1457">
      <c r="A1457" t="inlineStr">
        <is>
          <t>附表8</t>
        </is>
      </c>
      <c r="B1457" t="inlineStr">
        <is>
          <t>R8</t>
        </is>
      </c>
      <c r="C1457" t="inlineStr">
        <is>
          <t>'=F38</t>
        </is>
      </c>
      <c r="D1457" t="inlineStr">
        <is>
          <t>61ccbb4367dfe2753e4c74c260a0782c0ee06d8b8b15ccce22921359181715c1</t>
        </is>
      </c>
    </row>
    <row r="1458">
      <c r="A1458" t="inlineStr">
        <is>
          <t>附表8</t>
        </is>
      </c>
      <c r="B1458" t="inlineStr">
        <is>
          <t>S8</t>
        </is>
      </c>
      <c r="C1458" t="inlineStr">
        <is>
          <t>'=F39</t>
        </is>
      </c>
      <c r="D1458" t="inlineStr">
        <is>
          <t>f87b032df2ba01ff6cef9c2e0ce235b934b6329cc1c727ec535b2c5ef486ca5b</t>
        </is>
      </c>
    </row>
    <row r="1459">
      <c r="A1459" t="inlineStr">
        <is>
          <t>附表8</t>
        </is>
      </c>
      <c r="B1459" t="inlineStr">
        <is>
          <t>T8</t>
        </is>
      </c>
      <c r="C1459" t="inlineStr">
        <is>
          <t>'=F40</t>
        </is>
      </c>
      <c r="D1459" t="inlineStr">
        <is>
          <t>bb257547ac1de27fd36a914e35c364a505db82a16b41a47be7512693776a9dda</t>
        </is>
      </c>
    </row>
    <row r="1460">
      <c r="A1460" t="inlineStr">
        <is>
          <t>附表8</t>
        </is>
      </c>
      <c r="B1460" t="inlineStr">
        <is>
          <t>U8</t>
        </is>
      </c>
      <c r="C1460" t="inlineStr">
        <is>
          <t>'=F41</t>
        </is>
      </c>
      <c r="D1460" t="inlineStr">
        <is>
          <t>4d660307540f701de87d8b57fb63fe374082bb12e51ce6746ae8780ba6f97e61</t>
        </is>
      </c>
    </row>
    <row r="1461">
      <c r="A1461" t="inlineStr">
        <is>
          <t>附表8</t>
        </is>
      </c>
      <c r="B1461" t="inlineStr">
        <is>
          <t>V8</t>
        </is>
      </c>
      <c r="C1461" t="inlineStr">
        <is>
          <t>'=F42</t>
        </is>
      </c>
      <c r="D1461" t="inlineStr">
        <is>
          <t>51bcfe715e71a9503b9dc1e8c3324bba547c3ee9795ee36f08b9cec084d868b5</t>
        </is>
      </c>
    </row>
    <row r="1462">
      <c r="A1462" t="inlineStr">
        <is>
          <t>附表8</t>
        </is>
      </c>
      <c r="B1462" t="inlineStr">
        <is>
          <t>W8</t>
        </is>
      </c>
      <c r="C1462" t="inlineStr">
        <is>
          <t>'=F43</t>
        </is>
      </c>
      <c r="D1462" t="inlineStr">
        <is>
          <t>5ed43acff7d7273cae47d75bb6fda8edf658c209d8c5e3d90f4b377158167227</t>
        </is>
      </c>
    </row>
    <row r="1463">
      <c r="A1463" t="inlineStr">
        <is>
          <t>附表8</t>
        </is>
      </c>
      <c r="B1463" t="inlineStr">
        <is>
          <t>X8</t>
        </is>
      </c>
      <c r="C1463" t="inlineStr">
        <is>
          <t>'=F44</t>
        </is>
      </c>
      <c r="D1463" t="inlineStr">
        <is>
          <t>f37a1fdd612a2a52de72d96c6f42c874cdce8689c44c742b165e94e19f0498eb</t>
        </is>
      </c>
    </row>
    <row r="1464">
      <c r="A1464" t="inlineStr">
        <is>
          <t>附表8</t>
        </is>
      </c>
      <c r="B1464" t="inlineStr">
        <is>
          <t>Y8</t>
        </is>
      </c>
      <c r="C1464" t="inlineStr">
        <is>
          <t>'=F45</t>
        </is>
      </c>
      <c r="D1464" t="inlineStr">
        <is>
          <t>06def0091c351652fa09e1b637f42d219320d211c5dfd59fda18534229d2cffe</t>
        </is>
      </c>
    </row>
    <row r="1465">
      <c r="A1465" t="inlineStr">
        <is>
          <t>附表8</t>
        </is>
      </c>
      <c r="B1465" t="inlineStr">
        <is>
          <t>Z8</t>
        </is>
      </c>
      <c r="C1465" t="inlineStr">
        <is>
          <t>'=F46</t>
        </is>
      </c>
      <c r="D1465" t="inlineStr">
        <is>
          <t>f46c6fb9289c6fb6e134cefe4ab02b4804529f6d8b98a91263373a07daa212ee</t>
        </is>
      </c>
    </row>
    <row r="1466">
      <c r="A1466" t="inlineStr">
        <is>
          <t>附表8</t>
        </is>
      </c>
      <c r="B1466" t="inlineStr">
        <is>
          <t>AA8</t>
        </is>
      </c>
      <c r="C1466" t="inlineStr">
        <is>
          <t>'=F47</t>
        </is>
      </c>
      <c r="D1466" t="inlineStr">
        <is>
          <t>48d4405c28ea6850ef1aee2335d16cc54817b94360f60975219fab32bb976ac3</t>
        </is>
      </c>
    </row>
    <row r="1467">
      <c r="A1467" t="inlineStr">
        <is>
          <t>附表8</t>
        </is>
      </c>
      <c r="B1467" t="inlineStr">
        <is>
          <t>C9</t>
        </is>
      </c>
      <c r="C1467" t="inlineStr">
        <is>
          <t>'=AA9</t>
        </is>
      </c>
      <c r="D1467" t="inlineStr">
        <is>
          <t>380c99d8a35b64ffe07066f559702d63197dffdaf7705d171a532b4bb4424d60</t>
        </is>
      </c>
    </row>
    <row r="1468">
      <c r="A1468" t="inlineStr">
        <is>
          <t>附表8</t>
        </is>
      </c>
      <c r="B1468" t="inlineStr">
        <is>
          <t>D9</t>
        </is>
      </c>
      <c r="C1468" t="inlineStr">
        <is>
          <t>'=H24</t>
        </is>
      </c>
      <c r="D1468" t="inlineStr">
        <is>
          <t>8d0b1e84600282eca62b3424e9540db362083b1975228dbedc985f087cc8e1b3</t>
        </is>
      </c>
    </row>
    <row r="1469">
      <c r="A1469" t="inlineStr">
        <is>
          <t>附表8</t>
        </is>
      </c>
      <c r="B1469" t="inlineStr">
        <is>
          <t>E9</t>
        </is>
      </c>
      <c r="C1469" t="inlineStr">
        <is>
          <t>'=H25</t>
        </is>
      </c>
      <c r="D1469" t="inlineStr">
        <is>
          <t>7fe644f4c1ede5f733c14eea39a1a9a1c7513224b6eccb11df9fcb7955e967d1</t>
        </is>
      </c>
    </row>
    <row r="1470">
      <c r="A1470" t="inlineStr">
        <is>
          <t>附表8</t>
        </is>
      </c>
      <c r="B1470" t="inlineStr">
        <is>
          <t>F9</t>
        </is>
      </c>
      <c r="C1470" t="inlineStr">
        <is>
          <t>'=H26</t>
        </is>
      </c>
      <c r="D1470" t="inlineStr">
        <is>
          <t>d8fb3d229df8698e8d47b7d66bbca5ffddf4740d2a7e3aab7695b6d306959394</t>
        </is>
      </c>
    </row>
    <row r="1471">
      <c r="A1471" t="inlineStr">
        <is>
          <t>附表8</t>
        </is>
      </c>
      <c r="B1471" t="inlineStr">
        <is>
          <t>G9</t>
        </is>
      </c>
      <c r="C1471" t="inlineStr">
        <is>
          <t>'=H27</t>
        </is>
      </c>
      <c r="D1471" t="inlineStr">
        <is>
          <t>fc660f4cd545d3c398b76e857966ea1ff6c1352deec67afbc7b988cde7991d77</t>
        </is>
      </c>
    </row>
    <row r="1472">
      <c r="A1472" t="inlineStr">
        <is>
          <t>附表8</t>
        </is>
      </c>
      <c r="B1472" t="inlineStr">
        <is>
          <t>H9</t>
        </is>
      </c>
      <c r="C1472" t="inlineStr">
        <is>
          <t>'=H28</t>
        </is>
      </c>
      <c r="D1472" t="inlineStr">
        <is>
          <t>8272d75fbea47801d43688c2491bb00d0a5a8c69f8aae4a036684314c0acafa6</t>
        </is>
      </c>
    </row>
    <row r="1473">
      <c r="A1473" t="inlineStr">
        <is>
          <t>附表8</t>
        </is>
      </c>
      <c r="B1473" t="inlineStr">
        <is>
          <t>I9</t>
        </is>
      </c>
      <c r="C1473" t="inlineStr">
        <is>
          <t>'=H29</t>
        </is>
      </c>
      <c r="D1473" t="inlineStr">
        <is>
          <t>31f0dea7ffd623287e9ff827b3672ad7eb78cdc1d789dc4d7b9f7387ce85fb49</t>
        </is>
      </c>
    </row>
    <row r="1474">
      <c r="A1474" t="inlineStr">
        <is>
          <t>附表8</t>
        </is>
      </c>
      <c r="B1474" t="inlineStr">
        <is>
          <t>J9</t>
        </is>
      </c>
      <c r="C1474" t="inlineStr">
        <is>
          <t>'=H30</t>
        </is>
      </c>
      <c r="D1474" t="inlineStr">
        <is>
          <t>bf18e57a36fdb0fa286b8edf8ae91887839dce5d2e5865b905e5d29cf16aaf3d</t>
        </is>
      </c>
    </row>
    <row r="1475">
      <c r="A1475" t="inlineStr">
        <is>
          <t>附表8</t>
        </is>
      </c>
      <c r="B1475" t="inlineStr">
        <is>
          <t>K9</t>
        </is>
      </c>
      <c r="C1475" t="inlineStr">
        <is>
          <t>'=H31</t>
        </is>
      </c>
      <c r="D1475" t="inlineStr">
        <is>
          <t>6fbfebce6890494a02b551d89fdc984985058303642263622a40bf2417078fbf</t>
        </is>
      </c>
    </row>
    <row r="1476">
      <c r="A1476" t="inlineStr">
        <is>
          <t>附表8</t>
        </is>
      </c>
      <c r="B1476" t="inlineStr">
        <is>
          <t>L9</t>
        </is>
      </c>
      <c r="C1476" t="inlineStr">
        <is>
          <t>'=H32</t>
        </is>
      </c>
      <c r="D1476" t="inlineStr">
        <is>
          <t>47a52dc78fdf16a9ad7f8ac3893cb2331acf56bedc99b61790a87d61ca993a0b</t>
        </is>
      </c>
    </row>
    <row r="1477">
      <c r="A1477" t="inlineStr">
        <is>
          <t>附表8</t>
        </is>
      </c>
      <c r="B1477" t="inlineStr">
        <is>
          <t>M9</t>
        </is>
      </c>
      <c r="C1477" t="inlineStr">
        <is>
          <t>'=H33</t>
        </is>
      </c>
      <c r="D1477" t="inlineStr">
        <is>
          <t>63035af1ad631060eb266fc710663ddabcccf9484581e813935b41662a3cace4</t>
        </is>
      </c>
    </row>
    <row r="1478">
      <c r="A1478" t="inlineStr">
        <is>
          <t>附表8</t>
        </is>
      </c>
      <c r="B1478" t="inlineStr">
        <is>
          <t>N9</t>
        </is>
      </c>
      <c r="C1478" t="inlineStr">
        <is>
          <t>'=H34</t>
        </is>
      </c>
      <c r="D1478" t="inlineStr">
        <is>
          <t>1e0864270237a415b46d4a19c3ac2ac68618a28d08561a0460c7ceab11b2a458</t>
        </is>
      </c>
    </row>
    <row r="1479">
      <c r="A1479" t="inlineStr">
        <is>
          <t>附表8</t>
        </is>
      </c>
      <c r="B1479" t="inlineStr">
        <is>
          <t>O9</t>
        </is>
      </c>
      <c r="C1479" t="inlineStr">
        <is>
          <t>'=H35</t>
        </is>
      </c>
      <c r="D1479" t="inlineStr">
        <is>
          <t>e3a90c345cce2e508a421c6aced25d7d862dc0c0a04c15070caa45927796f2bd</t>
        </is>
      </c>
    </row>
    <row r="1480">
      <c r="A1480" t="inlineStr">
        <is>
          <t>附表8</t>
        </is>
      </c>
      <c r="B1480" t="inlineStr">
        <is>
          <t>P9</t>
        </is>
      </c>
      <c r="C1480" t="inlineStr">
        <is>
          <t>'=H36</t>
        </is>
      </c>
      <c r="D1480" t="inlineStr">
        <is>
          <t>76efe60b5f62fd80f1c28260f60e07519fe7c7caf191bd10cdd1a8005cff78af</t>
        </is>
      </c>
    </row>
    <row r="1481">
      <c r="A1481" t="inlineStr">
        <is>
          <t>附表8</t>
        </is>
      </c>
      <c r="B1481" t="inlineStr">
        <is>
          <t>Q9</t>
        </is>
      </c>
      <c r="C1481" t="inlineStr">
        <is>
          <t>'=H37</t>
        </is>
      </c>
      <c r="D1481" t="inlineStr">
        <is>
          <t>415d82ace76e427764c8f9f1a68174cae19ab2cdc09775e575bee3aec994362d</t>
        </is>
      </c>
    </row>
    <row r="1482">
      <c r="A1482" t="inlineStr">
        <is>
          <t>附表8</t>
        </is>
      </c>
      <c r="B1482" t="inlineStr">
        <is>
          <t>R9</t>
        </is>
      </c>
      <c r="C1482" t="inlineStr">
        <is>
          <t>'=H38</t>
        </is>
      </c>
      <c r="D1482" t="inlineStr">
        <is>
          <t>b8ba4d13fbd7df659a49a751b176d3d910b7195e099a90d842b96bd051376050</t>
        </is>
      </c>
    </row>
    <row r="1483">
      <c r="A1483" t="inlineStr">
        <is>
          <t>附表8</t>
        </is>
      </c>
      <c r="B1483" t="inlineStr">
        <is>
          <t>S9</t>
        </is>
      </c>
      <c r="C1483" t="inlineStr">
        <is>
          <t>'=H39</t>
        </is>
      </c>
      <c r="D1483" t="inlineStr">
        <is>
          <t>ec171282b89697f50fb62c1734d4ea481150e6499a6b59a86f98c9624dc673d4</t>
        </is>
      </c>
    </row>
    <row r="1484">
      <c r="A1484" t="inlineStr">
        <is>
          <t>附表8</t>
        </is>
      </c>
      <c r="B1484" t="inlineStr">
        <is>
          <t>T9</t>
        </is>
      </c>
      <c r="C1484" t="inlineStr">
        <is>
          <t>'=H40</t>
        </is>
      </c>
      <c r="D1484" t="inlineStr">
        <is>
          <t>59e6c3abe94e197acb7b1f94ae917c21cf4c2c0ad9464a97cff374d5fbc1a165</t>
        </is>
      </c>
    </row>
    <row r="1485">
      <c r="A1485" t="inlineStr">
        <is>
          <t>附表8</t>
        </is>
      </c>
      <c r="B1485" t="inlineStr">
        <is>
          <t>U9</t>
        </is>
      </c>
      <c r="C1485" t="inlineStr">
        <is>
          <t>'=H41</t>
        </is>
      </c>
      <c r="D1485" t="inlineStr">
        <is>
          <t>560a6bc49e899f2d825d737185425c04b44fe460d1b1433285febc8b66de2112</t>
        </is>
      </c>
    </row>
    <row r="1486">
      <c r="A1486" t="inlineStr">
        <is>
          <t>附表8</t>
        </is>
      </c>
      <c r="B1486" t="inlineStr">
        <is>
          <t>V9</t>
        </is>
      </c>
      <c r="C1486" t="inlineStr">
        <is>
          <t>'=H42</t>
        </is>
      </c>
      <c r="D1486" t="inlineStr">
        <is>
          <t>0de846fe3162edf0e207f2648ecb242b40198cc50321cd1565f0137ce3821862</t>
        </is>
      </c>
    </row>
    <row r="1487">
      <c r="A1487" t="inlineStr">
        <is>
          <t>附表8</t>
        </is>
      </c>
      <c r="B1487" t="inlineStr">
        <is>
          <t>W9</t>
        </is>
      </c>
      <c r="C1487" t="inlineStr">
        <is>
          <t>'=H43</t>
        </is>
      </c>
      <c r="D1487" t="inlineStr">
        <is>
          <t>543fa4d3410971537580e52e60a68821995f3721e7028d96d8df3508bb7367f9</t>
        </is>
      </c>
    </row>
    <row r="1488">
      <c r="A1488" t="inlineStr">
        <is>
          <t>附表8</t>
        </is>
      </c>
      <c r="B1488" t="inlineStr">
        <is>
          <t>X9</t>
        </is>
      </c>
      <c r="C1488" t="inlineStr">
        <is>
          <t>'=H44</t>
        </is>
      </c>
      <c r="D1488" t="inlineStr">
        <is>
          <t>ae10b9235b486bd94051f44b037991939594cb920d56275bb0daf7caa2b48e91</t>
        </is>
      </c>
    </row>
    <row r="1489">
      <c r="A1489" t="inlineStr">
        <is>
          <t>附表8</t>
        </is>
      </c>
      <c r="B1489" t="inlineStr">
        <is>
          <t>Y9</t>
        </is>
      </c>
      <c r="C1489" t="inlineStr">
        <is>
          <t>'=H45</t>
        </is>
      </c>
      <c r="D1489" t="inlineStr">
        <is>
          <t>1707f4e3e8703106933919d8a549a150f71de04029ab1cb16454ca38f603b421</t>
        </is>
      </c>
    </row>
    <row r="1490">
      <c r="A1490" t="inlineStr">
        <is>
          <t>附表8</t>
        </is>
      </c>
      <c r="B1490" t="inlineStr">
        <is>
          <t>Z9</t>
        </is>
      </c>
      <c r="C1490" t="inlineStr">
        <is>
          <t>'=H46</t>
        </is>
      </c>
      <c r="D1490" t="inlineStr">
        <is>
          <t>6cf160dd7053eed8de9a4fe5c23a48989b45a8da329f09bc054d5d87463b4e62</t>
        </is>
      </c>
    </row>
    <row r="1491">
      <c r="A1491" t="inlineStr">
        <is>
          <t>附表8</t>
        </is>
      </c>
      <c r="B1491" t="inlineStr">
        <is>
          <t>AA9</t>
        </is>
      </c>
      <c r="C1491" t="inlineStr">
        <is>
          <t>'=H47</t>
        </is>
      </c>
      <c r="D1491" t="inlineStr">
        <is>
          <t>92a350a335c6604e43df44a10b017cc97d6f40435590a43409c82893630ad922</t>
        </is>
      </c>
    </row>
    <row r="1492">
      <c r="A1492" t="inlineStr">
        <is>
          <t>附表8</t>
        </is>
      </c>
      <c r="B1492" t="inlineStr">
        <is>
          <t>C11</t>
        </is>
      </c>
      <c r="C1492" t="inlineStr">
        <is>
          <t>'=SUM(D11,E11,F11,G11,H11,I11,J11,K11,L11,M11,N11,O11,P11,Q11,R11,S11,T11,U11,V11,W11,X11,Y11,Z11,AA11)</t>
        </is>
      </c>
      <c r="D1492" t="inlineStr">
        <is>
          <t>d45c549915a6566f2febe41a986bf8e177535253cf10beec035e932ae598c6ac</t>
        </is>
      </c>
    </row>
    <row r="1493">
      <c r="A1493" t="inlineStr">
        <is>
          <t>附表8</t>
        </is>
      </c>
      <c r="B1493" t="inlineStr">
        <is>
          <t>D11</t>
        </is>
      </c>
      <c r="C1493" t="inlineStr">
        <is>
          <t>'=I24</t>
        </is>
      </c>
      <c r="D1493" t="inlineStr">
        <is>
          <t>3a8efbd9cce0596d0de37ddaa2cefed7f2d68be60c5a939c368bf3507e4748ab</t>
        </is>
      </c>
    </row>
    <row r="1494">
      <c r="A1494" t="inlineStr">
        <is>
          <t>附表8</t>
        </is>
      </c>
      <c r="B1494" t="inlineStr">
        <is>
          <t>E11</t>
        </is>
      </c>
      <c r="C1494" t="inlineStr">
        <is>
          <t>'=I25</t>
        </is>
      </c>
      <c r="D1494" t="inlineStr">
        <is>
          <t>5fd0fa36ecb6927eeae1af306fe231bc1b2d6482fba9bd66d61fd3da9d246b64</t>
        </is>
      </c>
    </row>
    <row r="1495">
      <c r="A1495" t="inlineStr">
        <is>
          <t>附表8</t>
        </is>
      </c>
      <c r="B1495" t="inlineStr">
        <is>
          <t>F11</t>
        </is>
      </c>
      <c r="C1495" t="inlineStr">
        <is>
          <t>'=I26</t>
        </is>
      </c>
      <c r="D1495" t="inlineStr">
        <is>
          <t>2ce67ea24d9e6d544f4f6ac89a602c8797c478ba26737ef5371b0b4134d4872e</t>
        </is>
      </c>
    </row>
    <row r="1496">
      <c r="A1496" t="inlineStr">
        <is>
          <t>附表8</t>
        </is>
      </c>
      <c r="B1496" t="inlineStr">
        <is>
          <t>G11</t>
        </is>
      </c>
      <c r="C1496" t="inlineStr">
        <is>
          <t>'=I27</t>
        </is>
      </c>
      <c r="D1496" t="inlineStr">
        <is>
          <t>f934c10bb7713ce206d973def852cacc18726fa22acdedd683cb4c8dc66fdba1</t>
        </is>
      </c>
    </row>
    <row r="1497">
      <c r="A1497" t="inlineStr">
        <is>
          <t>附表8</t>
        </is>
      </c>
      <c r="B1497" t="inlineStr">
        <is>
          <t>H11</t>
        </is>
      </c>
      <c r="C1497" t="inlineStr">
        <is>
          <t>'=I28</t>
        </is>
      </c>
      <c r="D1497" t="inlineStr">
        <is>
          <t>9ce086bcbe4f1c3031bec5c37b2d198422d897eaedc7fc4a9175ff1d8578f44c</t>
        </is>
      </c>
    </row>
    <row r="1498">
      <c r="A1498" t="inlineStr">
        <is>
          <t>附表8</t>
        </is>
      </c>
      <c r="B1498" t="inlineStr">
        <is>
          <t>I11</t>
        </is>
      </c>
      <c r="C1498" t="inlineStr">
        <is>
          <t>'=I29</t>
        </is>
      </c>
      <c r="D1498" t="inlineStr">
        <is>
          <t>24f56538b51d8f65c7f2b3380e6615e69ca9abb9ba46081b82f74b9efcc490a5</t>
        </is>
      </c>
    </row>
    <row r="1499">
      <c r="A1499" t="inlineStr">
        <is>
          <t>附表8</t>
        </is>
      </c>
      <c r="B1499" t="inlineStr">
        <is>
          <t>J11</t>
        </is>
      </c>
      <c r="C1499" t="inlineStr">
        <is>
          <t>'=I30</t>
        </is>
      </c>
      <c r="D1499" t="inlineStr">
        <is>
          <t>ece076a174232945297787d2c17deb3d7dc39b3e90a6c6d019ea53bd8ae1dbb9</t>
        </is>
      </c>
    </row>
    <row r="1500">
      <c r="A1500" t="inlineStr">
        <is>
          <t>附表8</t>
        </is>
      </c>
      <c r="B1500" t="inlineStr">
        <is>
          <t>K11</t>
        </is>
      </c>
      <c r="C1500" t="inlineStr">
        <is>
          <t>'=I31</t>
        </is>
      </c>
      <c r="D1500" t="inlineStr">
        <is>
          <t>60f947b966dde2c8d1310e6b9ea01b40bb60a883f0f5cb78f35a4fb940abd8d4</t>
        </is>
      </c>
    </row>
    <row r="1501">
      <c r="A1501" t="inlineStr">
        <is>
          <t>附表8</t>
        </is>
      </c>
      <c r="B1501" t="inlineStr">
        <is>
          <t>L11</t>
        </is>
      </c>
      <c r="C1501" t="inlineStr">
        <is>
          <t>'=I32</t>
        </is>
      </c>
      <c r="D1501" t="inlineStr">
        <is>
          <t>8f4390190eb776039530c2145a6931b38c44cb7c2a8c7eb66570dbcd3dbd96e4</t>
        </is>
      </c>
    </row>
    <row r="1502">
      <c r="A1502" t="inlineStr">
        <is>
          <t>附表8</t>
        </is>
      </c>
      <c r="B1502" t="inlineStr">
        <is>
          <t>M11</t>
        </is>
      </c>
      <c r="C1502" t="inlineStr">
        <is>
          <t>'=I33</t>
        </is>
      </c>
      <c r="D1502" t="inlineStr">
        <is>
          <t>3d6d10a649f7fee67ae3da5f77e7cb84a5a5da8d3c6b6d35fa96377378c3b2bd</t>
        </is>
      </c>
    </row>
    <row r="1503">
      <c r="A1503" t="inlineStr">
        <is>
          <t>附表8</t>
        </is>
      </c>
      <c r="B1503" t="inlineStr">
        <is>
          <t>N11</t>
        </is>
      </c>
      <c r="C1503" t="inlineStr">
        <is>
          <t>'=I34</t>
        </is>
      </c>
      <c r="D1503" t="inlineStr">
        <is>
          <t>5f0b86ba1bacc8b1be155f92e59665dc27aa021ef672ea69a1023a23f04c6ff8</t>
        </is>
      </c>
    </row>
    <row r="1504">
      <c r="A1504" t="inlineStr">
        <is>
          <t>附表8</t>
        </is>
      </c>
      <c r="B1504" t="inlineStr">
        <is>
          <t>O11</t>
        </is>
      </c>
      <c r="C1504" t="inlineStr">
        <is>
          <t>'=I35</t>
        </is>
      </c>
      <c r="D1504" t="inlineStr">
        <is>
          <t>0948bda3d3567276701147e2a0087d4e01c3ede8f027a1abcd65044baef550c3</t>
        </is>
      </c>
    </row>
    <row r="1505">
      <c r="A1505" t="inlineStr">
        <is>
          <t>附表8</t>
        </is>
      </c>
      <c r="B1505" t="inlineStr">
        <is>
          <t>P11</t>
        </is>
      </c>
      <c r="C1505" t="inlineStr">
        <is>
          <t>'=I36</t>
        </is>
      </c>
      <c r="D1505" t="inlineStr">
        <is>
          <t>4e1e9c3baa9b63e070e4b1751422f29afeb08959fbd5beacf28ea854c4b342c7</t>
        </is>
      </c>
    </row>
    <row r="1506">
      <c r="A1506" t="inlineStr">
        <is>
          <t>附表8</t>
        </is>
      </c>
      <c r="B1506" t="inlineStr">
        <is>
          <t>Q11</t>
        </is>
      </c>
      <c r="C1506" t="inlineStr">
        <is>
          <t>'=I37</t>
        </is>
      </c>
      <c r="D1506" t="inlineStr">
        <is>
          <t>a3f8fbada3b936244ab8c1fea3f5bb9c008caac25bac1533503f6cbc18af8810</t>
        </is>
      </c>
    </row>
    <row r="1507">
      <c r="A1507" t="inlineStr">
        <is>
          <t>附表8</t>
        </is>
      </c>
      <c r="B1507" t="inlineStr">
        <is>
          <t>R11</t>
        </is>
      </c>
      <c r="C1507" t="inlineStr">
        <is>
          <t>'=I38</t>
        </is>
      </c>
      <c r="D1507" t="inlineStr">
        <is>
          <t>c4aad7ad0d10e56950e3112b913784a243774d5e12a871f9a38cf5b8a67763ad</t>
        </is>
      </c>
    </row>
    <row r="1508">
      <c r="A1508" t="inlineStr">
        <is>
          <t>附表8</t>
        </is>
      </c>
      <c r="B1508" t="inlineStr">
        <is>
          <t>S11</t>
        </is>
      </c>
      <c r="C1508" t="inlineStr">
        <is>
          <t>'=I39</t>
        </is>
      </c>
      <c r="D1508" t="inlineStr">
        <is>
          <t>c84882d52f6d63d912dda74cb8a57e477daf42a45d0cf8c0bbe90420cccb3050</t>
        </is>
      </c>
    </row>
    <row r="1509">
      <c r="A1509" t="inlineStr">
        <is>
          <t>附表8</t>
        </is>
      </c>
      <c r="B1509" t="inlineStr">
        <is>
          <t>T11</t>
        </is>
      </c>
      <c r="C1509" t="inlineStr">
        <is>
          <t>'=I40</t>
        </is>
      </c>
      <c r="D1509" t="inlineStr">
        <is>
          <t>e6b718a294adb77dd94616e5eb89f27ec9ed0e0569b3782abe7e8f0228dc070b</t>
        </is>
      </c>
    </row>
    <row r="1510">
      <c r="A1510" t="inlineStr">
        <is>
          <t>附表8</t>
        </is>
      </c>
      <c r="B1510" t="inlineStr">
        <is>
          <t>U11</t>
        </is>
      </c>
      <c r="C1510" t="inlineStr">
        <is>
          <t>'=I41</t>
        </is>
      </c>
      <c r="D1510" t="inlineStr">
        <is>
          <t>80d10445349bd7c2b4207365ffd5757b7ef308a5118d057a045bca9a4b902d36</t>
        </is>
      </c>
    </row>
    <row r="1511">
      <c r="A1511" t="inlineStr">
        <is>
          <t>附表8</t>
        </is>
      </c>
      <c r="B1511" t="inlineStr">
        <is>
          <t>V11</t>
        </is>
      </c>
      <c r="C1511" t="inlineStr">
        <is>
          <t>'=I42</t>
        </is>
      </c>
      <c r="D1511" t="inlineStr">
        <is>
          <t>518c45aa06e365e3c2757f02d5a9f141a6e36aee2a97650a537c6083ee0fc14f</t>
        </is>
      </c>
    </row>
    <row r="1512">
      <c r="A1512" t="inlineStr">
        <is>
          <t>附表8</t>
        </is>
      </c>
      <c r="B1512" t="inlineStr">
        <is>
          <t>W11</t>
        </is>
      </c>
      <c r="C1512" t="inlineStr">
        <is>
          <t>'=I43</t>
        </is>
      </c>
      <c r="D1512" t="inlineStr">
        <is>
          <t>f8231a46b23327c5fc2eb851f4ceff9867c9bf19c97bbd214e991736b185e9d9</t>
        </is>
      </c>
    </row>
    <row r="1513">
      <c r="A1513" t="inlineStr">
        <is>
          <t>附表8</t>
        </is>
      </c>
      <c r="B1513" t="inlineStr">
        <is>
          <t>X11</t>
        </is>
      </c>
      <c r="C1513" t="inlineStr">
        <is>
          <t>'=I44</t>
        </is>
      </c>
      <c r="D1513" t="inlineStr">
        <is>
          <t>b6fa733e3c8ab81db06c1e3485562790140a902a3423a9854de485ae0bb1e6c2</t>
        </is>
      </c>
    </row>
    <row r="1514">
      <c r="A1514" t="inlineStr">
        <is>
          <t>附表8</t>
        </is>
      </c>
      <c r="B1514" t="inlineStr">
        <is>
          <t>Y11</t>
        </is>
      </c>
      <c r="C1514" t="inlineStr">
        <is>
          <t>'=I45</t>
        </is>
      </c>
      <c r="D1514" t="inlineStr">
        <is>
          <t>2b07bdec83c25ebc4d9e4a8db28f4751f5699aa46e9357774ff97b19bad92c3a</t>
        </is>
      </c>
    </row>
    <row r="1515">
      <c r="A1515" t="inlineStr">
        <is>
          <t>附表8</t>
        </is>
      </c>
      <c r="B1515" t="inlineStr">
        <is>
          <t>Z11</t>
        </is>
      </c>
      <c r="C1515" t="inlineStr">
        <is>
          <t>'=I46</t>
        </is>
      </c>
      <c r="D1515" t="inlineStr">
        <is>
          <t>5d4d9dbb0d749c35b6dfbac3ba9f15806f2410b9b08d55adde925a0305f5d69f</t>
        </is>
      </c>
    </row>
    <row r="1516">
      <c r="A1516" t="inlineStr">
        <is>
          <t>附表8</t>
        </is>
      </c>
      <c r="B1516" t="inlineStr">
        <is>
          <t>AA11</t>
        </is>
      </c>
      <c r="C1516" t="inlineStr">
        <is>
          <t>'=I47</t>
        </is>
      </c>
      <c r="D1516" t="inlineStr">
        <is>
          <t>52fe25912bc51351edefe89134f6247166391eaf5d2b24586bee0f0408c1e449</t>
        </is>
      </c>
    </row>
    <row r="1517">
      <c r="A1517" t="inlineStr">
        <is>
          <t>附表8</t>
        </is>
      </c>
      <c r="B1517" t="inlineStr">
        <is>
          <t>C12</t>
        </is>
      </c>
      <c r="C1517" t="inlineStr">
        <is>
          <t>'=SUM(D12,E12,F12,G12,H12,I12,J12,K12,L12,M12,N12,O12,P12,Q12,R12,S12,T12,U12,V12,W12,X12,Y12,Z12,AA12)</t>
        </is>
      </c>
      <c r="D1517" t="inlineStr">
        <is>
          <t>a3bbeb1b258686c4090bca68d322e660b1a8c45b896293c219eb8e5890f0ba61</t>
        </is>
      </c>
    </row>
    <row r="1518">
      <c r="A1518" t="inlineStr">
        <is>
          <t>附表8</t>
        </is>
      </c>
      <c r="B1518" t="inlineStr">
        <is>
          <t>D12</t>
        </is>
      </c>
      <c r="C1518" t="inlineStr">
        <is>
          <t>'=J24</t>
        </is>
      </c>
      <c r="D1518" t="inlineStr">
        <is>
          <t>8159f3346bd64ed0a0803803be40318973397c0ab3c36273d4b0978b7a01d010</t>
        </is>
      </c>
    </row>
    <row r="1519">
      <c r="A1519" t="inlineStr">
        <is>
          <t>附表8</t>
        </is>
      </c>
      <c r="B1519" t="inlineStr">
        <is>
          <t>E12</t>
        </is>
      </c>
      <c r="C1519" t="inlineStr">
        <is>
          <t>'=J25</t>
        </is>
      </c>
      <c r="D1519" t="inlineStr">
        <is>
          <t>8c29d2eae5713f571782f0b765731a16a575d120bc2cec87983f09769818618a</t>
        </is>
      </c>
    </row>
    <row r="1520">
      <c r="A1520" t="inlineStr">
        <is>
          <t>附表8</t>
        </is>
      </c>
      <c r="B1520" t="inlineStr">
        <is>
          <t>F12</t>
        </is>
      </c>
      <c r="C1520" t="inlineStr">
        <is>
          <t>'=J26</t>
        </is>
      </c>
      <c r="D1520" t="inlineStr">
        <is>
          <t>70d30c256e5bb44b25126bd8c8fdb9b3ce3225568d5d7ce5853f705897a129b0</t>
        </is>
      </c>
    </row>
    <row r="1521">
      <c r="A1521" t="inlineStr">
        <is>
          <t>附表8</t>
        </is>
      </c>
      <c r="B1521" t="inlineStr">
        <is>
          <t>G12</t>
        </is>
      </c>
      <c r="C1521" t="inlineStr">
        <is>
          <t>'=J27</t>
        </is>
      </c>
      <c r="D1521" t="inlineStr">
        <is>
          <t>32c0ca9426e2a877fc4f7639d5f3d33da4ecc8fd6ba5266f163bd89860045e2a</t>
        </is>
      </c>
    </row>
    <row r="1522">
      <c r="A1522" t="inlineStr">
        <is>
          <t>附表8</t>
        </is>
      </c>
      <c r="B1522" t="inlineStr">
        <is>
          <t>H12</t>
        </is>
      </c>
      <c r="C1522" t="inlineStr">
        <is>
          <t>'=J28</t>
        </is>
      </c>
      <c r="D1522" t="inlineStr">
        <is>
          <t>e5d0d9380122e0fcbe98ae8a14e465269ff3c8c066984d4ff3abb66274122c44</t>
        </is>
      </c>
    </row>
    <row r="1523">
      <c r="A1523" t="inlineStr">
        <is>
          <t>附表8</t>
        </is>
      </c>
      <c r="B1523" t="inlineStr">
        <is>
          <t>I12</t>
        </is>
      </c>
      <c r="C1523" t="inlineStr">
        <is>
          <t>'=J29</t>
        </is>
      </c>
      <c r="D1523" t="inlineStr">
        <is>
          <t>ce1e8fdac9e53ba560ed1ac79e3d38bbb220acb5e6599d169605e34cb87eb10f</t>
        </is>
      </c>
    </row>
    <row r="1524">
      <c r="A1524" t="inlineStr">
        <is>
          <t>附表8</t>
        </is>
      </c>
      <c r="B1524" t="inlineStr">
        <is>
          <t>J12</t>
        </is>
      </c>
      <c r="C1524" t="inlineStr">
        <is>
          <t>'=J30</t>
        </is>
      </c>
      <c r="D1524" t="inlineStr">
        <is>
          <t>c1f27019806f74a264bfcffc32b05d2b889d3d530972092e104cec6284307a62</t>
        </is>
      </c>
    </row>
    <row r="1525">
      <c r="A1525" t="inlineStr">
        <is>
          <t>附表8</t>
        </is>
      </c>
      <c r="B1525" t="inlineStr">
        <is>
          <t>K12</t>
        </is>
      </c>
      <c r="C1525" t="inlineStr">
        <is>
          <t>'=J31</t>
        </is>
      </c>
      <c r="D1525" t="inlineStr">
        <is>
          <t>2b51c78c6eac0624f42c5a9c86bfb80e997f36dc07d4daa66b51589fb1ecb270</t>
        </is>
      </c>
    </row>
    <row r="1526">
      <c r="A1526" t="inlineStr">
        <is>
          <t>附表8</t>
        </is>
      </c>
      <c r="B1526" t="inlineStr">
        <is>
          <t>L12</t>
        </is>
      </c>
      <c r="C1526" t="inlineStr">
        <is>
          <t>'=J32</t>
        </is>
      </c>
      <c r="D1526" t="inlineStr">
        <is>
          <t>d26969d7e96b0d056b822c6c8fa8a7dccdca6b3b8f121972895c4c310da04427</t>
        </is>
      </c>
    </row>
    <row r="1527">
      <c r="A1527" t="inlineStr">
        <is>
          <t>附表8</t>
        </is>
      </c>
      <c r="B1527" t="inlineStr">
        <is>
          <t>M12</t>
        </is>
      </c>
      <c r="C1527" t="inlineStr">
        <is>
          <t>'=J33</t>
        </is>
      </c>
      <c r="D1527" t="inlineStr">
        <is>
          <t>744d791483ec101b9f1f36d4ede68c1016bd783e183c74f3eeb19bced937be42</t>
        </is>
      </c>
    </row>
    <row r="1528">
      <c r="A1528" t="inlineStr">
        <is>
          <t>附表8</t>
        </is>
      </c>
      <c r="B1528" t="inlineStr">
        <is>
          <t>N12</t>
        </is>
      </c>
      <c r="C1528" t="inlineStr">
        <is>
          <t>'=J34</t>
        </is>
      </c>
      <c r="D1528" t="inlineStr">
        <is>
          <t>8c3fb0e9d412ce45f1fdcc0313fda541c1f1b1498ddae1ce476e897da1535d2e</t>
        </is>
      </c>
    </row>
    <row r="1529">
      <c r="A1529" t="inlineStr">
        <is>
          <t>附表8</t>
        </is>
      </c>
      <c r="B1529" t="inlineStr">
        <is>
          <t>O12</t>
        </is>
      </c>
      <c r="C1529" t="inlineStr">
        <is>
          <t>'=J35</t>
        </is>
      </c>
      <c r="D1529" t="inlineStr">
        <is>
          <t>38693d58d56cf00a8420d79fa6202863e6e6174d6e12d41526dd945d8ff26685</t>
        </is>
      </c>
    </row>
    <row r="1530">
      <c r="A1530" t="inlineStr">
        <is>
          <t>附表8</t>
        </is>
      </c>
      <c r="B1530" t="inlineStr">
        <is>
          <t>P12</t>
        </is>
      </c>
      <c r="C1530" t="inlineStr">
        <is>
          <t>'=J36</t>
        </is>
      </c>
      <c r="D1530" t="inlineStr">
        <is>
          <t>a2e0c8b8ed78f6a384c8c7dba028fed6d67c755c77c6f4f5047f9821cbdb2f4b</t>
        </is>
      </c>
    </row>
    <row r="1531">
      <c r="A1531" t="inlineStr">
        <is>
          <t>附表8</t>
        </is>
      </c>
      <c r="B1531" t="inlineStr">
        <is>
          <t>Q12</t>
        </is>
      </c>
      <c r="C1531" t="inlineStr">
        <is>
          <t>'=J37</t>
        </is>
      </c>
      <c r="D1531" t="inlineStr">
        <is>
          <t>bd096b20155e6f80537ceeadb169e37c27cbe7d2859cd0ab9ed35d3dfd1d4770</t>
        </is>
      </c>
    </row>
    <row r="1532">
      <c r="A1532" t="inlineStr">
        <is>
          <t>附表8</t>
        </is>
      </c>
      <c r="B1532" t="inlineStr">
        <is>
          <t>R12</t>
        </is>
      </c>
      <c r="C1532" t="inlineStr">
        <is>
          <t>'=J38</t>
        </is>
      </c>
      <c r="D1532" t="inlineStr">
        <is>
          <t>4c86fe101c0269540d3412c98b8abdf0d4c2bd8161d297aae06980c6b3639e95</t>
        </is>
      </c>
    </row>
    <row r="1533">
      <c r="A1533" t="inlineStr">
        <is>
          <t>附表8</t>
        </is>
      </c>
      <c r="B1533" t="inlineStr">
        <is>
          <t>S12</t>
        </is>
      </c>
      <c r="C1533" t="inlineStr">
        <is>
          <t>'=J39</t>
        </is>
      </c>
      <c r="D1533" t="inlineStr">
        <is>
          <t>417b70d283caca2159de162eabbd9698ec9e35b035edcbcac175b517bfc4ef45</t>
        </is>
      </c>
    </row>
    <row r="1534">
      <c r="A1534" t="inlineStr">
        <is>
          <t>附表8</t>
        </is>
      </c>
      <c r="B1534" t="inlineStr">
        <is>
          <t>T12</t>
        </is>
      </c>
      <c r="C1534" t="inlineStr">
        <is>
          <t>'=J40</t>
        </is>
      </c>
      <c r="D1534" t="inlineStr">
        <is>
          <t>1721b4922b4e8ef27c6ec4013f7134c276ba21059b75b0ca83feea42b50dd70f</t>
        </is>
      </c>
    </row>
    <row r="1535">
      <c r="A1535" t="inlineStr">
        <is>
          <t>附表8</t>
        </is>
      </c>
      <c r="B1535" t="inlineStr">
        <is>
          <t>U12</t>
        </is>
      </c>
      <c r="C1535" t="inlineStr">
        <is>
          <t>'=J41</t>
        </is>
      </c>
      <c r="D1535" t="inlineStr">
        <is>
          <t>41675498ea4d80d40bc00a4ad055d0dbb8e36fdb43eb8b6a677006e6244bc033</t>
        </is>
      </c>
    </row>
    <row r="1536">
      <c r="A1536" t="inlineStr">
        <is>
          <t>附表8</t>
        </is>
      </c>
      <c r="B1536" t="inlineStr">
        <is>
          <t>V12</t>
        </is>
      </c>
      <c r="C1536" t="inlineStr">
        <is>
          <t>'=J42</t>
        </is>
      </c>
      <c r="D1536" t="inlineStr">
        <is>
          <t>8477c29a997dade8871ae4b4cbd3db88436610ecb1efddf544dfbad5c148f2da</t>
        </is>
      </c>
    </row>
    <row r="1537">
      <c r="A1537" t="inlineStr">
        <is>
          <t>附表8</t>
        </is>
      </c>
      <c r="B1537" t="inlineStr">
        <is>
          <t>W12</t>
        </is>
      </c>
      <c r="C1537" t="inlineStr">
        <is>
          <t>'=J43</t>
        </is>
      </c>
      <c r="D1537" t="inlineStr">
        <is>
          <t>de6d2b58a83f3cca29c6d6b64122a56221e2ac86f56609790d9246116a45073e</t>
        </is>
      </c>
    </row>
    <row r="1538">
      <c r="A1538" t="inlineStr">
        <is>
          <t>附表8</t>
        </is>
      </c>
      <c r="B1538" t="inlineStr">
        <is>
          <t>X12</t>
        </is>
      </c>
      <c r="C1538" t="inlineStr">
        <is>
          <t>'=J44</t>
        </is>
      </c>
      <c r="D1538" t="inlineStr">
        <is>
          <t>e2e645e782e1bbf0653dd2dfd649d9396f38f94c63ae7f05499d25f49e0b1f85</t>
        </is>
      </c>
    </row>
    <row r="1539">
      <c r="A1539" t="inlineStr">
        <is>
          <t>附表8</t>
        </is>
      </c>
      <c r="B1539" t="inlineStr">
        <is>
          <t>Y12</t>
        </is>
      </c>
      <c r="C1539" t="inlineStr">
        <is>
          <t>'=J45</t>
        </is>
      </c>
      <c r="D1539" t="inlineStr">
        <is>
          <t>c6502f028b33a5b6607bda6a892001d15f34f7023b2f8a17631aa431307bbc28</t>
        </is>
      </c>
    </row>
    <row r="1540">
      <c r="A1540" t="inlineStr">
        <is>
          <t>附表8</t>
        </is>
      </c>
      <c r="B1540" t="inlineStr">
        <is>
          <t>Z12</t>
        </is>
      </c>
      <c r="C1540" t="inlineStr">
        <is>
          <t>'=J46</t>
        </is>
      </c>
      <c r="D1540" t="inlineStr">
        <is>
          <t>6d2377249e978b930051008839647c4e1776ceb379a5736b9ab6c7b377a66666</t>
        </is>
      </c>
    </row>
    <row r="1541">
      <c r="A1541" t="inlineStr">
        <is>
          <t>附表8</t>
        </is>
      </c>
      <c r="B1541" t="inlineStr">
        <is>
          <t>AA12</t>
        </is>
      </c>
      <c r="C1541" t="inlineStr">
        <is>
          <t>'=J47</t>
        </is>
      </c>
      <c r="D1541" t="inlineStr">
        <is>
          <t>159b264146122421003cf63a9109084189d02314123cbb8d338d25141b794d13</t>
        </is>
      </c>
    </row>
    <row r="1542">
      <c r="A1542" t="inlineStr">
        <is>
          <t>附表8</t>
        </is>
      </c>
      <c r="B1542" t="inlineStr">
        <is>
          <t>C13</t>
        </is>
      </c>
      <c r="C1542" t="inlineStr">
        <is>
          <t>'=SUM(D13,E13,F13,G13,H13,I13,J13,K13,L13,M13,N13,O13,P13,Q13,R13,S13,T13,U13,V13,W13,X13,Y13,Z13,AA13)</t>
        </is>
      </c>
      <c r="D1542" t="inlineStr">
        <is>
          <t>99edba6dd21544495b52813990817d070f104c786469a0cf451a80fe371c9f11</t>
        </is>
      </c>
    </row>
    <row r="1543">
      <c r="A1543" t="inlineStr">
        <is>
          <t>附表8</t>
        </is>
      </c>
      <c r="B1543" t="inlineStr">
        <is>
          <t>D13</t>
        </is>
      </c>
      <c r="C1543" t="inlineStr">
        <is>
          <t>'=K24</t>
        </is>
      </c>
      <c r="D1543" t="inlineStr">
        <is>
          <t>775879c4589c7d593cbd2657592e0528d96e9567b10f3ad861989de13c1608e9</t>
        </is>
      </c>
    </row>
    <row r="1544">
      <c r="A1544" t="inlineStr">
        <is>
          <t>附表8</t>
        </is>
      </c>
      <c r="B1544" t="inlineStr">
        <is>
          <t>E13</t>
        </is>
      </c>
      <c r="C1544" t="inlineStr">
        <is>
          <t>'=K25</t>
        </is>
      </c>
      <c r="D1544" t="inlineStr">
        <is>
          <t>3369f68eba6ada71a428515ec8d88705e4956814e2937d0766dbb4c354e3a563</t>
        </is>
      </c>
    </row>
    <row r="1545">
      <c r="A1545" t="inlineStr">
        <is>
          <t>附表8</t>
        </is>
      </c>
      <c r="B1545" t="inlineStr">
        <is>
          <t>F13</t>
        </is>
      </c>
      <c r="C1545" t="inlineStr">
        <is>
          <t>'=K26</t>
        </is>
      </c>
      <c r="D1545" t="inlineStr">
        <is>
          <t>13ec867353b61880232b84166dcf246eb511a0cb8a4b61f4b01e22cb4264975a</t>
        </is>
      </c>
    </row>
    <row r="1546">
      <c r="A1546" t="inlineStr">
        <is>
          <t>附表8</t>
        </is>
      </c>
      <c r="B1546" t="inlineStr">
        <is>
          <t>G13</t>
        </is>
      </c>
      <c r="C1546" t="inlineStr">
        <is>
          <t>'=K27</t>
        </is>
      </c>
      <c r="D1546" t="inlineStr">
        <is>
          <t>f3ebe9989e7d5c1c2a41114ba3bd6d8f69252f8aff1aabc599812f45f16e9f80</t>
        </is>
      </c>
    </row>
    <row r="1547">
      <c r="A1547" t="inlineStr">
        <is>
          <t>附表8</t>
        </is>
      </c>
      <c r="B1547" t="inlineStr">
        <is>
          <t>H13</t>
        </is>
      </c>
      <c r="C1547" t="inlineStr">
        <is>
          <t>'=K28</t>
        </is>
      </c>
      <c r="D1547" t="inlineStr">
        <is>
          <t>fad226d82fee8489d2259cfc4aaaa92baa24f4d3ee5b20a2e70676770186715f</t>
        </is>
      </c>
    </row>
    <row r="1548">
      <c r="A1548" t="inlineStr">
        <is>
          <t>附表8</t>
        </is>
      </c>
      <c r="B1548" t="inlineStr">
        <is>
          <t>I13</t>
        </is>
      </c>
      <c r="C1548" t="inlineStr">
        <is>
          <t>'=K29</t>
        </is>
      </c>
      <c r="D1548" t="inlineStr">
        <is>
          <t>3a0ac9ac95e2dd5cdc5f387a59b6cc78ba63e8b0f8bdb6fd4841035dc5eb27d4</t>
        </is>
      </c>
    </row>
    <row r="1549">
      <c r="A1549" t="inlineStr">
        <is>
          <t>附表8</t>
        </is>
      </c>
      <c r="B1549" t="inlineStr">
        <is>
          <t>J13</t>
        </is>
      </c>
      <c r="C1549" t="inlineStr">
        <is>
          <t>'=K30</t>
        </is>
      </c>
      <c r="D1549" t="inlineStr">
        <is>
          <t>ff0fe53662d8df2e47569c9a6b76c6fabb70ece6fcf0304cb19e52f2c4b7cf76</t>
        </is>
      </c>
    </row>
    <row r="1550">
      <c r="A1550" t="inlineStr">
        <is>
          <t>附表8</t>
        </is>
      </c>
      <c r="B1550" t="inlineStr">
        <is>
          <t>K13</t>
        </is>
      </c>
      <c r="C1550" t="inlineStr">
        <is>
          <t>'=K31</t>
        </is>
      </c>
      <c r="D1550" t="inlineStr">
        <is>
          <t>060064846e9d3883f64157ed364c00187aea483c9b7219c28ef680d0c59f5147</t>
        </is>
      </c>
    </row>
    <row r="1551">
      <c r="A1551" t="inlineStr">
        <is>
          <t>附表8</t>
        </is>
      </c>
      <c r="B1551" t="inlineStr">
        <is>
          <t>L13</t>
        </is>
      </c>
      <c r="C1551" t="inlineStr">
        <is>
          <t>'=K32</t>
        </is>
      </c>
      <c r="D1551" t="inlineStr">
        <is>
          <t>0526bb8e548023c914cb8d878c474bc2b5aee30fa47d0a2b96be3218136c407b</t>
        </is>
      </c>
    </row>
    <row r="1552">
      <c r="A1552" t="inlineStr">
        <is>
          <t>附表8</t>
        </is>
      </c>
      <c r="B1552" t="inlineStr">
        <is>
          <t>M13</t>
        </is>
      </c>
      <c r="C1552" t="inlineStr">
        <is>
          <t>'=K33</t>
        </is>
      </c>
      <c r="D1552" t="inlineStr">
        <is>
          <t>7cce62bc8f25ee8cf7c69c03c9525494a36ea530729cd7334349954e26db73ab</t>
        </is>
      </c>
    </row>
    <row r="1553">
      <c r="A1553" t="inlineStr">
        <is>
          <t>附表8</t>
        </is>
      </c>
      <c r="B1553" t="inlineStr">
        <is>
          <t>N13</t>
        </is>
      </c>
      <c r="C1553" t="inlineStr">
        <is>
          <t>'=K34</t>
        </is>
      </c>
      <c r="D1553" t="inlineStr">
        <is>
          <t>7edf6d9ac3756b81e9f5d9fdbc47dfc9b640dd508579d0e4bd2fd037f252df78</t>
        </is>
      </c>
    </row>
    <row r="1554">
      <c r="A1554" t="inlineStr">
        <is>
          <t>附表8</t>
        </is>
      </c>
      <c r="B1554" t="inlineStr">
        <is>
          <t>O13</t>
        </is>
      </c>
      <c r="C1554" t="inlineStr">
        <is>
          <t>'=K35</t>
        </is>
      </c>
      <c r="D1554" t="inlineStr">
        <is>
          <t>5dc5d907316464d18b3676161c8f897cf2ee12c14e4d777dcda67fa5303ea352</t>
        </is>
      </c>
    </row>
    <row r="1555">
      <c r="A1555" t="inlineStr">
        <is>
          <t>附表8</t>
        </is>
      </c>
      <c r="B1555" t="inlineStr">
        <is>
          <t>P13</t>
        </is>
      </c>
      <c r="C1555" t="inlineStr">
        <is>
          <t>'=K36</t>
        </is>
      </c>
      <c r="D1555" t="inlineStr">
        <is>
          <t>efd5d6d589ae840993186cd7be03a291ea99a538c4abafa75c33cfafba541604</t>
        </is>
      </c>
    </row>
    <row r="1556">
      <c r="A1556" t="inlineStr">
        <is>
          <t>附表8</t>
        </is>
      </c>
      <c r="B1556" t="inlineStr">
        <is>
          <t>Q13</t>
        </is>
      </c>
      <c r="C1556" t="inlineStr">
        <is>
          <t>'=K37</t>
        </is>
      </c>
      <c r="D1556" t="inlineStr">
        <is>
          <t>f08636453078be430ff9696030bf47b022abb747ed0300a67d30ba27f59d6e81</t>
        </is>
      </c>
    </row>
    <row r="1557">
      <c r="A1557" t="inlineStr">
        <is>
          <t>附表8</t>
        </is>
      </c>
      <c r="B1557" t="inlineStr">
        <is>
          <t>R13</t>
        </is>
      </c>
      <c r="C1557" t="inlineStr">
        <is>
          <t>'=K38</t>
        </is>
      </c>
      <c r="D1557" t="inlineStr">
        <is>
          <t>522f113f443f797f2f772318b714bf983deb48c41f3a146fd882a4f7f8e9f4ab</t>
        </is>
      </c>
    </row>
    <row r="1558">
      <c r="A1558" t="inlineStr">
        <is>
          <t>附表8</t>
        </is>
      </c>
      <c r="B1558" t="inlineStr">
        <is>
          <t>S13</t>
        </is>
      </c>
      <c r="C1558" t="inlineStr">
        <is>
          <t>'=K39</t>
        </is>
      </c>
      <c r="D1558" t="inlineStr">
        <is>
          <t>8f439fb9a6c1d8b7af61da54619212a4e7688ca72fd4f99b07773c2af582172b</t>
        </is>
      </c>
    </row>
    <row r="1559">
      <c r="A1559" t="inlineStr">
        <is>
          <t>附表8</t>
        </is>
      </c>
      <c r="B1559" t="inlineStr">
        <is>
          <t>T13</t>
        </is>
      </c>
      <c r="C1559" t="inlineStr">
        <is>
          <t>'=K40</t>
        </is>
      </c>
      <c r="D1559" t="inlineStr">
        <is>
          <t>89c2ccba9bf980edc19ac92ac6756fe6e78c5e0d10fd80c966d1ba9259076120</t>
        </is>
      </c>
    </row>
    <row r="1560">
      <c r="A1560" t="inlineStr">
        <is>
          <t>附表8</t>
        </is>
      </c>
      <c r="B1560" t="inlineStr">
        <is>
          <t>U13</t>
        </is>
      </c>
      <c r="C1560" t="inlineStr">
        <is>
          <t>'=K41</t>
        </is>
      </c>
      <c r="D1560" t="inlineStr">
        <is>
          <t>a86cf3e03a736dda99f248dd68bdd6117c2428f7d1582875ac95df69fd31d377</t>
        </is>
      </c>
    </row>
    <row r="1561">
      <c r="A1561" t="inlineStr">
        <is>
          <t>附表8</t>
        </is>
      </c>
      <c r="B1561" t="inlineStr">
        <is>
          <t>V13</t>
        </is>
      </c>
      <c r="C1561" t="inlineStr">
        <is>
          <t>'=K42</t>
        </is>
      </c>
      <c r="D1561" t="inlineStr">
        <is>
          <t>41d7cd4ba7604ea76d478c3028c5f84e3baae0898487da87967675bd887b58d7</t>
        </is>
      </c>
    </row>
    <row r="1562">
      <c r="A1562" t="inlineStr">
        <is>
          <t>附表8</t>
        </is>
      </c>
      <c r="B1562" t="inlineStr">
        <is>
          <t>W13</t>
        </is>
      </c>
      <c r="C1562" t="inlineStr">
        <is>
          <t>'=K43</t>
        </is>
      </c>
      <c r="D1562" t="inlineStr">
        <is>
          <t>9ca858a939df01bc6ed7873978917519f9613af9e4fc8905873967c72e5fb723</t>
        </is>
      </c>
    </row>
    <row r="1563">
      <c r="A1563" t="inlineStr">
        <is>
          <t>附表8</t>
        </is>
      </c>
      <c r="B1563" t="inlineStr">
        <is>
          <t>X13</t>
        </is>
      </c>
      <c r="C1563" t="inlineStr">
        <is>
          <t>'=K44</t>
        </is>
      </c>
      <c r="D1563" t="inlineStr">
        <is>
          <t>3e5ba3f4156b176b8148bdf783ad12b0f941cadf892bab77806a15878344b0af</t>
        </is>
      </c>
    </row>
    <row r="1564">
      <c r="A1564" t="inlineStr">
        <is>
          <t>附表8</t>
        </is>
      </c>
      <c r="B1564" t="inlineStr">
        <is>
          <t>Y13</t>
        </is>
      </c>
      <c r="C1564" t="inlineStr">
        <is>
          <t>'=K45</t>
        </is>
      </c>
      <c r="D1564" t="inlineStr">
        <is>
          <t>c4528cfdc6c884cdcbc94b3c77475b2372a1df348274002397e7fab9ea4fbebe</t>
        </is>
      </c>
    </row>
    <row r="1565">
      <c r="A1565" t="inlineStr">
        <is>
          <t>附表8</t>
        </is>
      </c>
      <c r="B1565" t="inlineStr">
        <is>
          <t>Z13</t>
        </is>
      </c>
      <c r="C1565" t="inlineStr">
        <is>
          <t>'=K46</t>
        </is>
      </c>
      <c r="D1565" t="inlineStr">
        <is>
          <t>308f3d41dc6c0acb2cb9201d6c3ea93fef7ab087c87e7409fa3f6054cf10cebd</t>
        </is>
      </c>
    </row>
    <row r="1566">
      <c r="A1566" t="inlineStr">
        <is>
          <t>附表8</t>
        </is>
      </c>
      <c r="B1566" t="inlineStr">
        <is>
          <t>AA13</t>
        </is>
      </c>
      <c r="C1566" t="inlineStr">
        <is>
          <t>'=K47</t>
        </is>
      </c>
      <c r="D1566" t="inlineStr">
        <is>
          <t>3a046418e603adaed275cce90c805eb4ac02a4f86eb878318807328ce17ec8ac</t>
        </is>
      </c>
    </row>
    <row r="1567">
      <c r="A1567" t="inlineStr">
        <is>
          <t>附表8</t>
        </is>
      </c>
      <c r="B1567" t="inlineStr">
        <is>
          <t>C19</t>
        </is>
      </c>
      <c r="C1567" t="inlineStr">
        <is>
          <t>'=AA19</t>
        </is>
      </c>
      <c r="D1567" t="inlineStr">
        <is>
          <t>c17bd0397457e23817f98b9d1d4a74dc0556c4f400373aee7de17e84efdec0af</t>
        </is>
      </c>
    </row>
    <row r="1568">
      <c r="A1568" t="inlineStr">
        <is>
          <t>附表8</t>
        </is>
      </c>
      <c r="B1568" t="inlineStr">
        <is>
          <t>D19</t>
        </is>
      </c>
      <c r="C1568" t="inlineStr">
        <is>
          <t>'=M24</t>
        </is>
      </c>
      <c r="D1568" t="inlineStr">
        <is>
          <t>8bf248bbb54993f5d1ab87884d8085eecae7097fbf5ccc682c573f6816444d0a</t>
        </is>
      </c>
    </row>
    <row r="1569">
      <c r="A1569" t="inlineStr">
        <is>
          <t>附表8</t>
        </is>
      </c>
      <c r="B1569" t="inlineStr">
        <is>
          <t>E19</t>
        </is>
      </c>
      <c r="C1569" t="inlineStr">
        <is>
          <t>'=M25</t>
        </is>
      </c>
      <c r="D1569" t="inlineStr">
        <is>
          <t>4246d42433474cd48f21616b98a4ddf8c06536f9c2fb794f822f3ba9ab8cde9a</t>
        </is>
      </c>
    </row>
    <row r="1570">
      <c r="A1570" t="inlineStr">
        <is>
          <t>附表8</t>
        </is>
      </c>
      <c r="B1570" t="inlineStr">
        <is>
          <t>F19</t>
        </is>
      </c>
      <c r="C1570" t="inlineStr">
        <is>
          <t>'=M26</t>
        </is>
      </c>
      <c r="D1570" t="inlineStr">
        <is>
          <t>0944bb851102a30b65ef6305ebf832afef1781152eeee6990d1224eecbce2fca</t>
        </is>
      </c>
    </row>
    <row r="1571">
      <c r="A1571" t="inlineStr">
        <is>
          <t>附表8</t>
        </is>
      </c>
      <c r="B1571" t="inlineStr">
        <is>
          <t>G19</t>
        </is>
      </c>
      <c r="C1571" t="inlineStr">
        <is>
          <t>'=M27</t>
        </is>
      </c>
      <c r="D1571" t="inlineStr">
        <is>
          <t>0a52e6ac86b1200fb27f1f2c10e4a423f502cbf94bebf35e3d1fec6f31fda433</t>
        </is>
      </c>
    </row>
    <row r="1572">
      <c r="A1572" t="inlineStr">
        <is>
          <t>附表8</t>
        </is>
      </c>
      <c r="B1572" t="inlineStr">
        <is>
          <t>H19</t>
        </is>
      </c>
      <c r="C1572" t="inlineStr">
        <is>
          <t>'=M28</t>
        </is>
      </c>
      <c r="D1572" t="inlineStr">
        <is>
          <t>fc7196b6d419c4b79a5e863cb2636474efe1eab4e13a8a16bc5e06c6e9d99fa3</t>
        </is>
      </c>
    </row>
    <row r="1573">
      <c r="A1573" t="inlineStr">
        <is>
          <t>附表8</t>
        </is>
      </c>
      <c r="B1573" t="inlineStr">
        <is>
          <t>I19</t>
        </is>
      </c>
      <c r="C1573" t="inlineStr">
        <is>
          <t>'=M29</t>
        </is>
      </c>
      <c r="D1573" t="inlineStr">
        <is>
          <t>9cba700b0676871e3ccbdf5ce2a9fb6d2257f035c96eb01588572fa23952dfc4</t>
        </is>
      </c>
    </row>
    <row r="1574">
      <c r="A1574" t="inlineStr">
        <is>
          <t>附表8</t>
        </is>
      </c>
      <c r="B1574" t="inlineStr">
        <is>
          <t>J19</t>
        </is>
      </c>
      <c r="C1574" t="inlineStr">
        <is>
          <t>'=M30</t>
        </is>
      </c>
      <c r="D1574" t="inlineStr">
        <is>
          <t>a42b00a905fb4cfee2a0a45a2b006836a47ed4041749c1bdc71ee585edeb1d58</t>
        </is>
      </c>
    </row>
    <row r="1575">
      <c r="A1575" t="inlineStr">
        <is>
          <t>附表8</t>
        </is>
      </c>
      <c r="B1575" t="inlineStr">
        <is>
          <t>K19</t>
        </is>
      </c>
      <c r="C1575" t="inlineStr">
        <is>
          <t>'=M31</t>
        </is>
      </c>
      <c r="D1575" t="inlineStr">
        <is>
          <t>4da9977465a58e46870d20096b897dd3a0c00dc18ff9ecdb7c2facc65428d317</t>
        </is>
      </c>
    </row>
    <row r="1576">
      <c r="A1576" t="inlineStr">
        <is>
          <t>附表8</t>
        </is>
      </c>
      <c r="B1576" t="inlineStr">
        <is>
          <t>L19</t>
        </is>
      </c>
      <c r="C1576" t="inlineStr">
        <is>
          <t>'=M32</t>
        </is>
      </c>
      <c r="D1576" t="inlineStr">
        <is>
          <t>da8e90c1e3972d7c6fee9f904b5d0a55fd0fe5f635da3d0acc9759d9700bd09b</t>
        </is>
      </c>
    </row>
    <row r="1577">
      <c r="A1577" t="inlineStr">
        <is>
          <t>附表8</t>
        </is>
      </c>
      <c r="B1577" t="inlineStr">
        <is>
          <t>M19</t>
        </is>
      </c>
      <c r="C1577" t="inlineStr">
        <is>
          <t>'=M33</t>
        </is>
      </c>
      <c r="D1577" t="inlineStr">
        <is>
          <t>88b73fe9dac8f4a86ce4c1d3fc3ef25efb059fd164427870d125f76efdbe8972</t>
        </is>
      </c>
    </row>
    <row r="1578">
      <c r="A1578" t="inlineStr">
        <is>
          <t>附表8</t>
        </is>
      </c>
      <c r="B1578" t="inlineStr">
        <is>
          <t>N19</t>
        </is>
      </c>
      <c r="C1578" t="inlineStr">
        <is>
          <t>'=M34</t>
        </is>
      </c>
      <c r="D1578" t="inlineStr">
        <is>
          <t>60b941f238d96e79fb644811a84b9ffbedb5d80e91989b115749708cc74684dd</t>
        </is>
      </c>
    </row>
    <row r="1579">
      <c r="A1579" t="inlineStr">
        <is>
          <t>附表8</t>
        </is>
      </c>
      <c r="B1579" t="inlineStr">
        <is>
          <t>O19</t>
        </is>
      </c>
      <c r="C1579" t="inlineStr">
        <is>
          <t>'=M35</t>
        </is>
      </c>
      <c r="D1579" t="inlineStr">
        <is>
          <t>0525a182de60bf66ab223535e8d3a1497fe9804fdc72f0143cb75cf8fd466b58</t>
        </is>
      </c>
    </row>
    <row r="1580">
      <c r="A1580" t="inlineStr">
        <is>
          <t>附表8</t>
        </is>
      </c>
      <c r="B1580" t="inlineStr">
        <is>
          <t>P19</t>
        </is>
      </c>
      <c r="C1580" t="inlineStr">
        <is>
          <t>'=M36</t>
        </is>
      </c>
      <c r="D1580" t="inlineStr">
        <is>
          <t>3d52d19ae443304a2053678ea076aa9b990e65ed39f1aa61a3499023e10c62de</t>
        </is>
      </c>
    </row>
    <row r="1581">
      <c r="A1581" t="inlineStr">
        <is>
          <t>附表8</t>
        </is>
      </c>
      <c r="B1581" t="inlineStr">
        <is>
          <t>Q19</t>
        </is>
      </c>
      <c r="C1581" t="inlineStr">
        <is>
          <t>'=M37</t>
        </is>
      </c>
      <c r="D1581" t="inlineStr">
        <is>
          <t>d0f19fbb1fa341e775042081a4624e876e9d76c328af49589907d767c78eccf6</t>
        </is>
      </c>
    </row>
    <row r="1582">
      <c r="A1582" t="inlineStr">
        <is>
          <t>附表8</t>
        </is>
      </c>
      <c r="B1582" t="inlineStr">
        <is>
          <t>R19</t>
        </is>
      </c>
      <c r="C1582" t="inlineStr">
        <is>
          <t>'=M38</t>
        </is>
      </c>
      <c r="D1582" t="inlineStr">
        <is>
          <t>e21e3ab0e80272fd1be933fee7d7791dcb358d0e37731468224c554d7537266e</t>
        </is>
      </c>
    </row>
    <row r="1583">
      <c r="A1583" t="inlineStr">
        <is>
          <t>附表8</t>
        </is>
      </c>
      <c r="B1583" t="inlineStr">
        <is>
          <t>S19</t>
        </is>
      </c>
      <c r="C1583" t="inlineStr">
        <is>
          <t>'=M39</t>
        </is>
      </c>
      <c r="D1583" t="inlineStr">
        <is>
          <t>2e9a7877b76aa0669f73b97346ed87748e11395a5d5028e4ea68b1765501ad11</t>
        </is>
      </c>
    </row>
    <row r="1584">
      <c r="A1584" t="inlineStr">
        <is>
          <t>附表8</t>
        </is>
      </c>
      <c r="B1584" t="inlineStr">
        <is>
          <t>T19</t>
        </is>
      </c>
      <c r="C1584" t="inlineStr">
        <is>
          <t>'=M40</t>
        </is>
      </c>
      <c r="D1584" t="inlineStr">
        <is>
          <t>e86c68396c3e6c912a9784dcce56e1de87c8fcd4df408127c8d4540f66d43e36</t>
        </is>
      </c>
    </row>
    <row r="1585">
      <c r="A1585" t="inlineStr">
        <is>
          <t>附表8</t>
        </is>
      </c>
      <c r="B1585" t="inlineStr">
        <is>
          <t>U19</t>
        </is>
      </c>
      <c r="C1585" t="inlineStr">
        <is>
          <t>'=M41</t>
        </is>
      </c>
      <c r="D1585" t="inlineStr">
        <is>
          <t>df5d04f0ecd45bb804104f60a4bda0de27dcb2ba81ca094086a9a48202ab5d7d</t>
        </is>
      </c>
    </row>
    <row r="1586">
      <c r="A1586" t="inlineStr">
        <is>
          <t>附表8</t>
        </is>
      </c>
      <c r="B1586" t="inlineStr">
        <is>
          <t>V19</t>
        </is>
      </c>
      <c r="C1586" t="inlineStr">
        <is>
          <t>'=M42</t>
        </is>
      </c>
      <c r="D1586" t="inlineStr">
        <is>
          <t>00a5e42b037daf80a599ad7bd02d7f349e58bcba0cc6ed6cec6bc44fa60747bd</t>
        </is>
      </c>
    </row>
    <row r="1587">
      <c r="A1587" t="inlineStr">
        <is>
          <t>附表8</t>
        </is>
      </c>
      <c r="B1587" t="inlineStr">
        <is>
          <t>W19</t>
        </is>
      </c>
      <c r="C1587" t="inlineStr">
        <is>
          <t>'=M43</t>
        </is>
      </c>
      <c r="D1587" t="inlineStr">
        <is>
          <t>89ffe7a2c09ecbff53cec911a5438472ec56ffba284bab5c62c81834e6a14695</t>
        </is>
      </c>
    </row>
    <row r="1588">
      <c r="A1588" t="inlineStr">
        <is>
          <t>附表8</t>
        </is>
      </c>
      <c r="B1588" t="inlineStr">
        <is>
          <t>X19</t>
        </is>
      </c>
      <c r="C1588" t="inlineStr">
        <is>
          <t>'=M44</t>
        </is>
      </c>
      <c r="D1588" t="inlineStr">
        <is>
          <t>54e34958d1825a4ce5f38035d301554475d22e8815bfc7e8678f5ba764de5a2d</t>
        </is>
      </c>
    </row>
    <row r="1589">
      <c r="A1589" t="inlineStr">
        <is>
          <t>附表8</t>
        </is>
      </c>
      <c r="B1589" t="inlineStr">
        <is>
          <t>Y19</t>
        </is>
      </c>
      <c r="C1589" t="inlineStr">
        <is>
          <t>'=M45</t>
        </is>
      </c>
      <c r="D1589" t="inlineStr">
        <is>
          <t>996c1650e66eaa820431c1166f44b83e9d55d6b6d0aefe765a17ca98c54c9f86</t>
        </is>
      </c>
    </row>
    <row r="1590">
      <c r="A1590" t="inlineStr">
        <is>
          <t>附表8</t>
        </is>
      </c>
      <c r="B1590" t="inlineStr">
        <is>
          <t>Z19</t>
        </is>
      </c>
      <c r="C1590" t="inlineStr">
        <is>
          <t>'=M46</t>
        </is>
      </c>
      <c r="D1590" t="inlineStr">
        <is>
          <t>86f706d0dbb5e3e709cd68d0232ec87dc7eda22bf02481eead78dad6c42bc55a</t>
        </is>
      </c>
    </row>
    <row r="1591">
      <c r="A1591" t="inlineStr">
        <is>
          <t>附表8</t>
        </is>
      </c>
      <c r="B1591" t="inlineStr">
        <is>
          <t>AA19</t>
        </is>
      </c>
      <c r="C1591" t="inlineStr">
        <is>
          <t>'=M47</t>
        </is>
      </c>
      <c r="D1591" t="inlineStr">
        <is>
          <t>0960421b3decddf226cf8b9a2dc72e4df5bc3f5c9be7623300faa254b6e5d218</t>
        </is>
      </c>
    </row>
    <row r="1592">
      <c r="A1592" t="inlineStr">
        <is>
          <t>附表8</t>
        </is>
      </c>
      <c r="B1592" t="inlineStr">
        <is>
          <t>C20</t>
        </is>
      </c>
      <c r="C1592" t="inlineStr">
        <is>
          <t>'=AA20</t>
        </is>
      </c>
      <c r="D1592" t="inlineStr">
        <is>
          <t>ace48723ddbdb97bfc48ec2b4a14ca7bfdc1c3c3c5cf9e35b45bd2a455b2b67f</t>
        </is>
      </c>
    </row>
    <row r="1593">
      <c r="A1593" t="inlineStr">
        <is>
          <t>附表8</t>
        </is>
      </c>
      <c r="B1593" t="inlineStr">
        <is>
          <t>D20</t>
        </is>
      </c>
      <c r="C1593" t="inlineStr">
        <is>
          <t>'=L24</t>
        </is>
      </c>
      <c r="D1593" t="inlineStr">
        <is>
          <t>164984ff607e3c739ba6fa8063c6726c87e00df38fe1396915cd8a7d467fbadb</t>
        </is>
      </c>
    </row>
    <row r="1594">
      <c r="A1594" t="inlineStr">
        <is>
          <t>附表8</t>
        </is>
      </c>
      <c r="B1594" t="inlineStr">
        <is>
          <t>E20</t>
        </is>
      </c>
      <c r="C1594" t="inlineStr">
        <is>
          <t>'=L25</t>
        </is>
      </c>
      <c r="D1594" t="inlineStr">
        <is>
          <t>55f3a012f7e2d99dc7fb1c1da89dcb578c1f04c89437b1bdcfd9cca9adb7bd69</t>
        </is>
      </c>
    </row>
    <row r="1595">
      <c r="A1595" t="inlineStr">
        <is>
          <t>附表8</t>
        </is>
      </c>
      <c r="B1595" t="inlineStr">
        <is>
          <t>F20</t>
        </is>
      </c>
      <c r="C1595" t="inlineStr">
        <is>
          <t>'=L26</t>
        </is>
      </c>
      <c r="D1595" t="inlineStr">
        <is>
          <t>cf606f84ea7b1f4ccf78397d24a22070d232b1e65a097345d0542bc1708fc50b</t>
        </is>
      </c>
    </row>
    <row r="1596">
      <c r="A1596" t="inlineStr">
        <is>
          <t>附表8</t>
        </is>
      </c>
      <c r="B1596" t="inlineStr">
        <is>
          <t>G20</t>
        </is>
      </c>
      <c r="C1596" t="inlineStr">
        <is>
          <t>'=L27</t>
        </is>
      </c>
      <c r="D1596" t="inlineStr">
        <is>
          <t>3bf4df758d9e0765bf6bb6013219640f4c1769a67ae705b327a1f056a4d3a44f</t>
        </is>
      </c>
    </row>
    <row r="1597">
      <c r="A1597" t="inlineStr">
        <is>
          <t>附表8</t>
        </is>
      </c>
      <c r="B1597" t="inlineStr">
        <is>
          <t>H20</t>
        </is>
      </c>
      <c r="C1597" t="inlineStr">
        <is>
          <t>'=L28</t>
        </is>
      </c>
      <c r="D1597" t="inlineStr">
        <is>
          <t>8406a0df99de2cbc11606cfbeb3b78556a135a3c0a8db0a711814016295c3030</t>
        </is>
      </c>
    </row>
    <row r="1598">
      <c r="A1598" t="inlineStr">
        <is>
          <t>附表8</t>
        </is>
      </c>
      <c r="B1598" t="inlineStr">
        <is>
          <t>I20</t>
        </is>
      </c>
      <c r="C1598" t="inlineStr">
        <is>
          <t>'=L29</t>
        </is>
      </c>
      <c r="D1598" t="inlineStr">
        <is>
          <t>f280f8a545584b0c936a45efcff058badd2287b91f5efdf1a2e4bee2b37dff04</t>
        </is>
      </c>
    </row>
    <row r="1599">
      <c r="A1599" t="inlineStr">
        <is>
          <t>附表8</t>
        </is>
      </c>
      <c r="B1599" t="inlineStr">
        <is>
          <t>J20</t>
        </is>
      </c>
      <c r="C1599" t="inlineStr">
        <is>
          <t>'=L30</t>
        </is>
      </c>
      <c r="D1599" t="inlineStr">
        <is>
          <t>c5695f132bbd63914a77358c5e6750579e9663ddb5f7acc28b1d70a029795a46</t>
        </is>
      </c>
    </row>
    <row r="1600">
      <c r="A1600" t="inlineStr">
        <is>
          <t>附表8</t>
        </is>
      </c>
      <c r="B1600" t="inlineStr">
        <is>
          <t>K20</t>
        </is>
      </c>
      <c r="C1600" t="inlineStr">
        <is>
          <t>'=L31</t>
        </is>
      </c>
      <c r="D1600" t="inlineStr">
        <is>
          <t>516737a8ad3bf30057e794bffa1fd3a6f5ccbaf32b02ab52258960412319c618</t>
        </is>
      </c>
    </row>
    <row r="1601">
      <c r="A1601" t="inlineStr">
        <is>
          <t>附表8</t>
        </is>
      </c>
      <c r="B1601" t="inlineStr">
        <is>
          <t>L20</t>
        </is>
      </c>
      <c r="C1601" t="inlineStr">
        <is>
          <t>'=L32</t>
        </is>
      </c>
      <c r="D1601" t="inlineStr">
        <is>
          <t>95fff6cf57925462bcfe4404641f367fbbba9239e2112cb15c7793d4032e685d</t>
        </is>
      </c>
    </row>
    <row r="1602">
      <c r="A1602" t="inlineStr">
        <is>
          <t>附表8</t>
        </is>
      </c>
      <c r="B1602" t="inlineStr">
        <is>
          <t>M20</t>
        </is>
      </c>
      <c r="C1602" t="inlineStr">
        <is>
          <t>'=L33</t>
        </is>
      </c>
      <c r="D1602" t="inlineStr">
        <is>
          <t>4f89962fc172c1d4104f0613650a025dedc67351713e6d2c5653695caa6309c8</t>
        </is>
      </c>
    </row>
    <row r="1603">
      <c r="A1603" t="inlineStr">
        <is>
          <t>附表8</t>
        </is>
      </c>
      <c r="B1603" t="inlineStr">
        <is>
          <t>N20</t>
        </is>
      </c>
      <c r="C1603" t="inlineStr">
        <is>
          <t>'=L34</t>
        </is>
      </c>
      <c r="D1603" t="inlineStr">
        <is>
          <t>711041064ad6f96a7b22b59d8189c7898fd36383fce8598ddbaff25699c196b3</t>
        </is>
      </c>
    </row>
    <row r="1604">
      <c r="A1604" t="inlineStr">
        <is>
          <t>附表8</t>
        </is>
      </c>
      <c r="B1604" t="inlineStr">
        <is>
          <t>O20</t>
        </is>
      </c>
      <c r="C1604" t="inlineStr">
        <is>
          <t>'=L35</t>
        </is>
      </c>
      <c r="D1604" t="inlineStr">
        <is>
          <t>c47a21f279db62e2da28e414699aa7ecaaa81426018f113177dc49de27b53b7f</t>
        </is>
      </c>
    </row>
    <row r="1605">
      <c r="A1605" t="inlineStr">
        <is>
          <t>附表8</t>
        </is>
      </c>
      <c r="B1605" t="inlineStr">
        <is>
          <t>P20</t>
        </is>
      </c>
      <c r="C1605" t="inlineStr">
        <is>
          <t>'=L36</t>
        </is>
      </c>
      <c r="D1605" t="inlineStr">
        <is>
          <t>59e3dc33f647d513e3b1cb0b4e3150fda6ad1c39a42e63df4db9b360c0450460</t>
        </is>
      </c>
    </row>
    <row r="1606">
      <c r="A1606" t="inlineStr">
        <is>
          <t>附表8</t>
        </is>
      </c>
      <c r="B1606" t="inlineStr">
        <is>
          <t>Q20</t>
        </is>
      </c>
      <c r="C1606" t="inlineStr">
        <is>
          <t>'=L37</t>
        </is>
      </c>
      <c r="D1606" t="inlineStr">
        <is>
          <t>020c1237c6737b21eee0c43dfd3af8f0e81193df69fe6b991ed8b80a1ed299bd</t>
        </is>
      </c>
    </row>
    <row r="1607">
      <c r="A1607" t="inlineStr">
        <is>
          <t>附表8</t>
        </is>
      </c>
      <c r="B1607" t="inlineStr">
        <is>
          <t>R20</t>
        </is>
      </c>
      <c r="C1607" t="inlineStr">
        <is>
          <t>'=L38</t>
        </is>
      </c>
      <c r="D1607" t="inlineStr">
        <is>
          <t>bda561ff0d2f1cb08ab68df0c829994b68944e4267ba46554238fee99c77a412</t>
        </is>
      </c>
    </row>
    <row r="1608">
      <c r="A1608" t="inlineStr">
        <is>
          <t>附表8</t>
        </is>
      </c>
      <c r="B1608" t="inlineStr">
        <is>
          <t>S20</t>
        </is>
      </c>
      <c r="C1608" t="inlineStr">
        <is>
          <t>'=L39</t>
        </is>
      </c>
      <c r="D1608" t="inlineStr">
        <is>
          <t>93a9755a4c63e50fc7517529ab78c825813d2e1678e4c6883c2afc2397a19881</t>
        </is>
      </c>
    </row>
    <row r="1609">
      <c r="A1609" t="inlineStr">
        <is>
          <t>附表8</t>
        </is>
      </c>
      <c r="B1609" t="inlineStr">
        <is>
          <t>T20</t>
        </is>
      </c>
      <c r="C1609" t="inlineStr">
        <is>
          <t>'=L40</t>
        </is>
      </c>
      <c r="D1609" t="inlineStr">
        <is>
          <t>d07c1d38a0a28090329a247189e67769bd206c608398e782f1246aea56254db4</t>
        </is>
      </c>
    </row>
    <row r="1610">
      <c r="A1610" t="inlineStr">
        <is>
          <t>附表8</t>
        </is>
      </c>
      <c r="B1610" t="inlineStr">
        <is>
          <t>U20</t>
        </is>
      </c>
      <c r="C1610" t="inlineStr">
        <is>
          <t>'=L41</t>
        </is>
      </c>
      <c r="D1610" t="inlineStr">
        <is>
          <t>7f90abd8b6d1b9eab5760686f1a18a9944768e93c233d414fd0d7ea45bd0b4e3</t>
        </is>
      </c>
    </row>
    <row r="1611">
      <c r="A1611" t="inlineStr">
        <is>
          <t>附表8</t>
        </is>
      </c>
      <c r="B1611" t="inlineStr">
        <is>
          <t>V20</t>
        </is>
      </c>
      <c r="C1611" t="inlineStr">
        <is>
          <t>'=L42</t>
        </is>
      </c>
      <c r="D1611" t="inlineStr">
        <is>
          <t>44bf64d73e8b404e3e9ae857f3ffc2e92627d71cef65fd05d49581bfc299e840</t>
        </is>
      </c>
    </row>
    <row r="1612">
      <c r="A1612" t="inlineStr">
        <is>
          <t>附表8</t>
        </is>
      </c>
      <c r="B1612" t="inlineStr">
        <is>
          <t>W20</t>
        </is>
      </c>
      <c r="C1612" t="inlineStr">
        <is>
          <t>'=L43</t>
        </is>
      </c>
      <c r="D1612" t="inlineStr">
        <is>
          <t>b8cc39bf19217d375f1b0ca306ad988005edccc5ee5654591968a58bec46e57c</t>
        </is>
      </c>
    </row>
    <row r="1613">
      <c r="A1613" t="inlineStr">
        <is>
          <t>附表8</t>
        </is>
      </c>
      <c r="B1613" t="inlineStr">
        <is>
          <t>X20</t>
        </is>
      </c>
      <c r="C1613" t="inlineStr">
        <is>
          <t>'=L44</t>
        </is>
      </c>
      <c r="D1613" t="inlineStr">
        <is>
          <t>7f135552ff76c85cb65f734536e43cbf74a3722c7fa6c3cc0c9c4afd21d1e240</t>
        </is>
      </c>
    </row>
    <row r="1614">
      <c r="A1614" t="inlineStr">
        <is>
          <t>附表8</t>
        </is>
      </c>
      <c r="B1614" t="inlineStr">
        <is>
          <t>Y20</t>
        </is>
      </c>
      <c r="C1614" t="inlineStr">
        <is>
          <t>'=L45</t>
        </is>
      </c>
      <c r="D1614" t="inlineStr">
        <is>
          <t>bf1e3351a8c4073ad50ce9c1d1e442c250023c37947f845b6d50071e72f7310e</t>
        </is>
      </c>
    </row>
    <row r="1615">
      <c r="A1615" t="inlineStr">
        <is>
          <t>附表8</t>
        </is>
      </c>
      <c r="B1615" t="inlineStr">
        <is>
          <t>Z20</t>
        </is>
      </c>
      <c r="C1615" t="inlineStr">
        <is>
          <t>'=L46</t>
        </is>
      </c>
      <c r="D1615" t="inlineStr">
        <is>
          <t>58585396730eea62cfe6275a07d37cc910b2a65b690ebc48bba7e06916ed955c</t>
        </is>
      </c>
    </row>
    <row r="1616">
      <c r="A1616" t="inlineStr">
        <is>
          <t>附表8</t>
        </is>
      </c>
      <c r="B1616" t="inlineStr">
        <is>
          <t>AA20</t>
        </is>
      </c>
      <c r="C1616" t="inlineStr">
        <is>
          <t>'=L47</t>
        </is>
      </c>
      <c r="D1616" t="inlineStr">
        <is>
          <t>c61a47fec1764f5d7dfa83d3d34ffe055a5749b2f3d4205b67fc73eb1415a7bc</t>
        </is>
      </c>
    </row>
    <row r="1617">
      <c r="A1617" t="inlineStr">
        <is>
          <t>附表8</t>
        </is>
      </c>
      <c r="B1617" t="inlineStr">
        <is>
          <t>F24</t>
        </is>
      </c>
      <c r="C1617" t="inlineStr">
        <is>
          <t>'=B24*D24</t>
        </is>
      </c>
      <c r="D1617" t="inlineStr">
        <is>
          <t>b41d83e57ef01d416104d19a527f6e78c2268d5e4644ba3a05b15a7f7c0550dd</t>
        </is>
      </c>
    </row>
    <row r="1618">
      <c r="A1618" t="inlineStr">
        <is>
          <t>附表8</t>
        </is>
      </c>
      <c r="B1618" t="inlineStr">
        <is>
          <t>G24</t>
        </is>
      </c>
      <c r="C1618" t="inlineStr">
        <is>
          <t>'=E24+F24</t>
        </is>
      </c>
      <c r="D1618" t="inlineStr">
        <is>
          <t>66f10d7d9f32376e3efe3c48a7161906cb9600e01d4e04114df59e6567155197</t>
        </is>
      </c>
    </row>
    <row r="1619">
      <c r="A1619" t="inlineStr">
        <is>
          <t>附表8</t>
        </is>
      </c>
      <c r="B1619" t="inlineStr">
        <is>
          <t>H24</t>
        </is>
      </c>
      <c r="C1619" t="inlineStr">
        <is>
          <t>'=MAX(B24-E24,0)</t>
        </is>
      </c>
      <c r="D1619" t="inlineStr">
        <is>
          <t>cc4597a20758c2549be79a8038726a15cba64f18439d89280a70d442af5e6632</t>
        </is>
      </c>
    </row>
    <row r="1620">
      <c r="A1620" t="inlineStr">
        <is>
          <t>附表8</t>
        </is>
      </c>
      <c r="B1620" t="inlineStr">
        <is>
          <t>L24</t>
        </is>
      </c>
      <c r="C1620" t="inlineStr">
        <is>
          <t>'=IF(G24&gt;0,SUM(I24,J24,K24)/G24,"")</t>
        </is>
      </c>
      <c r="D1620" t="inlineStr">
        <is>
          <t>07348cf00379e81afcb1193de7187517a260da804520deb8d0d7bedd58e9718f</t>
        </is>
      </c>
    </row>
    <row r="1621">
      <c r="A1621" t="inlineStr">
        <is>
          <t>附表8</t>
        </is>
      </c>
      <c r="B1621" t="inlineStr">
        <is>
          <t>M24</t>
        </is>
      </c>
      <c r="C1621" t="inlineStr">
        <is>
          <t>'=IF(F24&gt;0,'附表7'!F24/F24,"")</t>
        </is>
      </c>
      <c r="D1621" t="inlineStr">
        <is>
          <t>bcd71d50f9cc7beddf478da6e523f1740cc9c358697e7ee5f8d8701711623358</t>
        </is>
      </c>
    </row>
    <row r="1622">
      <c r="A1622" t="inlineStr">
        <is>
          <t>附表8</t>
        </is>
      </c>
      <c r="B1622" t="inlineStr">
        <is>
          <t>B25</t>
        </is>
      </c>
      <c r="C1622" t="inlineStr">
        <is>
          <t>'=H24</t>
        </is>
      </c>
      <c r="D1622" t="inlineStr">
        <is>
          <t>8d0b1e84600282eca62b3424e9540db362083b1975228dbedc985f087cc8e1b3</t>
        </is>
      </c>
    </row>
    <row r="1623">
      <c r="A1623" t="inlineStr">
        <is>
          <t>附表8</t>
        </is>
      </c>
      <c r="B1623" t="inlineStr">
        <is>
          <t>F25</t>
        </is>
      </c>
      <c r="C1623" t="inlineStr">
        <is>
          <t>'=B25*D25</t>
        </is>
      </c>
      <c r="D1623" t="inlineStr">
        <is>
          <t>356eeed47150a02945dd356d8cf257381022037c081457b908532f5846fbacbe</t>
        </is>
      </c>
    </row>
    <row r="1624">
      <c r="A1624" t="inlineStr">
        <is>
          <t>附表8</t>
        </is>
      </c>
      <c r="B1624" t="inlineStr">
        <is>
          <t>G25</t>
        </is>
      </c>
      <c r="C1624" t="inlineStr">
        <is>
          <t>'=E25+F25</t>
        </is>
      </c>
      <c r="D1624" t="inlineStr">
        <is>
          <t>6444a91ff42c9e6ad62e138ab3817e9b4d36c4e493daf21ad6dcab8dabfc7da4</t>
        </is>
      </c>
    </row>
    <row r="1625">
      <c r="A1625" t="inlineStr">
        <is>
          <t>附表8</t>
        </is>
      </c>
      <c r="B1625" t="inlineStr">
        <is>
          <t>H25</t>
        </is>
      </c>
      <c r="C1625" t="inlineStr">
        <is>
          <t>'=MAX(B25-E25,0)</t>
        </is>
      </c>
      <c r="D1625" t="inlineStr">
        <is>
          <t>c12dbf2286d82d7c4b65483a3e4438143c30a7891d8806345b9c3a3e289cdb2d</t>
        </is>
      </c>
    </row>
    <row r="1626">
      <c r="A1626" t="inlineStr">
        <is>
          <t>附表8</t>
        </is>
      </c>
      <c r="B1626" t="inlineStr">
        <is>
          <t>L25</t>
        </is>
      </c>
      <c r="C1626" t="inlineStr">
        <is>
          <t>'=IF(G25&gt;0,SUM(I25,J25,K25)/G25,"")</t>
        </is>
      </c>
      <c r="D1626" t="inlineStr">
        <is>
          <t>03620cd33606ce18f00c31f2a72249411ca5562514de68487360cb29cfa8df4a</t>
        </is>
      </c>
    </row>
    <row r="1627">
      <c r="A1627" t="inlineStr">
        <is>
          <t>附表8</t>
        </is>
      </c>
      <c r="B1627" t="inlineStr">
        <is>
          <t>M25</t>
        </is>
      </c>
      <c r="C1627" t="inlineStr">
        <is>
          <t>'=IF(F25&gt;0,'附表7'!F25/F25,"")</t>
        </is>
      </c>
      <c r="D1627" t="inlineStr">
        <is>
          <t>2d4c7086bac9a95aed7f68cafdfe2efad44c67bcacd5f1411afd6aa484136a2d</t>
        </is>
      </c>
    </row>
    <row r="1628">
      <c r="A1628" t="inlineStr">
        <is>
          <t>附表8</t>
        </is>
      </c>
      <c r="B1628" t="inlineStr">
        <is>
          <t>B26</t>
        </is>
      </c>
      <c r="C1628" t="inlineStr">
        <is>
          <t>'=H25</t>
        </is>
      </c>
      <c r="D1628" t="inlineStr">
        <is>
          <t>7fe644f4c1ede5f733c14eea39a1a9a1c7513224b6eccb11df9fcb7955e967d1</t>
        </is>
      </c>
    </row>
    <row r="1629">
      <c r="A1629" t="inlineStr">
        <is>
          <t>附表8</t>
        </is>
      </c>
      <c r="B1629" t="inlineStr">
        <is>
          <t>F26</t>
        </is>
      </c>
      <c r="C1629" t="inlineStr">
        <is>
          <t>'=B26*D26</t>
        </is>
      </c>
      <c r="D1629" t="inlineStr">
        <is>
          <t>f5b18282a354ccc92c0edfe33ef22ef7e6bd169d675ea96e446ebcf3f4039be9</t>
        </is>
      </c>
    </row>
    <row r="1630">
      <c r="A1630" t="inlineStr">
        <is>
          <t>附表8</t>
        </is>
      </c>
      <c r="B1630" t="inlineStr">
        <is>
          <t>G26</t>
        </is>
      </c>
      <c r="C1630" t="inlineStr">
        <is>
          <t>'=E26+F26</t>
        </is>
      </c>
      <c r="D1630" t="inlineStr">
        <is>
          <t>8a973a3109c52d648ee88f13d2b31bbc8df9edf99305e47ecbd728bffb2f10de</t>
        </is>
      </c>
    </row>
    <row r="1631">
      <c r="A1631" t="inlineStr">
        <is>
          <t>附表8</t>
        </is>
      </c>
      <c r="B1631" t="inlineStr">
        <is>
          <t>H26</t>
        </is>
      </c>
      <c r="C1631" t="inlineStr">
        <is>
          <t>'=MAX(B26-E26,0)</t>
        </is>
      </c>
      <c r="D1631" t="inlineStr">
        <is>
          <t>91be570d3b3241dc97bda9391f335b848ddc6a54d02fad74e8e476f81f982709</t>
        </is>
      </c>
    </row>
    <row r="1632">
      <c r="A1632" t="inlineStr">
        <is>
          <t>附表8</t>
        </is>
      </c>
      <c r="B1632" t="inlineStr">
        <is>
          <t>L26</t>
        </is>
      </c>
      <c r="C1632" t="inlineStr">
        <is>
          <t>'=IF(G26&gt;0,SUM(I26,J26,K26)/G26,"")</t>
        </is>
      </c>
      <c r="D1632" t="inlineStr">
        <is>
          <t>893d57c95e82870e9ca363d6789c923464554fb407890ffc3a298f3f05043b37</t>
        </is>
      </c>
    </row>
    <row r="1633">
      <c r="A1633" t="inlineStr">
        <is>
          <t>附表8</t>
        </is>
      </c>
      <c r="B1633" t="inlineStr">
        <is>
          <t>M26</t>
        </is>
      </c>
      <c r="C1633" t="inlineStr">
        <is>
          <t>'=IF(F26&gt;0,'附表7'!F26/F26,"")</t>
        </is>
      </c>
      <c r="D1633" t="inlineStr">
        <is>
          <t>10a27b427dd8311e9f667dc8c33d03a197a8b54875bbe0fd43d1ed3a54086b6c</t>
        </is>
      </c>
    </row>
    <row r="1634">
      <c r="A1634" t="inlineStr">
        <is>
          <t>附表8</t>
        </is>
      </c>
      <c r="B1634" t="inlineStr">
        <is>
          <t>B27</t>
        </is>
      </c>
      <c r="C1634" t="inlineStr">
        <is>
          <t>'=H26</t>
        </is>
      </c>
      <c r="D1634" t="inlineStr">
        <is>
          <t>d8fb3d229df8698e8d47b7d66bbca5ffddf4740d2a7e3aab7695b6d306959394</t>
        </is>
      </c>
    </row>
    <row r="1635">
      <c r="A1635" t="inlineStr">
        <is>
          <t>附表8</t>
        </is>
      </c>
      <c r="B1635" t="inlineStr">
        <is>
          <t>F27</t>
        </is>
      </c>
      <c r="C1635" t="inlineStr">
        <is>
          <t>'=B27*D27</t>
        </is>
      </c>
      <c r="D1635" t="inlineStr">
        <is>
          <t>98148cfcd9c9408ad349794d2dcebbedc36214e1a8342645eaec32afec1ddbcd</t>
        </is>
      </c>
    </row>
    <row r="1636">
      <c r="A1636" t="inlineStr">
        <is>
          <t>附表8</t>
        </is>
      </c>
      <c r="B1636" t="inlineStr">
        <is>
          <t>G27</t>
        </is>
      </c>
      <c r="C1636" t="inlineStr">
        <is>
          <t>'=E27+F27</t>
        </is>
      </c>
      <c r="D1636" t="inlineStr">
        <is>
          <t>59d1616bfbd78846dcf6e6ae168a78226dc43b029f78d185fbd2c47f8a533271</t>
        </is>
      </c>
    </row>
    <row r="1637">
      <c r="A1637" t="inlineStr">
        <is>
          <t>附表8</t>
        </is>
      </c>
      <c r="B1637" t="inlineStr">
        <is>
          <t>H27</t>
        </is>
      </c>
      <c r="C1637" t="inlineStr">
        <is>
          <t>'=MAX(B27-E27,0)</t>
        </is>
      </c>
      <c r="D1637" t="inlineStr">
        <is>
          <t>3748a82ec3752072e0666ba073a0c055ef43c94a9a89817030fce19ca8dd5612</t>
        </is>
      </c>
    </row>
    <row r="1638">
      <c r="A1638" t="inlineStr">
        <is>
          <t>附表8</t>
        </is>
      </c>
      <c r="B1638" t="inlineStr">
        <is>
          <t>L27</t>
        </is>
      </c>
      <c r="C1638" t="inlineStr">
        <is>
          <t>'=IF(G27&gt;0,SUM(I27,J27,K27)/G27,"")</t>
        </is>
      </c>
      <c r="D1638" t="inlineStr">
        <is>
          <t>51728e3954f795a901d311bd0c0a8b5264e678b68709e84bf98a74877e25f0f3</t>
        </is>
      </c>
    </row>
    <row r="1639">
      <c r="A1639" t="inlineStr">
        <is>
          <t>附表8</t>
        </is>
      </c>
      <c r="B1639" t="inlineStr">
        <is>
          <t>M27</t>
        </is>
      </c>
      <c r="C1639" t="inlineStr">
        <is>
          <t>'=IF(F27&gt;0,'附表7'!F27/F27,"")</t>
        </is>
      </c>
      <c r="D1639" t="inlineStr">
        <is>
          <t>2921f6884dec84849ee8175e79e332c32c00475699f585b6a649c25750df2e45</t>
        </is>
      </c>
    </row>
    <row r="1640">
      <c r="A1640" t="inlineStr">
        <is>
          <t>附表8</t>
        </is>
      </c>
      <c r="B1640" t="inlineStr">
        <is>
          <t>B28</t>
        </is>
      </c>
      <c r="C1640" t="inlineStr">
        <is>
          <t>'=H27</t>
        </is>
      </c>
      <c r="D1640" t="inlineStr">
        <is>
          <t>fc660f4cd545d3c398b76e857966ea1ff6c1352deec67afbc7b988cde7991d77</t>
        </is>
      </c>
    </row>
    <row r="1641">
      <c r="A1641" t="inlineStr">
        <is>
          <t>附表8</t>
        </is>
      </c>
      <c r="B1641" t="inlineStr">
        <is>
          <t>F28</t>
        </is>
      </c>
      <c r="C1641" t="inlineStr">
        <is>
          <t>'=B28*D28</t>
        </is>
      </c>
      <c r="D1641" t="inlineStr">
        <is>
          <t>e85cb2b84a7d5b57dc874c4e8cfce53d68433414205eb9b96bfcb98a87d88c63</t>
        </is>
      </c>
    </row>
    <row r="1642">
      <c r="A1642" t="inlineStr">
        <is>
          <t>附表8</t>
        </is>
      </c>
      <c r="B1642" t="inlineStr">
        <is>
          <t>G28</t>
        </is>
      </c>
      <c r="C1642" t="inlineStr">
        <is>
          <t>'=E28+F28</t>
        </is>
      </c>
      <c r="D1642" t="inlineStr">
        <is>
          <t>83c97a718ad1bbe3b8b6ece95fab1bf4726078b09f0ab936c3af2e74e45799b8</t>
        </is>
      </c>
    </row>
    <row r="1643">
      <c r="A1643" t="inlineStr">
        <is>
          <t>附表8</t>
        </is>
      </c>
      <c r="B1643" t="inlineStr">
        <is>
          <t>H28</t>
        </is>
      </c>
      <c r="C1643" t="inlineStr">
        <is>
          <t>'=MAX(B28-E28,0)</t>
        </is>
      </c>
      <c r="D1643" t="inlineStr">
        <is>
          <t>75539f156d2645e9f79607bdfeebacb22068619afd39fd419b8cec253a1f7426</t>
        </is>
      </c>
    </row>
    <row r="1644">
      <c r="A1644" t="inlineStr">
        <is>
          <t>附表8</t>
        </is>
      </c>
      <c r="B1644" t="inlineStr">
        <is>
          <t>L28</t>
        </is>
      </c>
      <c r="C1644" t="inlineStr">
        <is>
          <t>'=IF(G28&gt;0,SUM(I28,J28,K28)/G28,"")</t>
        </is>
      </c>
      <c r="D1644" t="inlineStr">
        <is>
          <t>1c3ca70890cf4e06373521dfc873c41f3357acc6f922681018a288a66866c8be</t>
        </is>
      </c>
    </row>
    <row r="1645">
      <c r="A1645" t="inlineStr">
        <is>
          <t>附表8</t>
        </is>
      </c>
      <c r="B1645" t="inlineStr">
        <is>
          <t>M28</t>
        </is>
      </c>
      <c r="C1645" t="inlineStr">
        <is>
          <t>'=IF(F28&gt;0,'附表7'!F28/F28,"")</t>
        </is>
      </c>
      <c r="D1645" t="inlineStr">
        <is>
          <t>217c830f9a17cc40da185b0ed3787a21885f299d643b14804da23b0cc193dae8</t>
        </is>
      </c>
    </row>
    <row r="1646">
      <c r="A1646" t="inlineStr">
        <is>
          <t>附表8</t>
        </is>
      </c>
      <c r="B1646" t="inlineStr">
        <is>
          <t>B29</t>
        </is>
      </c>
      <c r="C1646" t="inlineStr">
        <is>
          <t>'=H28</t>
        </is>
      </c>
      <c r="D1646" t="inlineStr">
        <is>
          <t>8272d75fbea47801d43688c2491bb00d0a5a8c69f8aae4a036684314c0acafa6</t>
        </is>
      </c>
    </row>
    <row r="1647">
      <c r="A1647" t="inlineStr">
        <is>
          <t>附表8</t>
        </is>
      </c>
      <c r="B1647" t="inlineStr">
        <is>
          <t>F29</t>
        </is>
      </c>
      <c r="C1647" t="inlineStr">
        <is>
          <t>'=B29*D29</t>
        </is>
      </c>
      <c r="D1647" t="inlineStr">
        <is>
          <t>b8c927a6baf623cad302bc4574d8c77a2a76e6a0d8e4201b142034cf4f8e53af</t>
        </is>
      </c>
    </row>
    <row r="1648">
      <c r="A1648" t="inlineStr">
        <is>
          <t>附表8</t>
        </is>
      </c>
      <c r="B1648" t="inlineStr">
        <is>
          <t>G29</t>
        </is>
      </c>
      <c r="C1648" t="inlineStr">
        <is>
          <t>'=E29+F29</t>
        </is>
      </c>
      <c r="D1648" t="inlineStr">
        <is>
          <t>b1d231e03e991514d7330e1efbecc73719a8d7a2981a50999a940da5c3cbcf6d</t>
        </is>
      </c>
    </row>
    <row r="1649">
      <c r="A1649" t="inlineStr">
        <is>
          <t>附表8</t>
        </is>
      </c>
      <c r="B1649" t="inlineStr">
        <is>
          <t>H29</t>
        </is>
      </c>
      <c r="C1649" t="inlineStr">
        <is>
          <t>'=MAX(B29-E29,0)</t>
        </is>
      </c>
      <c r="D1649" t="inlineStr">
        <is>
          <t>f56e3fdcdfc874ff94189e776ac8700a94335dbdbabacddd0aaddbf3d9a7b737</t>
        </is>
      </c>
    </row>
    <row r="1650">
      <c r="A1650" t="inlineStr">
        <is>
          <t>附表8</t>
        </is>
      </c>
      <c r="B1650" t="inlineStr">
        <is>
          <t>L29</t>
        </is>
      </c>
      <c r="C1650" t="inlineStr">
        <is>
          <t>'=IF(G29&gt;0,SUM(I29,J29,K29)/G29,"")</t>
        </is>
      </c>
      <c r="D1650" t="inlineStr">
        <is>
          <t>d0201d0d315020eedc53ae2c6655f01b54e3edcd7180f70988630fa554b0f196</t>
        </is>
      </c>
    </row>
    <row r="1651">
      <c r="A1651" t="inlineStr">
        <is>
          <t>附表8</t>
        </is>
      </c>
      <c r="B1651" t="inlineStr">
        <is>
          <t>M29</t>
        </is>
      </c>
      <c r="C1651" t="inlineStr">
        <is>
          <t>'=IF(F29&gt;0,'附表7'!F29/F29,"")</t>
        </is>
      </c>
      <c r="D1651" t="inlineStr">
        <is>
          <t>ad7b40cb4864ab4d04979e0bc3dccc58e27444df6a91411f9e4edf44564d2e02</t>
        </is>
      </c>
    </row>
    <row r="1652">
      <c r="A1652" t="inlineStr">
        <is>
          <t>附表8</t>
        </is>
      </c>
      <c r="B1652" t="inlineStr">
        <is>
          <t>B30</t>
        </is>
      </c>
      <c r="C1652" t="inlineStr">
        <is>
          <t>'=H29</t>
        </is>
      </c>
      <c r="D1652" t="inlineStr">
        <is>
          <t>31f0dea7ffd623287e9ff827b3672ad7eb78cdc1d789dc4d7b9f7387ce85fb49</t>
        </is>
      </c>
    </row>
    <row r="1653">
      <c r="A1653" t="inlineStr">
        <is>
          <t>附表8</t>
        </is>
      </c>
      <c r="B1653" t="inlineStr">
        <is>
          <t>F30</t>
        </is>
      </c>
      <c r="C1653" t="inlineStr">
        <is>
          <t>'=B30*D30</t>
        </is>
      </c>
      <c r="D1653" t="inlineStr">
        <is>
          <t>22a7ec4581a77003a1736a5db639631c61f9ccb63eece917c5d7bf11220c90dd</t>
        </is>
      </c>
    </row>
    <row r="1654">
      <c r="A1654" t="inlineStr">
        <is>
          <t>附表8</t>
        </is>
      </c>
      <c r="B1654" t="inlineStr">
        <is>
          <t>G30</t>
        </is>
      </c>
      <c r="C1654" t="inlineStr">
        <is>
          <t>'=E30+F30</t>
        </is>
      </c>
      <c r="D1654" t="inlineStr">
        <is>
          <t>66463bd4470eaa11237bc952a4e3b591ce8f04f3a280b4e766981962323aabac</t>
        </is>
      </c>
    </row>
    <row r="1655">
      <c r="A1655" t="inlineStr">
        <is>
          <t>附表8</t>
        </is>
      </c>
      <c r="B1655" t="inlineStr">
        <is>
          <t>H30</t>
        </is>
      </c>
      <c r="C1655" t="inlineStr">
        <is>
          <t>'=MAX(B30-E30,0)</t>
        </is>
      </c>
      <c r="D1655" t="inlineStr">
        <is>
          <t>7cb952470e2950584c6d6240223ae0e07c780b24c29581ea96be810a1d3c04c9</t>
        </is>
      </c>
    </row>
    <row r="1656">
      <c r="A1656" t="inlineStr">
        <is>
          <t>附表8</t>
        </is>
      </c>
      <c r="B1656" t="inlineStr">
        <is>
          <t>L30</t>
        </is>
      </c>
      <c r="C1656" t="inlineStr">
        <is>
          <t>'=IF(G30&gt;0,SUM(I30,J30,K30)/G30,"")</t>
        </is>
      </c>
      <c r="D1656" t="inlineStr">
        <is>
          <t>bcc1b23b1c5436e347ba42b0032c09b3c039d7e57aba5cfe7a7ae19d43afb888</t>
        </is>
      </c>
    </row>
    <row r="1657">
      <c r="A1657" t="inlineStr">
        <is>
          <t>附表8</t>
        </is>
      </c>
      <c r="B1657" t="inlineStr">
        <is>
          <t>M30</t>
        </is>
      </c>
      <c r="C1657" t="inlineStr">
        <is>
          <t>'=IF(F30&gt;0,'附表7'!F30/F30,"")</t>
        </is>
      </c>
      <c r="D1657" t="inlineStr">
        <is>
          <t>1362ed870af1833f9fc7ed27f390cccb939ab9d10317212a82617c6c10ddcd35</t>
        </is>
      </c>
    </row>
    <row r="1658">
      <c r="A1658" t="inlineStr">
        <is>
          <t>附表8</t>
        </is>
      </c>
      <c r="B1658" t="inlineStr">
        <is>
          <t>B31</t>
        </is>
      </c>
      <c r="C1658" t="inlineStr">
        <is>
          <t>'=H30</t>
        </is>
      </c>
      <c r="D1658" t="inlineStr">
        <is>
          <t>bf18e57a36fdb0fa286b8edf8ae91887839dce5d2e5865b905e5d29cf16aaf3d</t>
        </is>
      </c>
    </row>
    <row r="1659">
      <c r="A1659" t="inlineStr">
        <is>
          <t>附表8</t>
        </is>
      </c>
      <c r="B1659" t="inlineStr">
        <is>
          <t>F31</t>
        </is>
      </c>
      <c r="C1659" t="inlineStr">
        <is>
          <t>'=B31*D31</t>
        </is>
      </c>
      <c r="D1659" t="inlineStr">
        <is>
          <t>12cccfa4c9284d01087d3ba97bf292f7d11961a08f3c27ba66fccec59330dccd</t>
        </is>
      </c>
    </row>
    <row r="1660">
      <c r="A1660" t="inlineStr">
        <is>
          <t>附表8</t>
        </is>
      </c>
      <c r="B1660" t="inlineStr">
        <is>
          <t>G31</t>
        </is>
      </c>
      <c r="C1660" t="inlineStr">
        <is>
          <t>'=E31+F31</t>
        </is>
      </c>
      <c r="D1660" t="inlineStr">
        <is>
          <t>67ae6482cd8a531fe17b6d6ec0fa506bca36a45f7f1f4f70ace0513a46f0bee3</t>
        </is>
      </c>
    </row>
    <row r="1661">
      <c r="A1661" t="inlineStr">
        <is>
          <t>附表8</t>
        </is>
      </c>
      <c r="B1661" t="inlineStr">
        <is>
          <t>H31</t>
        </is>
      </c>
      <c r="C1661" t="inlineStr">
        <is>
          <t>'=MAX(B31-E31,0)</t>
        </is>
      </c>
      <c r="D1661" t="inlineStr">
        <is>
          <t>29a21425718e83e797794d26471b0d99280e248920c3a22d2fbe44c700f9fbaa</t>
        </is>
      </c>
    </row>
    <row r="1662">
      <c r="A1662" t="inlineStr">
        <is>
          <t>附表8</t>
        </is>
      </c>
      <c r="B1662" t="inlineStr">
        <is>
          <t>L31</t>
        </is>
      </c>
      <c r="C1662" t="inlineStr">
        <is>
          <t>'=IF(G31&gt;0,SUM(I31,J31,K31)/G31,"")</t>
        </is>
      </c>
      <c r="D1662" t="inlineStr">
        <is>
          <t>a34d810d8d08908e9ef57608e94b449023fb166de91849a0ad1701a113b2e21d</t>
        </is>
      </c>
    </row>
    <row r="1663">
      <c r="A1663" t="inlineStr">
        <is>
          <t>附表8</t>
        </is>
      </c>
      <c r="B1663" t="inlineStr">
        <is>
          <t>M31</t>
        </is>
      </c>
      <c r="C1663" t="inlineStr">
        <is>
          <t>'=IF(F31&gt;0,'附表7'!F31/F31,"")</t>
        </is>
      </c>
      <c r="D1663" t="inlineStr">
        <is>
          <t>5808569b8d9d1c47a181c2377623a8fd89072ad4b0e6962d4fdf55d02992fef2</t>
        </is>
      </c>
    </row>
    <row r="1664">
      <c r="A1664" t="inlineStr">
        <is>
          <t>附表8</t>
        </is>
      </c>
      <c r="B1664" t="inlineStr">
        <is>
          <t>B32</t>
        </is>
      </c>
      <c r="C1664" t="inlineStr">
        <is>
          <t>'=H31</t>
        </is>
      </c>
      <c r="D1664" t="inlineStr">
        <is>
          <t>6fbfebce6890494a02b551d89fdc984985058303642263622a40bf2417078fbf</t>
        </is>
      </c>
    </row>
    <row r="1665">
      <c r="A1665" t="inlineStr">
        <is>
          <t>附表8</t>
        </is>
      </c>
      <c r="B1665" t="inlineStr">
        <is>
          <t>F32</t>
        </is>
      </c>
      <c r="C1665" t="inlineStr">
        <is>
          <t>'=B32*D32</t>
        </is>
      </c>
      <c r="D1665" t="inlineStr">
        <is>
          <t>1d3e07bfb3c2648d29edbf3e48efc6d0c253ff044d4ae4e25cc74b0b6ab8ab37</t>
        </is>
      </c>
    </row>
    <row r="1666">
      <c r="A1666" t="inlineStr">
        <is>
          <t>附表8</t>
        </is>
      </c>
      <c r="B1666" t="inlineStr">
        <is>
          <t>G32</t>
        </is>
      </c>
      <c r="C1666" t="inlineStr">
        <is>
          <t>'=E32+F32</t>
        </is>
      </c>
      <c r="D1666" t="inlineStr">
        <is>
          <t>0afd996c502d2aab41b6dfd77ff4769e8560132fd4a43f05f1e58e3c3fb7550e</t>
        </is>
      </c>
    </row>
    <row r="1667">
      <c r="A1667" t="inlineStr">
        <is>
          <t>附表8</t>
        </is>
      </c>
      <c r="B1667" t="inlineStr">
        <is>
          <t>H32</t>
        </is>
      </c>
      <c r="C1667" t="inlineStr">
        <is>
          <t>'=MAX(B32-E32,0)</t>
        </is>
      </c>
      <c r="D1667" t="inlineStr">
        <is>
          <t>11d276baa492079f8266990b0d5fa82a64ed3119e15785cab20ae13c0ea9ef74</t>
        </is>
      </c>
    </row>
    <row r="1668">
      <c r="A1668" t="inlineStr">
        <is>
          <t>附表8</t>
        </is>
      </c>
      <c r="B1668" t="inlineStr">
        <is>
          <t>L32</t>
        </is>
      </c>
      <c r="C1668" t="inlineStr">
        <is>
          <t>'=IF(G32&gt;0,SUM(I32,J32,K32)/G32,"")</t>
        </is>
      </c>
      <c r="D1668" t="inlineStr">
        <is>
          <t>82a3cd94a1538b3b3837466824c9604b82a2c57ed25f9b1edb91576ed7eeffa3</t>
        </is>
      </c>
    </row>
    <row r="1669">
      <c r="A1669" t="inlineStr">
        <is>
          <t>附表8</t>
        </is>
      </c>
      <c r="B1669" t="inlineStr">
        <is>
          <t>M32</t>
        </is>
      </c>
      <c r="C1669" t="inlineStr">
        <is>
          <t>'=IF(F32&gt;0,'附表7'!F32/F32,"")</t>
        </is>
      </c>
      <c r="D1669" t="inlineStr">
        <is>
          <t>ef28737d2b5f736885841efedab7601b3b23e93f7f6bbc0c7968b55f46a3dc8d</t>
        </is>
      </c>
    </row>
    <row r="1670">
      <c r="A1670" t="inlineStr">
        <is>
          <t>附表8</t>
        </is>
      </c>
      <c r="B1670" t="inlineStr">
        <is>
          <t>B33</t>
        </is>
      </c>
      <c r="C1670" t="inlineStr">
        <is>
          <t>'=H32</t>
        </is>
      </c>
      <c r="D1670" t="inlineStr">
        <is>
          <t>47a52dc78fdf16a9ad7f8ac3893cb2331acf56bedc99b61790a87d61ca993a0b</t>
        </is>
      </c>
    </row>
    <row r="1671">
      <c r="A1671" t="inlineStr">
        <is>
          <t>附表8</t>
        </is>
      </c>
      <c r="B1671" t="inlineStr">
        <is>
          <t>F33</t>
        </is>
      </c>
      <c r="C1671" t="inlineStr">
        <is>
          <t>'=B33*D33</t>
        </is>
      </c>
      <c r="D1671" t="inlineStr">
        <is>
          <t>a442a59b5d6b7a29455f377674607119ff3c3b94c123812aed43a8c452133e9c</t>
        </is>
      </c>
    </row>
    <row r="1672">
      <c r="A1672" t="inlineStr">
        <is>
          <t>附表8</t>
        </is>
      </c>
      <c r="B1672" t="inlineStr">
        <is>
          <t>G33</t>
        </is>
      </c>
      <c r="C1672" t="inlineStr">
        <is>
          <t>'=E33+F33</t>
        </is>
      </c>
      <c r="D1672" t="inlineStr">
        <is>
          <t>9074f739f2e33988b94564ce8bc5f3fb2b97cd6d1e54d4ea8231d12d402110e6</t>
        </is>
      </c>
    </row>
    <row r="1673">
      <c r="A1673" t="inlineStr">
        <is>
          <t>附表8</t>
        </is>
      </c>
      <c r="B1673" t="inlineStr">
        <is>
          <t>H33</t>
        </is>
      </c>
      <c r="C1673" t="inlineStr">
        <is>
          <t>'=MAX(B33-E33,0)</t>
        </is>
      </c>
      <c r="D1673" t="inlineStr">
        <is>
          <t>c8ba68b03385ba040fb4772e7f5576a9d0deba326f294cbd70d399d08b6dd344</t>
        </is>
      </c>
    </row>
    <row r="1674">
      <c r="A1674" t="inlineStr">
        <is>
          <t>附表8</t>
        </is>
      </c>
      <c r="B1674" t="inlineStr">
        <is>
          <t>L33</t>
        </is>
      </c>
      <c r="C1674" t="inlineStr">
        <is>
          <t>'=IF(G33&gt;0,SUM(I33,J33,K33)/G33,"")</t>
        </is>
      </c>
      <c r="D1674" t="inlineStr">
        <is>
          <t>48f1187aaf8ce7cd31272cc89e315bcade061112c15006c23202cec104ca9ca1</t>
        </is>
      </c>
    </row>
    <row r="1675">
      <c r="A1675" t="inlineStr">
        <is>
          <t>附表8</t>
        </is>
      </c>
      <c r="B1675" t="inlineStr">
        <is>
          <t>M33</t>
        </is>
      </c>
      <c r="C1675" t="inlineStr">
        <is>
          <t>'=IF(F33&gt;0,'附表7'!F33/F33,"")</t>
        </is>
      </c>
      <c r="D1675" t="inlineStr">
        <is>
          <t>cf764cc2b233c5c775a308e1a7508037e18df845b4f1a2b09503a6145de02a73</t>
        </is>
      </c>
    </row>
    <row r="1676">
      <c r="A1676" t="inlineStr">
        <is>
          <t>附表8</t>
        </is>
      </c>
      <c r="B1676" t="inlineStr">
        <is>
          <t>B34</t>
        </is>
      </c>
      <c r="C1676" t="inlineStr">
        <is>
          <t>'=H33</t>
        </is>
      </c>
      <c r="D1676" t="inlineStr">
        <is>
          <t>63035af1ad631060eb266fc710663ddabcccf9484581e813935b41662a3cace4</t>
        </is>
      </c>
    </row>
    <row r="1677">
      <c r="A1677" t="inlineStr">
        <is>
          <t>附表8</t>
        </is>
      </c>
      <c r="B1677" t="inlineStr">
        <is>
          <t>F34</t>
        </is>
      </c>
      <c r="C1677" t="inlineStr">
        <is>
          <t>'=B34*D34</t>
        </is>
      </c>
      <c r="D1677" t="inlineStr">
        <is>
          <t>2ca49f114934fd6c4cb49845a93ca61367826b39c4f13831bf7ae4337da57c80</t>
        </is>
      </c>
    </row>
    <row r="1678">
      <c r="A1678" t="inlineStr">
        <is>
          <t>附表8</t>
        </is>
      </c>
      <c r="B1678" t="inlineStr">
        <is>
          <t>G34</t>
        </is>
      </c>
      <c r="C1678" t="inlineStr">
        <is>
          <t>'=E34+F34</t>
        </is>
      </c>
      <c r="D1678" t="inlineStr">
        <is>
          <t>aaef4ae87c3f7997cbcf402cc20b0f5f46caa0d3d10094843eb66b0312eda740</t>
        </is>
      </c>
    </row>
    <row r="1679">
      <c r="A1679" t="inlineStr">
        <is>
          <t>附表8</t>
        </is>
      </c>
      <c r="B1679" t="inlineStr">
        <is>
          <t>H34</t>
        </is>
      </c>
      <c r="C1679" t="inlineStr">
        <is>
          <t>'=MAX(B34-E34,0)</t>
        </is>
      </c>
      <c r="D1679" t="inlineStr">
        <is>
          <t>aebdbc7b449231f6bf3453b7d699abce280ecf8b26b6f861fa2986a9cde048ad</t>
        </is>
      </c>
    </row>
    <row r="1680">
      <c r="A1680" t="inlineStr">
        <is>
          <t>附表8</t>
        </is>
      </c>
      <c r="B1680" t="inlineStr">
        <is>
          <t>L34</t>
        </is>
      </c>
      <c r="C1680" t="inlineStr">
        <is>
          <t>'=IF(G34&gt;0,SUM(I34,J34,K34)/G34,"")</t>
        </is>
      </c>
      <c r="D1680" t="inlineStr">
        <is>
          <t>6118c050aa8d3323855037180de185eb47cb2eeaefbe919def5076c1cb6ecb14</t>
        </is>
      </c>
    </row>
    <row r="1681">
      <c r="A1681" t="inlineStr">
        <is>
          <t>附表8</t>
        </is>
      </c>
      <c r="B1681" t="inlineStr">
        <is>
          <t>M34</t>
        </is>
      </c>
      <c r="C1681" t="inlineStr">
        <is>
          <t>'=IF(F34&gt;0,'附表7'!F34/F34,"")</t>
        </is>
      </c>
      <c r="D1681" t="inlineStr">
        <is>
          <t>1d4533c9ff3679b1af026ca1b1df09b505d4b2f0c676832a9c88a349af56bca5</t>
        </is>
      </c>
    </row>
    <row r="1682">
      <c r="A1682" t="inlineStr">
        <is>
          <t>附表8</t>
        </is>
      </c>
      <c r="B1682" t="inlineStr">
        <is>
          <t>B35</t>
        </is>
      </c>
      <c r="C1682" t="inlineStr">
        <is>
          <t>'=H34</t>
        </is>
      </c>
      <c r="D1682" t="inlineStr">
        <is>
          <t>1e0864270237a415b46d4a19c3ac2ac68618a28d08561a0460c7ceab11b2a458</t>
        </is>
      </c>
    </row>
    <row r="1683">
      <c r="A1683" t="inlineStr">
        <is>
          <t>附表8</t>
        </is>
      </c>
      <c r="B1683" t="inlineStr">
        <is>
          <t>F35</t>
        </is>
      </c>
      <c r="C1683" t="inlineStr">
        <is>
          <t>'=B35*D35</t>
        </is>
      </c>
      <c r="D1683" t="inlineStr">
        <is>
          <t>f8e2a1ac32ce642f5e82210b3438cad81c90821ec8e238b372fdba140847deda</t>
        </is>
      </c>
    </row>
    <row r="1684">
      <c r="A1684" t="inlineStr">
        <is>
          <t>附表8</t>
        </is>
      </c>
      <c r="B1684" t="inlineStr">
        <is>
          <t>G35</t>
        </is>
      </c>
      <c r="C1684" t="inlineStr">
        <is>
          <t>'=E35+F35</t>
        </is>
      </c>
      <c r="D1684" t="inlineStr">
        <is>
          <t>61a69334b9892fdab4e5b18ead7d4bdc565af192ebb2e34a0787a57684eb3285</t>
        </is>
      </c>
    </row>
    <row r="1685">
      <c r="A1685" t="inlineStr">
        <is>
          <t>附表8</t>
        </is>
      </c>
      <c r="B1685" t="inlineStr">
        <is>
          <t>H35</t>
        </is>
      </c>
      <c r="C1685" t="inlineStr">
        <is>
          <t>'=MAX(B35-E35,0)</t>
        </is>
      </c>
      <c r="D1685" t="inlineStr">
        <is>
          <t>8e61a56099d89cdf0ff12750160463590384a160a829c52145873ac390bdf90b</t>
        </is>
      </c>
    </row>
    <row r="1686">
      <c r="A1686" t="inlineStr">
        <is>
          <t>附表8</t>
        </is>
      </c>
      <c r="B1686" t="inlineStr">
        <is>
          <t>L35</t>
        </is>
      </c>
      <c r="C1686" t="inlineStr">
        <is>
          <t>'=IF(G35&gt;0,SUM(I35,J35,K35)/G35,"")</t>
        </is>
      </c>
      <c r="D1686" t="inlineStr">
        <is>
          <t>0f71176a3e0951bfbba0992b55943fc817e961c442f9be24920c799f3f48ab8a</t>
        </is>
      </c>
    </row>
    <row r="1687">
      <c r="A1687" t="inlineStr">
        <is>
          <t>附表8</t>
        </is>
      </c>
      <c r="B1687" t="inlineStr">
        <is>
          <t>M35</t>
        </is>
      </c>
      <c r="C1687" t="inlineStr">
        <is>
          <t>'=IF(F35&gt;0,'附表7'!F35/F35,"")</t>
        </is>
      </c>
      <c r="D1687" t="inlineStr">
        <is>
          <t>072badd242414c5973804a784ac8e798750e1f3715084039f9bea5667f372c88</t>
        </is>
      </c>
    </row>
    <row r="1688">
      <c r="A1688" t="inlineStr">
        <is>
          <t>附表8</t>
        </is>
      </c>
      <c r="B1688" t="inlineStr">
        <is>
          <t>B36</t>
        </is>
      </c>
      <c r="C1688" t="inlineStr">
        <is>
          <t>'=H35</t>
        </is>
      </c>
      <c r="D1688" t="inlineStr">
        <is>
          <t>e3a90c345cce2e508a421c6aced25d7d862dc0c0a04c15070caa45927796f2bd</t>
        </is>
      </c>
    </row>
    <row r="1689">
      <c r="A1689" t="inlineStr">
        <is>
          <t>附表8</t>
        </is>
      </c>
      <c r="B1689" t="inlineStr">
        <is>
          <t>F36</t>
        </is>
      </c>
      <c r="C1689" t="inlineStr">
        <is>
          <t>'=B36*D36</t>
        </is>
      </c>
      <c r="D1689" t="inlineStr">
        <is>
          <t>d9124875594f99eef34c669e5d58fa8acabc18701216eb3a114990be628c196a</t>
        </is>
      </c>
    </row>
    <row r="1690">
      <c r="A1690" t="inlineStr">
        <is>
          <t>附表8</t>
        </is>
      </c>
      <c r="B1690" t="inlineStr">
        <is>
          <t>G36</t>
        </is>
      </c>
      <c r="C1690" t="inlineStr">
        <is>
          <t>'=E36+F36</t>
        </is>
      </c>
      <c r="D1690" t="inlineStr">
        <is>
          <t>b47ffc027d80b244914836ff993c3f5b07246bd874c7d5fd966b10c3f7997568</t>
        </is>
      </c>
    </row>
    <row r="1691">
      <c r="A1691" t="inlineStr">
        <is>
          <t>附表8</t>
        </is>
      </c>
      <c r="B1691" t="inlineStr">
        <is>
          <t>H36</t>
        </is>
      </c>
      <c r="C1691" t="inlineStr">
        <is>
          <t>'=MAX(B36-E36,0)</t>
        </is>
      </c>
      <c r="D1691" t="inlineStr">
        <is>
          <t>110c1dc6f54a5be9cbe41c6cea870376e9bddcefacceb344f783e4da15147bd9</t>
        </is>
      </c>
    </row>
    <row r="1692">
      <c r="A1692" t="inlineStr">
        <is>
          <t>附表8</t>
        </is>
      </c>
      <c r="B1692" t="inlineStr">
        <is>
          <t>L36</t>
        </is>
      </c>
      <c r="C1692" t="inlineStr">
        <is>
          <t>'=IF(G36&gt;0,SUM(I36,J36,K36)/G36,"")</t>
        </is>
      </c>
      <c r="D1692" t="inlineStr">
        <is>
          <t>1e6a6455efa68a7c766c9a56f5e0bde338101bf8e0a783b33ee640116c31e0c6</t>
        </is>
      </c>
    </row>
    <row r="1693">
      <c r="A1693" t="inlineStr">
        <is>
          <t>附表8</t>
        </is>
      </c>
      <c r="B1693" t="inlineStr">
        <is>
          <t>M36</t>
        </is>
      </c>
      <c r="C1693" t="inlineStr">
        <is>
          <t>'=IF(F36&gt;0,'附表7'!F36/F36,"")</t>
        </is>
      </c>
      <c r="D1693" t="inlineStr">
        <is>
          <t>968fa66df1f29ae35b0799e0367cf76f6d8472b3d431e6ed3ed87c8f7a3ba433</t>
        </is>
      </c>
    </row>
    <row r="1694">
      <c r="A1694" t="inlineStr">
        <is>
          <t>附表8</t>
        </is>
      </c>
      <c r="B1694" t="inlineStr">
        <is>
          <t>B37</t>
        </is>
      </c>
      <c r="C1694" t="inlineStr">
        <is>
          <t>'=H36</t>
        </is>
      </c>
      <c r="D1694" t="inlineStr">
        <is>
          <t>76efe60b5f62fd80f1c28260f60e07519fe7c7caf191bd10cdd1a8005cff78af</t>
        </is>
      </c>
    </row>
    <row r="1695">
      <c r="A1695" t="inlineStr">
        <is>
          <t>附表8</t>
        </is>
      </c>
      <c r="B1695" t="inlineStr">
        <is>
          <t>F37</t>
        </is>
      </c>
      <c r="C1695" t="inlineStr">
        <is>
          <t>'=B37*D37</t>
        </is>
      </c>
      <c r="D1695" t="inlineStr">
        <is>
          <t>8979010a8f55475f61b73d5f48bd47b43a67a979606a5e63bc1ffd95a665df1f</t>
        </is>
      </c>
    </row>
    <row r="1696">
      <c r="A1696" t="inlineStr">
        <is>
          <t>附表8</t>
        </is>
      </c>
      <c r="B1696" t="inlineStr">
        <is>
          <t>G37</t>
        </is>
      </c>
      <c r="C1696" t="inlineStr">
        <is>
          <t>'=E37+F37</t>
        </is>
      </c>
      <c r="D1696" t="inlineStr">
        <is>
          <t>fd77e5c9e7e8faa71f82563b7eee8026b3a47d4a16dcf697d8403b32e1716759</t>
        </is>
      </c>
    </row>
    <row r="1697">
      <c r="A1697" t="inlineStr">
        <is>
          <t>附表8</t>
        </is>
      </c>
      <c r="B1697" t="inlineStr">
        <is>
          <t>H37</t>
        </is>
      </c>
      <c r="C1697" t="inlineStr">
        <is>
          <t>'=MAX(B37-E37,0)</t>
        </is>
      </c>
      <c r="D1697" t="inlineStr">
        <is>
          <t>04b5f2aee7d57226ebaf44266c51a98c1fa0e2e8f97eafdd320bd3362d88502b</t>
        </is>
      </c>
    </row>
    <row r="1698">
      <c r="A1698" t="inlineStr">
        <is>
          <t>附表8</t>
        </is>
      </c>
      <c r="B1698" t="inlineStr">
        <is>
          <t>L37</t>
        </is>
      </c>
      <c r="C1698" t="inlineStr">
        <is>
          <t>'=IF(G37&gt;0,SUM(I37,J37,K37)/G37,"")</t>
        </is>
      </c>
      <c r="D1698" t="inlineStr">
        <is>
          <t>c09751eff5e3df7213e47224ad78f286da3c58331782ff02ce3dbb5fbf775122</t>
        </is>
      </c>
    </row>
    <row r="1699">
      <c r="A1699" t="inlineStr">
        <is>
          <t>附表8</t>
        </is>
      </c>
      <c r="B1699" t="inlineStr">
        <is>
          <t>M37</t>
        </is>
      </c>
      <c r="C1699" t="inlineStr">
        <is>
          <t>'=IF(F37&gt;0,'附表7'!F37/F37,"")</t>
        </is>
      </c>
      <c r="D1699" t="inlineStr">
        <is>
          <t>b390ed8b69bf0dd07121b84b1a062e27434e090e8461a22a34ce0550e1824e06</t>
        </is>
      </c>
    </row>
    <row r="1700">
      <c r="A1700" t="inlineStr">
        <is>
          <t>附表8</t>
        </is>
      </c>
      <c r="B1700" t="inlineStr">
        <is>
          <t>B38</t>
        </is>
      </c>
      <c r="C1700" t="inlineStr">
        <is>
          <t>'=H37</t>
        </is>
      </c>
      <c r="D1700" t="inlineStr">
        <is>
          <t>415d82ace76e427764c8f9f1a68174cae19ab2cdc09775e575bee3aec994362d</t>
        </is>
      </c>
    </row>
    <row r="1701">
      <c r="A1701" t="inlineStr">
        <is>
          <t>附表8</t>
        </is>
      </c>
      <c r="B1701" t="inlineStr">
        <is>
          <t>F38</t>
        </is>
      </c>
      <c r="C1701" t="inlineStr">
        <is>
          <t>'=B38*D38</t>
        </is>
      </c>
      <c r="D1701" t="inlineStr">
        <is>
          <t>c5d3d45694bf1e5feae873d36220a6c38b009e4703ccfdf2d5308e71b517cbe3</t>
        </is>
      </c>
    </row>
    <row r="1702">
      <c r="A1702" t="inlineStr">
        <is>
          <t>附表8</t>
        </is>
      </c>
      <c r="B1702" t="inlineStr">
        <is>
          <t>G38</t>
        </is>
      </c>
      <c r="C1702" t="inlineStr">
        <is>
          <t>'=E38+F38</t>
        </is>
      </c>
      <c r="D1702" t="inlineStr">
        <is>
          <t>43a7b6edb7ac00f42076691e0bda50424d911977de24c78d63b92192fa47407b</t>
        </is>
      </c>
    </row>
    <row r="1703">
      <c r="A1703" t="inlineStr">
        <is>
          <t>附表8</t>
        </is>
      </c>
      <c r="B1703" t="inlineStr">
        <is>
          <t>H38</t>
        </is>
      </c>
      <c r="C1703" t="inlineStr">
        <is>
          <t>'=MAX(B38-E38,0)</t>
        </is>
      </c>
      <c r="D1703" t="inlineStr">
        <is>
          <t>d420222a75cef3c5ef2049b738c9b132d7b7623e114b97b1b2a05ca278835eb3</t>
        </is>
      </c>
    </row>
    <row r="1704">
      <c r="A1704" t="inlineStr">
        <is>
          <t>附表8</t>
        </is>
      </c>
      <c r="B1704" t="inlineStr">
        <is>
          <t>L38</t>
        </is>
      </c>
      <c r="C1704" t="inlineStr">
        <is>
          <t>'=IF(G38&gt;0,SUM(I38,J38,K38)/G38,"")</t>
        </is>
      </c>
      <c r="D1704" t="inlineStr">
        <is>
          <t>a1982f6816141582253b57ba68e2cc3add08de76287c43cf8e557bcc31b857a6</t>
        </is>
      </c>
    </row>
    <row r="1705">
      <c r="A1705" t="inlineStr">
        <is>
          <t>附表8</t>
        </is>
      </c>
      <c r="B1705" t="inlineStr">
        <is>
          <t>M38</t>
        </is>
      </c>
      <c r="C1705" t="inlineStr">
        <is>
          <t>'=IF(F38&gt;0,'附表7'!F38/F38,"")</t>
        </is>
      </c>
      <c r="D1705" t="inlineStr">
        <is>
          <t>64fec5fd46d011c61932db3876101bc6bce6c1ffa96721b906ba1c3d43dcce4f</t>
        </is>
      </c>
    </row>
    <row r="1706">
      <c r="A1706" t="inlineStr">
        <is>
          <t>附表8</t>
        </is>
      </c>
      <c r="B1706" t="inlineStr">
        <is>
          <t>B39</t>
        </is>
      </c>
      <c r="C1706" t="inlineStr">
        <is>
          <t>'=H38</t>
        </is>
      </c>
      <c r="D1706" t="inlineStr">
        <is>
          <t>b8ba4d13fbd7df659a49a751b176d3d910b7195e099a90d842b96bd051376050</t>
        </is>
      </c>
    </row>
    <row r="1707">
      <c r="A1707" t="inlineStr">
        <is>
          <t>附表8</t>
        </is>
      </c>
      <c r="B1707" t="inlineStr">
        <is>
          <t>F39</t>
        </is>
      </c>
      <c r="C1707" t="inlineStr">
        <is>
          <t>'=B39*D39</t>
        </is>
      </c>
      <c r="D1707" t="inlineStr">
        <is>
          <t>016591d89d1aad864a45f6be9bd52ad2eb4b0810ed0644b1e5f0641bca5374a4</t>
        </is>
      </c>
    </row>
    <row r="1708">
      <c r="A1708" t="inlineStr">
        <is>
          <t>附表8</t>
        </is>
      </c>
      <c r="B1708" t="inlineStr">
        <is>
          <t>G39</t>
        </is>
      </c>
      <c r="C1708" t="inlineStr">
        <is>
          <t>'=E39+F39</t>
        </is>
      </c>
      <c r="D1708" t="inlineStr">
        <is>
          <t>0866243379a49855672d1eb7ebdfd3ab478c1d1ffc1e5a3563da0724ab08b26c</t>
        </is>
      </c>
    </row>
    <row r="1709">
      <c r="A1709" t="inlineStr">
        <is>
          <t>附表8</t>
        </is>
      </c>
      <c r="B1709" t="inlineStr">
        <is>
          <t>H39</t>
        </is>
      </c>
      <c r="C1709" t="inlineStr">
        <is>
          <t>'=MAX(B39-E39,0)</t>
        </is>
      </c>
      <c r="D1709" t="inlineStr">
        <is>
          <t>ef4c2581fbbbbabae297977f6f61c93d10f898e5588931222fd5b75f5717aa61</t>
        </is>
      </c>
    </row>
    <row r="1710">
      <c r="A1710" t="inlineStr">
        <is>
          <t>附表8</t>
        </is>
      </c>
      <c r="B1710" t="inlineStr">
        <is>
          <t>L39</t>
        </is>
      </c>
      <c r="C1710" t="inlineStr">
        <is>
          <t>'=IF(G39&gt;0,SUM(I39,J39,K39)/G39,"")</t>
        </is>
      </c>
      <c r="D1710" t="inlineStr">
        <is>
          <t>ef91dd5cdad847d63e9a023e9a465b3d830bbdb2edb2bdef798c1093f2513fc9</t>
        </is>
      </c>
    </row>
    <row r="1711">
      <c r="A1711" t="inlineStr">
        <is>
          <t>附表8</t>
        </is>
      </c>
      <c r="B1711" t="inlineStr">
        <is>
          <t>M39</t>
        </is>
      </c>
      <c r="C1711" t="inlineStr">
        <is>
          <t>'=IF(F39&gt;0,'附表7'!F39/F39,"")</t>
        </is>
      </c>
      <c r="D1711" t="inlineStr">
        <is>
          <t>dec8654aaadee2c6b8f390264c355581a7bd81e4f47305477b829af2f78d791c</t>
        </is>
      </c>
    </row>
    <row r="1712">
      <c r="A1712" t="inlineStr">
        <is>
          <t>附表8</t>
        </is>
      </c>
      <c r="B1712" t="inlineStr">
        <is>
          <t>B40</t>
        </is>
      </c>
      <c r="C1712" t="inlineStr">
        <is>
          <t>'=H39</t>
        </is>
      </c>
      <c r="D1712" t="inlineStr">
        <is>
          <t>ec171282b89697f50fb62c1734d4ea481150e6499a6b59a86f98c9624dc673d4</t>
        </is>
      </c>
    </row>
    <row r="1713">
      <c r="A1713" t="inlineStr">
        <is>
          <t>附表8</t>
        </is>
      </c>
      <c r="B1713" t="inlineStr">
        <is>
          <t>F40</t>
        </is>
      </c>
      <c r="C1713" t="inlineStr">
        <is>
          <t>'=B40*D40</t>
        </is>
      </c>
      <c r="D1713" t="inlineStr">
        <is>
          <t>534f50cb70031c38f9a7da26fa550f5450ccdfbfe304678f4606d71122d4aeb5</t>
        </is>
      </c>
    </row>
    <row r="1714">
      <c r="A1714" t="inlineStr">
        <is>
          <t>附表8</t>
        </is>
      </c>
      <c r="B1714" t="inlineStr">
        <is>
          <t>G40</t>
        </is>
      </c>
      <c r="C1714" t="inlineStr">
        <is>
          <t>'=E40+F40</t>
        </is>
      </c>
      <c r="D1714" t="inlineStr">
        <is>
          <t>3a79986d6ca1a10c8413637fed5d06c481232772a6d2238d8a455a0eab75c137</t>
        </is>
      </c>
    </row>
    <row r="1715">
      <c r="A1715" t="inlineStr">
        <is>
          <t>附表8</t>
        </is>
      </c>
      <c r="B1715" t="inlineStr">
        <is>
          <t>H40</t>
        </is>
      </c>
      <c r="C1715" t="inlineStr">
        <is>
          <t>'=MAX(B40-E40,0)</t>
        </is>
      </c>
      <c r="D1715" t="inlineStr">
        <is>
          <t>db80ad5a54f30aa5eb5fc25f437223b35f48130777b9a6599f7245198ccf242a</t>
        </is>
      </c>
    </row>
    <row r="1716">
      <c r="A1716" t="inlineStr">
        <is>
          <t>附表8</t>
        </is>
      </c>
      <c r="B1716" t="inlineStr">
        <is>
          <t>L40</t>
        </is>
      </c>
      <c r="C1716" t="inlineStr">
        <is>
          <t>'=IF(G40&gt;0,SUM(I40,J40,K40)/G40,"")</t>
        </is>
      </c>
      <c r="D1716" t="inlineStr">
        <is>
          <t>8d91ed57b07325c835dccfb95ee9e5b2e3c1c3b2223ae86f8305cb9196fa0b78</t>
        </is>
      </c>
    </row>
    <row r="1717">
      <c r="A1717" t="inlineStr">
        <is>
          <t>附表8</t>
        </is>
      </c>
      <c r="B1717" t="inlineStr">
        <is>
          <t>M40</t>
        </is>
      </c>
      <c r="C1717" t="inlineStr">
        <is>
          <t>'=IF(F40&gt;0,'附表7'!F40/F40,"")</t>
        </is>
      </c>
      <c r="D1717" t="inlineStr">
        <is>
          <t>443453993acda0469fc5eb133553849961543036e0ee762c8d41edabe6a39dab</t>
        </is>
      </c>
    </row>
    <row r="1718">
      <c r="A1718" t="inlineStr">
        <is>
          <t>附表8</t>
        </is>
      </c>
      <c r="B1718" t="inlineStr">
        <is>
          <t>B41</t>
        </is>
      </c>
      <c r="C1718" t="inlineStr">
        <is>
          <t>'=H40</t>
        </is>
      </c>
      <c r="D1718" t="inlineStr">
        <is>
          <t>59e6c3abe94e197acb7b1f94ae917c21cf4c2c0ad9464a97cff374d5fbc1a165</t>
        </is>
      </c>
    </row>
    <row r="1719">
      <c r="A1719" t="inlineStr">
        <is>
          <t>附表8</t>
        </is>
      </c>
      <c r="B1719" t="inlineStr">
        <is>
          <t>F41</t>
        </is>
      </c>
      <c r="C1719" t="inlineStr">
        <is>
          <t>'=B41*D41</t>
        </is>
      </c>
      <c r="D1719" t="inlineStr">
        <is>
          <t>95bfbf2ee9c93d851f12d89da372ed725fac87d65e2ec334b93ebd2e396e0dd2</t>
        </is>
      </c>
    </row>
    <row r="1720">
      <c r="A1720" t="inlineStr">
        <is>
          <t>附表8</t>
        </is>
      </c>
      <c r="B1720" t="inlineStr">
        <is>
          <t>G41</t>
        </is>
      </c>
      <c r="C1720" t="inlineStr">
        <is>
          <t>'=E41+F41</t>
        </is>
      </c>
      <c r="D1720" t="inlineStr">
        <is>
          <t>88b747f84a2cc9401c2cd15e59e63fba57087907209bec5e332213899d67f50d</t>
        </is>
      </c>
    </row>
    <row r="1721">
      <c r="A1721" t="inlineStr">
        <is>
          <t>附表8</t>
        </is>
      </c>
      <c r="B1721" t="inlineStr">
        <is>
          <t>H41</t>
        </is>
      </c>
      <c r="C1721" t="inlineStr">
        <is>
          <t>'=MAX(B41-E41,0)</t>
        </is>
      </c>
      <c r="D1721" t="inlineStr">
        <is>
          <t>0a459f210a03411c249858d7c8ce1874ef5a386a51395e59732ad3edf4a747ef</t>
        </is>
      </c>
    </row>
    <row r="1722">
      <c r="A1722" t="inlineStr">
        <is>
          <t>附表8</t>
        </is>
      </c>
      <c r="B1722" t="inlineStr">
        <is>
          <t>L41</t>
        </is>
      </c>
      <c r="C1722" t="inlineStr">
        <is>
          <t>'=IF(G41&gt;0,SUM(I41,J41,K41)/G41,"")</t>
        </is>
      </c>
      <c r="D1722" t="inlineStr">
        <is>
          <t>3998516e8875957db2b447f9f6f97e1ffbe4a44cd26d195e0c6e3d64f0c2aa94</t>
        </is>
      </c>
    </row>
    <row r="1723">
      <c r="A1723" t="inlineStr">
        <is>
          <t>附表8</t>
        </is>
      </c>
      <c r="B1723" t="inlineStr">
        <is>
          <t>M41</t>
        </is>
      </c>
      <c r="C1723" t="inlineStr">
        <is>
          <t>'=IF(F41&gt;0,'附表7'!F41/F41,"")</t>
        </is>
      </c>
      <c r="D1723" t="inlineStr">
        <is>
          <t>a6096d3dd6b2549a65976bb5c3c865aa62bf17b4031188797c648ba8747fa5f4</t>
        </is>
      </c>
    </row>
    <row r="1724">
      <c r="A1724" t="inlineStr">
        <is>
          <t>附表8</t>
        </is>
      </c>
      <c r="B1724" t="inlineStr">
        <is>
          <t>B42</t>
        </is>
      </c>
      <c r="C1724" t="inlineStr">
        <is>
          <t>'=H41</t>
        </is>
      </c>
      <c r="D1724" t="inlineStr">
        <is>
          <t>560a6bc49e899f2d825d737185425c04b44fe460d1b1433285febc8b66de2112</t>
        </is>
      </c>
    </row>
    <row r="1725">
      <c r="A1725" t="inlineStr">
        <is>
          <t>附表8</t>
        </is>
      </c>
      <c r="B1725" t="inlineStr">
        <is>
          <t>F42</t>
        </is>
      </c>
      <c r="C1725" t="inlineStr">
        <is>
          <t>'=B42*D42</t>
        </is>
      </c>
      <c r="D1725" t="inlineStr">
        <is>
          <t>5b0b445f70f81cadeb4e6bc419e7c04da3471c49f4d2c032ffbe008d25b1333f</t>
        </is>
      </c>
    </row>
    <row r="1726">
      <c r="A1726" t="inlineStr">
        <is>
          <t>附表8</t>
        </is>
      </c>
      <c r="B1726" t="inlineStr">
        <is>
          <t>G42</t>
        </is>
      </c>
      <c r="C1726" t="inlineStr">
        <is>
          <t>'=E42+F42</t>
        </is>
      </c>
      <c r="D1726" t="inlineStr">
        <is>
          <t>3c282eeb4a17b571ad9cc6c1b1de8bd8d706572ca946f121c7989cb8aea504f1</t>
        </is>
      </c>
    </row>
    <row r="1727">
      <c r="A1727" t="inlineStr">
        <is>
          <t>附表8</t>
        </is>
      </c>
      <c r="B1727" t="inlineStr">
        <is>
          <t>H42</t>
        </is>
      </c>
      <c r="C1727" t="inlineStr">
        <is>
          <t>'=MAX(B42-E42,0)</t>
        </is>
      </c>
      <c r="D1727" t="inlineStr">
        <is>
          <t>72afba1da13b12c2c57b01ee4b9ba07b39b3a445fcf55ff8ff0623a135020af4</t>
        </is>
      </c>
    </row>
    <row r="1728">
      <c r="A1728" t="inlineStr">
        <is>
          <t>附表8</t>
        </is>
      </c>
      <c r="B1728" t="inlineStr">
        <is>
          <t>L42</t>
        </is>
      </c>
      <c r="C1728" t="inlineStr">
        <is>
          <t>'=IF(G42&gt;0,SUM(I42,J42,K42)/G42,"")</t>
        </is>
      </c>
      <c r="D1728" t="inlineStr">
        <is>
          <t>40180ca6f975fff9748aed67f8beb929996df56bd90631c2016467f443d805f0</t>
        </is>
      </c>
    </row>
    <row r="1729">
      <c r="A1729" t="inlineStr">
        <is>
          <t>附表8</t>
        </is>
      </c>
      <c r="B1729" t="inlineStr">
        <is>
          <t>M42</t>
        </is>
      </c>
      <c r="C1729" t="inlineStr">
        <is>
          <t>'=IF(F42&gt;0,'附表7'!F42/F42,"")</t>
        </is>
      </c>
      <c r="D1729" t="inlineStr">
        <is>
          <t>3d571504c2060b87dfdc31877ddbfcaa52975e538b79e61a70b60d8547ea967b</t>
        </is>
      </c>
    </row>
    <row r="1730">
      <c r="A1730" t="inlineStr">
        <is>
          <t>附表8</t>
        </is>
      </c>
      <c r="B1730" t="inlineStr">
        <is>
          <t>B43</t>
        </is>
      </c>
      <c r="C1730" t="inlineStr">
        <is>
          <t>'=H42</t>
        </is>
      </c>
      <c r="D1730" t="inlineStr">
        <is>
          <t>0de846fe3162edf0e207f2648ecb242b40198cc50321cd1565f0137ce3821862</t>
        </is>
      </c>
    </row>
    <row r="1731">
      <c r="A1731" t="inlineStr">
        <is>
          <t>附表8</t>
        </is>
      </c>
      <c r="B1731" t="inlineStr">
        <is>
          <t>F43</t>
        </is>
      </c>
      <c r="C1731" t="inlineStr">
        <is>
          <t>'=B43*D43</t>
        </is>
      </c>
      <c r="D1731" t="inlineStr">
        <is>
          <t>4b41f6b52d5acf6c8dd1e08d9536319143d15be857394355b823bf82a86f8c22</t>
        </is>
      </c>
    </row>
    <row r="1732">
      <c r="A1732" t="inlineStr">
        <is>
          <t>附表8</t>
        </is>
      </c>
      <c r="B1732" t="inlineStr">
        <is>
          <t>G43</t>
        </is>
      </c>
      <c r="C1732" t="inlineStr">
        <is>
          <t>'=E43+F43</t>
        </is>
      </c>
      <c r="D1732" t="inlineStr">
        <is>
          <t>9f73a93f60961c4303e95f1c968d16e4239f9196316106b40ddbe35ab3a5b316</t>
        </is>
      </c>
    </row>
    <row r="1733">
      <c r="A1733" t="inlineStr">
        <is>
          <t>附表8</t>
        </is>
      </c>
      <c r="B1733" t="inlineStr">
        <is>
          <t>H43</t>
        </is>
      </c>
      <c r="C1733" t="inlineStr">
        <is>
          <t>'=MAX(B43-E43,0)</t>
        </is>
      </c>
      <c r="D1733" t="inlineStr">
        <is>
          <t>2d19b90a1dcdf19a2a0ffbbc9e05af986e8c9a3b5c5deab83696a9b4a9435ec4</t>
        </is>
      </c>
    </row>
    <row r="1734">
      <c r="A1734" t="inlineStr">
        <is>
          <t>附表8</t>
        </is>
      </c>
      <c r="B1734" t="inlineStr">
        <is>
          <t>L43</t>
        </is>
      </c>
      <c r="C1734" t="inlineStr">
        <is>
          <t>'=IF(G43&gt;0,SUM(I43,J43,K43)/G43,"")</t>
        </is>
      </c>
      <c r="D1734" t="inlineStr">
        <is>
          <t>46fadce0f8b0f94545507386b3b7164c7a43a0145b840696a4d940c48f5e7ffe</t>
        </is>
      </c>
    </row>
    <row r="1735">
      <c r="A1735" t="inlineStr">
        <is>
          <t>附表8</t>
        </is>
      </c>
      <c r="B1735" t="inlineStr">
        <is>
          <t>M43</t>
        </is>
      </c>
      <c r="C1735" t="inlineStr">
        <is>
          <t>'=IF(F43&gt;0,'附表7'!F43/F43,"")</t>
        </is>
      </c>
      <c r="D1735" t="inlineStr">
        <is>
          <t>948970e8455b818b7192cf9346d78cec8bb58896305fe2cb0a4369e5be2e5f86</t>
        </is>
      </c>
    </row>
    <row r="1736">
      <c r="A1736" t="inlineStr">
        <is>
          <t>附表8</t>
        </is>
      </c>
      <c r="B1736" t="inlineStr">
        <is>
          <t>B44</t>
        </is>
      </c>
      <c r="C1736" t="inlineStr">
        <is>
          <t>'=H43</t>
        </is>
      </c>
      <c r="D1736" t="inlineStr">
        <is>
          <t>543fa4d3410971537580e52e60a68821995f3721e7028d96d8df3508bb7367f9</t>
        </is>
      </c>
    </row>
    <row r="1737">
      <c r="A1737" t="inlineStr">
        <is>
          <t>附表8</t>
        </is>
      </c>
      <c r="B1737" t="inlineStr">
        <is>
          <t>F44</t>
        </is>
      </c>
      <c r="C1737" t="inlineStr">
        <is>
          <t>'=B44*D44</t>
        </is>
      </c>
      <c r="D1737" t="inlineStr">
        <is>
          <t>ae3097f45d8a1221a7762a171fa6ad7eddee5465adfc3e8ba6d4d77dd23281d4</t>
        </is>
      </c>
    </row>
    <row r="1738">
      <c r="A1738" t="inlineStr">
        <is>
          <t>附表8</t>
        </is>
      </c>
      <c r="B1738" t="inlineStr">
        <is>
          <t>G44</t>
        </is>
      </c>
      <c r="C1738" t="inlineStr">
        <is>
          <t>'=E44+F44</t>
        </is>
      </c>
      <c r="D1738" t="inlineStr">
        <is>
          <t>f49e793600f9625ede57cd58a5830dc26984f9066d578f843c2dd377ca80524b</t>
        </is>
      </c>
    </row>
    <row r="1739">
      <c r="A1739" t="inlineStr">
        <is>
          <t>附表8</t>
        </is>
      </c>
      <c r="B1739" t="inlineStr">
        <is>
          <t>H44</t>
        </is>
      </c>
      <c r="C1739" t="inlineStr">
        <is>
          <t>'=MAX(B44-E44,0)</t>
        </is>
      </c>
      <c r="D1739" t="inlineStr">
        <is>
          <t>22d930238d3665d563ac78dbd0b44b6f677a40609a6eaee1b8b2ec8ca85ba4d6</t>
        </is>
      </c>
    </row>
    <row r="1740">
      <c r="A1740" t="inlineStr">
        <is>
          <t>附表8</t>
        </is>
      </c>
      <c r="B1740" t="inlineStr">
        <is>
          <t>L44</t>
        </is>
      </c>
      <c r="C1740" t="inlineStr">
        <is>
          <t>'=IF(G44&gt;0,SUM(I44,J44,K44)/G44,"")</t>
        </is>
      </c>
      <c r="D1740" t="inlineStr">
        <is>
          <t>d1f46d3a366be16e92f2c042907e3c15bf0bde1480c3adf5532f60c225578c1e</t>
        </is>
      </c>
    </row>
    <row r="1741">
      <c r="A1741" t="inlineStr">
        <is>
          <t>附表8</t>
        </is>
      </c>
      <c r="B1741" t="inlineStr">
        <is>
          <t>M44</t>
        </is>
      </c>
      <c r="C1741" t="inlineStr">
        <is>
          <t>'=IF(F44&gt;0,'附表7'!F44/F44,"")</t>
        </is>
      </c>
      <c r="D1741" t="inlineStr">
        <is>
          <t>2d7429354933539dcb0a5618827c3d092c007d7a0f54bd7082d23e1af686491f</t>
        </is>
      </c>
    </row>
    <row r="1742">
      <c r="A1742" t="inlineStr">
        <is>
          <t>附表8</t>
        </is>
      </c>
      <c r="B1742" t="inlineStr">
        <is>
          <t>B45</t>
        </is>
      </c>
      <c r="C1742" t="inlineStr">
        <is>
          <t>'=H44</t>
        </is>
      </c>
      <c r="D1742" t="inlineStr">
        <is>
          <t>ae10b9235b486bd94051f44b037991939594cb920d56275bb0daf7caa2b48e91</t>
        </is>
      </c>
    </row>
    <row r="1743">
      <c r="A1743" t="inlineStr">
        <is>
          <t>附表8</t>
        </is>
      </c>
      <c r="B1743" t="inlineStr">
        <is>
          <t>F45</t>
        </is>
      </c>
      <c r="C1743" t="inlineStr">
        <is>
          <t>'=B45*D45</t>
        </is>
      </c>
      <c r="D1743" t="inlineStr">
        <is>
          <t>10ee97331356a0022cc05cbad34ca89b95a8099932710c5868ed41bb38f09fba</t>
        </is>
      </c>
    </row>
    <row r="1744">
      <c r="A1744" t="inlineStr">
        <is>
          <t>附表8</t>
        </is>
      </c>
      <c r="B1744" t="inlineStr">
        <is>
          <t>G45</t>
        </is>
      </c>
      <c r="C1744" t="inlineStr">
        <is>
          <t>'=E45+F45</t>
        </is>
      </c>
      <c r="D1744" t="inlineStr">
        <is>
          <t>0cebe535b281a043d1c4cd80511d0452836c61d785e7fe110cf1a23b1e7b4271</t>
        </is>
      </c>
    </row>
    <row r="1745">
      <c r="A1745" t="inlineStr">
        <is>
          <t>附表8</t>
        </is>
      </c>
      <c r="B1745" t="inlineStr">
        <is>
          <t>H45</t>
        </is>
      </c>
      <c r="C1745" t="inlineStr">
        <is>
          <t>'=MAX(B45-E45,0)</t>
        </is>
      </c>
      <c r="D1745" t="inlineStr">
        <is>
          <t>197b7c2855ed4b9e3604347c12be04ae392c5b5fd121fee010e29b0fc414da7c</t>
        </is>
      </c>
    </row>
    <row r="1746">
      <c r="A1746" t="inlineStr">
        <is>
          <t>附表8</t>
        </is>
      </c>
      <c r="B1746" t="inlineStr">
        <is>
          <t>L45</t>
        </is>
      </c>
      <c r="C1746" t="inlineStr">
        <is>
          <t>'=IF(G45&gt;0,SUM(I45,J45,K45)/G45,"")</t>
        </is>
      </c>
      <c r="D1746" t="inlineStr">
        <is>
          <t>2e5dcd1f395b0ed61b46bd5a5c498240c4c2c86126941e64e63168d04859dab1</t>
        </is>
      </c>
    </row>
    <row r="1747">
      <c r="A1747" t="inlineStr">
        <is>
          <t>附表8</t>
        </is>
      </c>
      <c r="B1747" t="inlineStr">
        <is>
          <t>M45</t>
        </is>
      </c>
      <c r="C1747" t="inlineStr">
        <is>
          <t>'=IF(F45&gt;0,'附表7'!F45/F45,"")</t>
        </is>
      </c>
      <c r="D1747" t="inlineStr">
        <is>
          <t>dc6f9c6b0d4d1cf5221d1f69351ac0f7509dd461f5a47290ce5badf9ae3ed268</t>
        </is>
      </c>
    </row>
    <row r="1748">
      <c r="A1748" t="inlineStr">
        <is>
          <t>附表8</t>
        </is>
      </c>
      <c r="B1748" t="inlineStr">
        <is>
          <t>B46</t>
        </is>
      </c>
      <c r="C1748" t="inlineStr">
        <is>
          <t>'=H45</t>
        </is>
      </c>
      <c r="D1748" t="inlineStr">
        <is>
          <t>1707f4e3e8703106933919d8a549a150f71de04029ab1cb16454ca38f603b421</t>
        </is>
      </c>
    </row>
    <row r="1749">
      <c r="A1749" t="inlineStr">
        <is>
          <t>附表8</t>
        </is>
      </c>
      <c r="B1749" t="inlineStr">
        <is>
          <t>F46</t>
        </is>
      </c>
      <c r="C1749" t="inlineStr">
        <is>
          <t>'=B46*D46</t>
        </is>
      </c>
      <c r="D1749" t="inlineStr">
        <is>
          <t>6937cec3c16b2bb1451c8e6cded617486a12cd655fb5ace118161c74adfe120b</t>
        </is>
      </c>
    </row>
    <row r="1750">
      <c r="A1750" t="inlineStr">
        <is>
          <t>附表8</t>
        </is>
      </c>
      <c r="B1750" t="inlineStr">
        <is>
          <t>G46</t>
        </is>
      </c>
      <c r="C1750" t="inlineStr">
        <is>
          <t>'=E46+F46</t>
        </is>
      </c>
      <c r="D1750" t="inlineStr">
        <is>
          <t>e8f4628910a001bd22f5f65a70f4e68a8af18313b42c4bb18d6ef3ee1d40bcb7</t>
        </is>
      </c>
    </row>
    <row r="1751">
      <c r="A1751" t="inlineStr">
        <is>
          <t>附表8</t>
        </is>
      </c>
      <c r="B1751" t="inlineStr">
        <is>
          <t>H46</t>
        </is>
      </c>
      <c r="C1751" t="inlineStr">
        <is>
          <t>'=MAX(B46-E46,0)</t>
        </is>
      </c>
      <c r="D1751" t="inlineStr">
        <is>
          <t>5b0f62e61eec147bb109db206a3ed144a6a8faeae4213102873c987de95ea3a5</t>
        </is>
      </c>
    </row>
    <row r="1752">
      <c r="A1752" t="inlineStr">
        <is>
          <t>附表8</t>
        </is>
      </c>
      <c r="B1752" t="inlineStr">
        <is>
          <t>L46</t>
        </is>
      </c>
      <c r="C1752" t="inlineStr">
        <is>
          <t>'=IF(G46&gt;0,SUM(I46,J46,K46)/G46,"")</t>
        </is>
      </c>
      <c r="D1752" t="inlineStr">
        <is>
          <t>657668ea0352f0ecead829dd0e26f554308a13e8cf895100a58b527c9bb2f27b</t>
        </is>
      </c>
    </row>
    <row r="1753">
      <c r="A1753" t="inlineStr">
        <is>
          <t>附表8</t>
        </is>
      </c>
      <c r="B1753" t="inlineStr">
        <is>
          <t>M46</t>
        </is>
      </c>
      <c r="C1753" t="inlineStr">
        <is>
          <t>'=IF(F46&gt;0,'附表7'!F46/F46,"")</t>
        </is>
      </c>
      <c r="D1753" t="inlineStr">
        <is>
          <t>724302c1ebbdbb99ffb543d4c000233b71667eafcc913b3f09ae700efb645413</t>
        </is>
      </c>
    </row>
    <row r="1754">
      <c r="A1754" t="inlineStr">
        <is>
          <t>附表8</t>
        </is>
      </c>
      <c r="B1754" t="inlineStr">
        <is>
          <t>B47</t>
        </is>
      </c>
      <c r="C1754" t="inlineStr">
        <is>
          <t>'=H46</t>
        </is>
      </c>
      <c r="D1754" t="inlineStr">
        <is>
          <t>6cf160dd7053eed8de9a4fe5c23a48989b45a8da329f09bc054d5d87463b4e62</t>
        </is>
      </c>
    </row>
    <row r="1755">
      <c r="A1755" t="inlineStr">
        <is>
          <t>附表8</t>
        </is>
      </c>
      <c r="B1755" t="inlineStr">
        <is>
          <t>F47</t>
        </is>
      </c>
      <c r="C1755" t="inlineStr">
        <is>
          <t>'=B47*D47</t>
        </is>
      </c>
      <c r="D1755" t="inlineStr">
        <is>
          <t>fda2f0929d855d8cd583338f66f352e233fb451a0a4f96f128323b91becc6e2a</t>
        </is>
      </c>
    </row>
    <row r="1756">
      <c r="A1756" t="inlineStr">
        <is>
          <t>附表8</t>
        </is>
      </c>
      <c r="B1756" t="inlineStr">
        <is>
          <t>G47</t>
        </is>
      </c>
      <c r="C1756" t="inlineStr">
        <is>
          <t>'=E47+F47</t>
        </is>
      </c>
      <c r="D1756" t="inlineStr">
        <is>
          <t>0e0b852d73bd83c249a10a9ebfedd6f623e933a920f569d3320b7d3de60efd56</t>
        </is>
      </c>
    </row>
    <row r="1757">
      <c r="A1757" t="inlineStr">
        <is>
          <t>附表8</t>
        </is>
      </c>
      <c r="B1757" t="inlineStr">
        <is>
          <t>H47</t>
        </is>
      </c>
      <c r="C1757" t="inlineStr">
        <is>
          <t>'=MAX(B47-E47,0)</t>
        </is>
      </c>
      <c r="D1757" t="inlineStr">
        <is>
          <t>c3fef71943ccefb2d19adbd47ee2fa06004b37e92025fcbeaf76982466776911</t>
        </is>
      </c>
    </row>
    <row r="1758">
      <c r="A1758" t="inlineStr">
        <is>
          <t>附表8</t>
        </is>
      </c>
      <c r="B1758" t="inlineStr">
        <is>
          <t>L47</t>
        </is>
      </c>
      <c r="C1758" t="inlineStr">
        <is>
          <t>'=IF(G47&gt;0,SUM(I47,J47,K47)/G47,"")</t>
        </is>
      </c>
      <c r="D1758" t="inlineStr">
        <is>
          <t>b732f9f9bdd3c075aa56b299f966e4720186dfade85867bfe1329e59b1dbc9ff</t>
        </is>
      </c>
    </row>
    <row r="1759">
      <c r="A1759" t="inlineStr">
        <is>
          <t>附表8</t>
        </is>
      </c>
      <c r="B1759" t="inlineStr">
        <is>
          <t>M47</t>
        </is>
      </c>
      <c r="C1759" t="inlineStr">
        <is>
          <t>'=IF(F47&gt;0,'附表7'!F47/F47,"")</t>
        </is>
      </c>
      <c r="D1759" t="inlineStr">
        <is>
          <t>2688fe5df8c86e077cc0734d7db939bb3c72e2c4e6cf188e3821bf2ec7518de6</t>
        </is>
      </c>
    </row>
    <row r="1760">
      <c r="A1760" t="inlineStr">
        <is>
          <t>附表8</t>
        </is>
      </c>
      <c r="B1760" t="inlineStr">
        <is>
          <t>B49</t>
        </is>
      </c>
      <c r="C1760" t="inlineStr">
        <is>
          <t>'='附表2'!A14</t>
        </is>
      </c>
      <c r="D1760" t="inlineStr">
        <is>
          <t>bc9d4944c2c17ca0d303e38479d1e7d9ed285f9c61305bac5872ca1fa96fe9bf</t>
        </is>
      </c>
    </row>
    <row r="1761">
      <c r="A1761" t="inlineStr">
        <is>
          <t>附表8</t>
        </is>
      </c>
      <c r="B1761" t="inlineStr">
        <is>
          <t>B50</t>
        </is>
      </c>
      <c r="C1761" t="inlineStr">
        <is>
          <t>'='附表6'!A16</t>
        </is>
      </c>
      <c r="D1761" t="inlineStr">
        <is>
          <t>e9224cbc17779d2d0759671efd869586f98efc1a61ce19a04a9aac1d75372c12</t>
        </is>
      </c>
    </row>
    <row r="1762">
      <c r="A1762" t="inlineStr">
        <is>
          <t>附表8</t>
        </is>
      </c>
      <c r="B1762" t="inlineStr">
        <is>
          <t>B51</t>
        </is>
      </c>
      <c r="C1762" t="inlineStr">
        <is>
          <t>'='附表7'!A24</t>
        </is>
      </c>
      <c r="D1762" t="inlineStr">
        <is>
          <t>ecfefd52652937e65fa09e5dc425cdb638e5920040a37d7c550b9d5a722a481f</t>
        </is>
      </c>
    </row>
    <row r="1763">
      <c r="A1763" t="inlineStr">
        <is>
          <t>附表9</t>
        </is>
      </c>
      <c r="B1763" t="inlineStr">
        <is>
          <t>C5</t>
        </is>
      </c>
      <c r="C1763" t="inlineStr">
        <is>
          <t>'=SUM(D5,E5,F5,G5,H5,I5,J5,K5,L5,M5,N5,O5,P5,Q5,R5,S5,T5,U5,V5,W5,X5,Y5,Z5,AA5,AB5)</t>
        </is>
      </c>
      <c r="D1763" t="inlineStr">
        <is>
          <t>ed96be7d21c0f6eb3acc1005c060e80e4e5fbbfdf5bd9699bf5f19a2a769e07c</t>
        </is>
      </c>
    </row>
    <row r="1764">
      <c r="A1764" t="inlineStr">
        <is>
          <t>附表9</t>
        </is>
      </c>
      <c r="B1764" t="inlineStr">
        <is>
          <t>D5</t>
        </is>
      </c>
      <c r="C1764" t="inlineStr">
        <is>
          <t>'=C20</t>
        </is>
      </c>
      <c r="D1764" t="inlineStr">
        <is>
          <t>3af5621e34aadf68971d356d9efa547567a481ccff556263c8ba281f03bc43a6</t>
        </is>
      </c>
    </row>
    <row r="1765">
      <c r="A1765" t="inlineStr">
        <is>
          <t>附表9</t>
        </is>
      </c>
      <c r="B1765" t="inlineStr">
        <is>
          <t>E5</t>
        </is>
      </c>
      <c r="C1765" t="inlineStr">
        <is>
          <t>'=C21</t>
        </is>
      </c>
      <c r="D1765" t="inlineStr">
        <is>
          <t>193d833d5845b71462b0e6a7b8b7020e53dde9a9ed39e179c34bc0f0adc0b4c9</t>
        </is>
      </c>
    </row>
    <row r="1766">
      <c r="A1766" t="inlineStr">
        <is>
          <t>附表9</t>
        </is>
      </c>
      <c r="B1766" t="inlineStr">
        <is>
          <t>F5</t>
        </is>
      </c>
      <c r="C1766" t="inlineStr">
        <is>
          <t>'=C22</t>
        </is>
      </c>
      <c r="D1766" t="inlineStr">
        <is>
          <t>b54cb7b64dd32ac59e29d233fecbde4cd312e1feece9875bd2e06af3b567e145</t>
        </is>
      </c>
    </row>
    <row r="1767">
      <c r="A1767" t="inlineStr">
        <is>
          <t>附表9</t>
        </is>
      </c>
      <c r="B1767" t="inlineStr">
        <is>
          <t>G5</t>
        </is>
      </c>
      <c r="C1767" t="inlineStr">
        <is>
          <t>'=C23</t>
        </is>
      </c>
      <c r="D1767" t="inlineStr">
        <is>
          <t>5c58f73364d112963d14b8d9d1acc46721d8fcf964f5079173fab94af4c2d65c</t>
        </is>
      </c>
    </row>
    <row r="1768">
      <c r="A1768" t="inlineStr">
        <is>
          <t>附表9</t>
        </is>
      </c>
      <c r="B1768" t="inlineStr">
        <is>
          <t>H5</t>
        </is>
      </c>
      <c r="C1768" t="inlineStr">
        <is>
          <t>'=C24</t>
        </is>
      </c>
      <c r="D1768" t="inlineStr">
        <is>
          <t>43de46d09a807da850b11cf4b9f825e6af7dfa0f1e1d17f3b5132f95ade83149</t>
        </is>
      </c>
    </row>
    <row r="1769">
      <c r="A1769" t="inlineStr">
        <is>
          <t>附表9</t>
        </is>
      </c>
      <c r="B1769" t="inlineStr">
        <is>
          <t>I5</t>
        </is>
      </c>
      <c r="C1769" t="inlineStr">
        <is>
          <t>'=C25</t>
        </is>
      </c>
      <c r="D1769" t="inlineStr">
        <is>
          <t>c3acf3980d9d88544df14844f1b5fd3b75c5cd442835abb01f8b548fe4691fb8</t>
        </is>
      </c>
    </row>
    <row r="1770">
      <c r="A1770" t="inlineStr">
        <is>
          <t>附表9</t>
        </is>
      </c>
      <c r="B1770" t="inlineStr">
        <is>
          <t>J5</t>
        </is>
      </c>
      <c r="C1770" t="inlineStr">
        <is>
          <t>'=C26</t>
        </is>
      </c>
      <c r="D1770" t="inlineStr">
        <is>
          <t>e4753ba3f76f3fc83415ab8d8cdd8a77e5b51ec6d834ff84419687a0d53db51d</t>
        </is>
      </c>
    </row>
    <row r="1771">
      <c r="A1771" t="inlineStr">
        <is>
          <t>附表9</t>
        </is>
      </c>
      <c r="B1771" t="inlineStr">
        <is>
          <t>K5</t>
        </is>
      </c>
      <c r="C1771" t="inlineStr">
        <is>
          <t>'=C27</t>
        </is>
      </c>
      <c r="D1771" t="inlineStr">
        <is>
          <t>ab0890b218feaa9f139fb33cb49c96ae21bf6b19ff47660914d0ddfe03c0c89d</t>
        </is>
      </c>
    </row>
    <row r="1772">
      <c r="A1772" t="inlineStr">
        <is>
          <t>附表9</t>
        </is>
      </c>
      <c r="B1772" t="inlineStr">
        <is>
          <t>L5</t>
        </is>
      </c>
      <c r="C1772" t="inlineStr">
        <is>
          <t>'=C28</t>
        </is>
      </c>
      <c r="D1772" t="inlineStr">
        <is>
          <t>6f165d5c9a22dffda1501afe7729c38a8ed47bbf34119815eb6eb389fc2efa8c</t>
        </is>
      </c>
    </row>
    <row r="1773">
      <c r="A1773" t="inlineStr">
        <is>
          <t>附表9</t>
        </is>
      </c>
      <c r="B1773" t="inlineStr">
        <is>
          <t>M5</t>
        </is>
      </c>
      <c r="C1773" t="inlineStr">
        <is>
          <t>'=C29</t>
        </is>
      </c>
      <c r="D1773" t="inlineStr">
        <is>
          <t>91618ce5f53efbc38bc637dfecc12775fb5be6fac2a45d04b3242b703f91946f</t>
        </is>
      </c>
    </row>
    <row r="1774">
      <c r="A1774" t="inlineStr">
        <is>
          <t>附表9</t>
        </is>
      </c>
      <c r="B1774" t="inlineStr">
        <is>
          <t>N5</t>
        </is>
      </c>
      <c r="C1774" t="inlineStr">
        <is>
          <t>'=C30</t>
        </is>
      </c>
      <c r="D1774" t="inlineStr">
        <is>
          <t>7053b1f84c72798ad508eec0f3c2f765842a6bba85da663101b39bbd58c7eda0</t>
        </is>
      </c>
    </row>
    <row r="1775">
      <c r="A1775" t="inlineStr">
        <is>
          <t>附表9</t>
        </is>
      </c>
      <c r="B1775" t="inlineStr">
        <is>
          <t>O5</t>
        </is>
      </c>
      <c r="C1775" t="inlineStr">
        <is>
          <t>'=C31</t>
        </is>
      </c>
      <c r="D1775" t="inlineStr">
        <is>
          <t>3af8c58aa833fff592c980eedb0711e9c708061c49798f04722298d64d9f80b7</t>
        </is>
      </c>
    </row>
    <row r="1776">
      <c r="A1776" t="inlineStr">
        <is>
          <t>附表9</t>
        </is>
      </c>
      <c r="B1776" t="inlineStr">
        <is>
          <t>P5</t>
        </is>
      </c>
      <c r="C1776" t="inlineStr">
        <is>
          <t>'=C32</t>
        </is>
      </c>
      <c r="D1776" t="inlineStr">
        <is>
          <t>64bed7883bbcb4cee222cf94bd9058653bf9c19cbfad6f7c876d439826db21a7</t>
        </is>
      </c>
    </row>
    <row r="1777">
      <c r="A1777" t="inlineStr">
        <is>
          <t>附表9</t>
        </is>
      </c>
      <c r="B1777" t="inlineStr">
        <is>
          <t>Q5</t>
        </is>
      </c>
      <c r="C1777" t="inlineStr">
        <is>
          <t>'=C33</t>
        </is>
      </c>
      <c r="D1777" t="inlineStr">
        <is>
          <t>107f76788d629db052c128792f733da226e3970752f3807f05fe92d0ba77ffcc</t>
        </is>
      </c>
    </row>
    <row r="1778">
      <c r="A1778" t="inlineStr">
        <is>
          <t>附表9</t>
        </is>
      </c>
      <c r="B1778" t="inlineStr">
        <is>
          <t>R5</t>
        </is>
      </c>
      <c r="C1778" t="inlineStr">
        <is>
          <t>'=C34</t>
        </is>
      </c>
      <c r="D1778" t="inlineStr">
        <is>
          <t>1f7b734b8ef59d0aa0d31dafe489144061301fd53957fd6c4b107290278fb509</t>
        </is>
      </c>
    </row>
    <row r="1779">
      <c r="A1779" t="inlineStr">
        <is>
          <t>附表9</t>
        </is>
      </c>
      <c r="B1779" t="inlineStr">
        <is>
          <t>S5</t>
        </is>
      </c>
      <c r="C1779" t="inlineStr">
        <is>
          <t>'=C35</t>
        </is>
      </c>
      <c r="D1779" t="inlineStr">
        <is>
          <t>d08b330c4cc3b8679105499e6f78c8d8490a7631f3e97f996ad72e72b56b2152</t>
        </is>
      </c>
    </row>
    <row r="1780">
      <c r="A1780" t="inlineStr">
        <is>
          <t>附表9</t>
        </is>
      </c>
      <c r="B1780" t="inlineStr">
        <is>
          <t>T5</t>
        </is>
      </c>
      <c r="C1780" t="inlineStr">
        <is>
          <t>'=C36</t>
        </is>
      </c>
      <c r="D1780" t="inlineStr">
        <is>
          <t>7bb337d05f0c53978d99f25a46a9cd4415d01ec63196efbdb88bdb7922c3991a</t>
        </is>
      </c>
    </row>
    <row r="1781">
      <c r="A1781" t="inlineStr">
        <is>
          <t>附表9</t>
        </is>
      </c>
      <c r="B1781" t="inlineStr">
        <is>
          <t>U5</t>
        </is>
      </c>
      <c r="C1781" t="inlineStr">
        <is>
          <t>'=C37</t>
        </is>
      </c>
      <c r="D1781" t="inlineStr">
        <is>
          <t>71816f9491558462d1cb75a53d9f4300bd7c9a147feb8a7246af285ba0fed056</t>
        </is>
      </c>
    </row>
    <row r="1782">
      <c r="A1782" t="inlineStr">
        <is>
          <t>附表9</t>
        </is>
      </c>
      <c r="B1782" t="inlineStr">
        <is>
          <t>V5</t>
        </is>
      </c>
      <c r="C1782" t="inlineStr">
        <is>
          <t>'=C38</t>
        </is>
      </c>
      <c r="D1782" t="inlineStr">
        <is>
          <t>c7347c5ff799cd95f98d42326b7d9b2d4b8df2874282786aa2fb32e40ed3646d</t>
        </is>
      </c>
    </row>
    <row r="1783">
      <c r="A1783" t="inlineStr">
        <is>
          <t>附表9</t>
        </is>
      </c>
      <c r="B1783" t="inlineStr">
        <is>
          <t>W5</t>
        </is>
      </c>
      <c r="C1783" t="inlineStr">
        <is>
          <t>'=C39</t>
        </is>
      </c>
      <c r="D1783" t="inlineStr">
        <is>
          <t>f53e20e9f2d916f0f1cb90c71e3a5731af3f96f2fdcd50dce970f2816fbf61e1</t>
        </is>
      </c>
    </row>
    <row r="1784">
      <c r="A1784" t="inlineStr">
        <is>
          <t>附表9</t>
        </is>
      </c>
      <c r="B1784" t="inlineStr">
        <is>
          <t>X5</t>
        </is>
      </c>
      <c r="C1784" t="inlineStr">
        <is>
          <t>'=C40</t>
        </is>
      </c>
      <c r="D1784" t="inlineStr">
        <is>
          <t>721e5fcb705d4919ec4c272fe4cebc8d2912b9ff0e793bbdc50c23f2e0b6a352</t>
        </is>
      </c>
    </row>
    <row r="1785">
      <c r="A1785" t="inlineStr">
        <is>
          <t>附表9</t>
        </is>
      </c>
      <c r="B1785" t="inlineStr">
        <is>
          <t>Y5</t>
        </is>
      </c>
      <c r="C1785" t="inlineStr">
        <is>
          <t>'=C41</t>
        </is>
      </c>
      <c r="D1785" t="inlineStr">
        <is>
          <t>ee37432d42122e6ce613c8c5d75f49ebd873d386e05774faaf1a49c5aed8b275</t>
        </is>
      </c>
    </row>
    <row r="1786">
      <c r="A1786" t="inlineStr">
        <is>
          <t>附表9</t>
        </is>
      </c>
      <c r="B1786" t="inlineStr">
        <is>
          <t>Z5</t>
        </is>
      </c>
      <c r="C1786" t="inlineStr">
        <is>
          <t>'=C42</t>
        </is>
      </c>
      <c r="D1786" t="inlineStr">
        <is>
          <t>b28a9da389888874581e0650d6f25054803fc47f18c528979d0419ea2c534107</t>
        </is>
      </c>
    </row>
    <row r="1787">
      <c r="A1787" t="inlineStr">
        <is>
          <t>附表9</t>
        </is>
      </c>
      <c r="B1787" t="inlineStr">
        <is>
          <t>AA5</t>
        </is>
      </c>
      <c r="C1787" t="inlineStr">
        <is>
          <t>'=C43</t>
        </is>
      </c>
      <c r="D1787" t="inlineStr">
        <is>
          <t>26f9dc951b0d5361c07c3ae8cd5c6ac63a3e04d9aa66a40872ad1fa3b289de3e</t>
        </is>
      </c>
    </row>
    <row r="1788">
      <c r="A1788" t="inlineStr">
        <is>
          <t>附表9</t>
        </is>
      </c>
      <c r="B1788" t="inlineStr">
        <is>
          <t>AB5</t>
        </is>
      </c>
      <c r="C1788" t="inlineStr">
        <is>
          <t>'=C44</t>
        </is>
      </c>
      <c r="D1788" t="inlineStr">
        <is>
          <t>7691c1e330ce550e27e0ee31a813daa512bd252da747c67406c6a894ca3d5d01</t>
        </is>
      </c>
    </row>
    <row r="1789">
      <c r="A1789" t="inlineStr">
        <is>
          <t>附表9</t>
        </is>
      </c>
      <c r="B1789" t="inlineStr">
        <is>
          <t>C9</t>
        </is>
      </c>
      <c r="C1789" t="inlineStr">
        <is>
          <t>'=SUM(D9,E9,F9,G9,H9,I9,J9,K9,L9,M9,N9,O9,P9,Q9,R9,S9,T9,U9,V9,W9,X9,Y9,Z9,AA9,AB9)</t>
        </is>
      </c>
      <c r="D1789" t="inlineStr">
        <is>
          <t>cd93382eb2d4399e8bb4b1c9d7d904fb49023e4395121552bd5e3872755b0c99</t>
        </is>
      </c>
    </row>
    <row r="1790">
      <c r="A1790" t="inlineStr">
        <is>
          <t>附表9</t>
        </is>
      </c>
      <c r="B1790" t="inlineStr">
        <is>
          <t>D9</t>
        </is>
      </c>
      <c r="C1790" t="inlineStr">
        <is>
          <t>'=G20</t>
        </is>
      </c>
      <c r="D1790" t="inlineStr">
        <is>
          <t>d23487311ba0c43237e3016b6ff9f75d59a6418023be964e66f103080bea1d3d</t>
        </is>
      </c>
    </row>
    <row r="1791">
      <c r="A1791" t="inlineStr">
        <is>
          <t>附表9</t>
        </is>
      </c>
      <c r="B1791" t="inlineStr">
        <is>
          <t>E9</t>
        </is>
      </c>
      <c r="C1791" t="inlineStr">
        <is>
          <t>'=G21</t>
        </is>
      </c>
      <c r="D1791" t="inlineStr">
        <is>
          <t>6660d8bde084b2f81a1f5c49f114b55a041645bb4dd90fd138c8fd08417cf095</t>
        </is>
      </c>
    </row>
    <row r="1792">
      <c r="A1792" t="inlineStr">
        <is>
          <t>附表9</t>
        </is>
      </c>
      <c r="B1792" t="inlineStr">
        <is>
          <t>F9</t>
        </is>
      </c>
      <c r="C1792" t="inlineStr">
        <is>
          <t>'=G22</t>
        </is>
      </c>
      <c r="D1792" t="inlineStr">
        <is>
          <t>47f176c3cbf94fd27a240a68b6e339a3ccff4cc63fdf2d697b571a0eb45dbcdf</t>
        </is>
      </c>
    </row>
    <row r="1793">
      <c r="A1793" t="inlineStr">
        <is>
          <t>附表9</t>
        </is>
      </c>
      <c r="B1793" t="inlineStr">
        <is>
          <t>G9</t>
        </is>
      </c>
      <c r="C1793" t="inlineStr">
        <is>
          <t>'=G23</t>
        </is>
      </c>
      <c r="D1793" t="inlineStr">
        <is>
          <t>ad6dd1cbb711dcbbef9c285bf71326e6f8333d6389cf9c13ed4749837a3f404e</t>
        </is>
      </c>
    </row>
    <row r="1794">
      <c r="A1794" t="inlineStr">
        <is>
          <t>附表9</t>
        </is>
      </c>
      <c r="B1794" t="inlineStr">
        <is>
          <t>H9</t>
        </is>
      </c>
      <c r="C1794" t="inlineStr">
        <is>
          <t>'=G24</t>
        </is>
      </c>
      <c r="D1794" t="inlineStr">
        <is>
          <t>e873a113f3cb6a4181ed56f6cbdbfe6533c7b52fff3d19a58074b39247c01639</t>
        </is>
      </c>
    </row>
    <row r="1795">
      <c r="A1795" t="inlineStr">
        <is>
          <t>附表9</t>
        </is>
      </c>
      <c r="B1795" t="inlineStr">
        <is>
          <t>I9</t>
        </is>
      </c>
      <c r="C1795" t="inlineStr">
        <is>
          <t>'=G25</t>
        </is>
      </c>
      <c r="D1795" t="inlineStr">
        <is>
          <t>5c9ed5f0c2507d58baf81c8840b53532d1b826c768b1c9aa97384529d2db27dc</t>
        </is>
      </c>
    </row>
    <row r="1796">
      <c r="A1796" t="inlineStr">
        <is>
          <t>附表9</t>
        </is>
      </c>
      <c r="B1796" t="inlineStr">
        <is>
          <t>J9</t>
        </is>
      </c>
      <c r="C1796" t="inlineStr">
        <is>
          <t>'=G26</t>
        </is>
      </c>
      <c r="D1796" t="inlineStr">
        <is>
          <t>9c211c3151fb83928955207b23369248324f0fd54a94dc3b1addd365a30dff80</t>
        </is>
      </c>
    </row>
    <row r="1797">
      <c r="A1797" t="inlineStr">
        <is>
          <t>附表9</t>
        </is>
      </c>
      <c r="B1797" t="inlineStr">
        <is>
          <t>K9</t>
        </is>
      </c>
      <c r="C1797" t="inlineStr">
        <is>
          <t>'=G27</t>
        </is>
      </c>
      <c r="D1797" t="inlineStr">
        <is>
          <t>5231049cf6d05b433e90e145d16b63ea2e8b8ec44523ef42937ce141ca81fd4a</t>
        </is>
      </c>
    </row>
    <row r="1798">
      <c r="A1798" t="inlineStr">
        <is>
          <t>附表9</t>
        </is>
      </c>
      <c r="B1798" t="inlineStr">
        <is>
          <t>L9</t>
        </is>
      </c>
      <c r="C1798" t="inlineStr">
        <is>
          <t>'=G28</t>
        </is>
      </c>
      <c r="D1798" t="inlineStr">
        <is>
          <t>060cbac1a6ae6513ca39922e0f0d35a66d23b72e374dc927057e23581919bca3</t>
        </is>
      </c>
    </row>
    <row r="1799">
      <c r="A1799" t="inlineStr">
        <is>
          <t>附表9</t>
        </is>
      </c>
      <c r="B1799" t="inlineStr">
        <is>
          <t>M9</t>
        </is>
      </c>
      <c r="C1799" t="inlineStr">
        <is>
          <t>'=G29</t>
        </is>
      </c>
      <c r="D1799" t="inlineStr">
        <is>
          <t>63f7466f532662973439dccf918138dc8040475193223e112c1cc51fc21bf570</t>
        </is>
      </c>
    </row>
    <row r="1800">
      <c r="A1800" t="inlineStr">
        <is>
          <t>附表9</t>
        </is>
      </c>
      <c r="B1800" t="inlineStr">
        <is>
          <t>N9</t>
        </is>
      </c>
      <c r="C1800" t="inlineStr">
        <is>
          <t>'=G30</t>
        </is>
      </c>
      <c r="D1800" t="inlineStr">
        <is>
          <t>41fd488e5d3dd6fcbf4e5e5c633bfb51c90bb8a8439da9587acdd0f1ea211487</t>
        </is>
      </c>
    </row>
    <row r="1801">
      <c r="A1801" t="inlineStr">
        <is>
          <t>附表9</t>
        </is>
      </c>
      <c r="B1801" t="inlineStr">
        <is>
          <t>O9</t>
        </is>
      </c>
      <c r="C1801" t="inlineStr">
        <is>
          <t>'=G31</t>
        </is>
      </c>
      <c r="D1801" t="inlineStr">
        <is>
          <t>eba155dad46081db9df400980508ff7210792d789827731d896df45abf543a45</t>
        </is>
      </c>
    </row>
    <row r="1802">
      <c r="A1802" t="inlineStr">
        <is>
          <t>附表9</t>
        </is>
      </c>
      <c r="B1802" t="inlineStr">
        <is>
          <t>P9</t>
        </is>
      </c>
      <c r="C1802" t="inlineStr">
        <is>
          <t>'=G32</t>
        </is>
      </c>
      <c r="D1802" t="inlineStr">
        <is>
          <t>3e5861b287d5d10dfae0918c5b745b4c0be1390b467524ad5e06457ad9728224</t>
        </is>
      </c>
    </row>
    <row r="1803">
      <c r="A1803" t="inlineStr">
        <is>
          <t>附表9</t>
        </is>
      </c>
      <c r="B1803" t="inlineStr">
        <is>
          <t>Q9</t>
        </is>
      </c>
      <c r="C1803" t="inlineStr">
        <is>
          <t>'=G33</t>
        </is>
      </c>
      <c r="D1803" t="inlineStr">
        <is>
          <t>2424047923137c08b617a6624a3c5be2682085e9f7d0c6003e0555e69d25cce8</t>
        </is>
      </c>
    </row>
    <row r="1804">
      <c r="A1804" t="inlineStr">
        <is>
          <t>附表9</t>
        </is>
      </c>
      <c r="B1804" t="inlineStr">
        <is>
          <t>R9</t>
        </is>
      </c>
      <c r="C1804" t="inlineStr">
        <is>
          <t>'=G34</t>
        </is>
      </c>
      <c r="D1804" t="inlineStr">
        <is>
          <t>02ff088281b9d9e1870b58f707ed6c7c80c4702e44545c413c2f0578ab21bb8c</t>
        </is>
      </c>
    </row>
    <row r="1805">
      <c r="A1805" t="inlineStr">
        <is>
          <t>附表9</t>
        </is>
      </c>
      <c r="B1805" t="inlineStr">
        <is>
          <t>S9</t>
        </is>
      </c>
      <c r="C1805" t="inlineStr">
        <is>
          <t>'=G35</t>
        </is>
      </c>
      <c r="D1805" t="inlineStr">
        <is>
          <t>b37668a5de7c12c5dddc59ec1a23d37808355ca83f749818c9d283eb442637f0</t>
        </is>
      </c>
    </row>
    <row r="1806">
      <c r="A1806" t="inlineStr">
        <is>
          <t>附表9</t>
        </is>
      </c>
      <c r="B1806" t="inlineStr">
        <is>
          <t>T9</t>
        </is>
      </c>
      <c r="C1806" t="inlineStr">
        <is>
          <t>'=G36</t>
        </is>
      </c>
      <c r="D1806" t="inlineStr">
        <is>
          <t>3cdcffd14f7f5c5214c7a49334a833fe22c789caa5ebd9aee989e815d808ba0b</t>
        </is>
      </c>
    </row>
    <row r="1807">
      <c r="A1807" t="inlineStr">
        <is>
          <t>附表9</t>
        </is>
      </c>
      <c r="B1807" t="inlineStr">
        <is>
          <t>U9</t>
        </is>
      </c>
      <c r="C1807" t="inlineStr">
        <is>
          <t>'=G37</t>
        </is>
      </c>
      <c r="D1807" t="inlineStr">
        <is>
          <t>9a72d161b9e361d5e7e7e69d940f0e46950ac5327867a4c9909bf645763ebdf7</t>
        </is>
      </c>
    </row>
    <row r="1808">
      <c r="A1808" t="inlineStr">
        <is>
          <t>附表9</t>
        </is>
      </c>
      <c r="B1808" t="inlineStr">
        <is>
          <t>V9</t>
        </is>
      </c>
      <c r="C1808" t="inlineStr">
        <is>
          <t>'=G38</t>
        </is>
      </c>
      <c r="D1808" t="inlineStr">
        <is>
          <t>a44654774ab89a5fe352e183097de5beae27663426b8b5c90930c16f11615e37</t>
        </is>
      </c>
    </row>
    <row r="1809">
      <c r="A1809" t="inlineStr">
        <is>
          <t>附表9</t>
        </is>
      </c>
      <c r="B1809" t="inlineStr">
        <is>
          <t>W9</t>
        </is>
      </c>
      <c r="C1809" t="inlineStr">
        <is>
          <t>'=G39</t>
        </is>
      </c>
      <c r="D1809" t="inlineStr">
        <is>
          <t>f21ae9cb2bacdce99bda5f85274f725e695070f07235a27291f89c10357a8a43</t>
        </is>
      </c>
    </row>
    <row r="1810">
      <c r="A1810" t="inlineStr">
        <is>
          <t>附表9</t>
        </is>
      </c>
      <c r="B1810" t="inlineStr">
        <is>
          <t>X9</t>
        </is>
      </c>
      <c r="C1810" t="inlineStr">
        <is>
          <t>'=G40</t>
        </is>
      </c>
      <c r="D1810" t="inlineStr">
        <is>
          <t>1eaba9704c774525e79bc582c947244f3fb45732f9d47c949c879f2e978b0775</t>
        </is>
      </c>
    </row>
    <row r="1811">
      <c r="A1811" t="inlineStr">
        <is>
          <t>附表9</t>
        </is>
      </c>
      <c r="B1811" t="inlineStr">
        <is>
          <t>Y9</t>
        </is>
      </c>
      <c r="C1811" t="inlineStr">
        <is>
          <t>'=G41</t>
        </is>
      </c>
      <c r="D1811" t="inlineStr">
        <is>
          <t>ae915cdf923df33d40eb639d1e04b548108936d5ed2e715c08587ec7732c045b</t>
        </is>
      </c>
    </row>
    <row r="1812">
      <c r="A1812" t="inlineStr">
        <is>
          <t>附表9</t>
        </is>
      </c>
      <c r="B1812" t="inlineStr">
        <is>
          <t>Z9</t>
        </is>
      </c>
      <c r="C1812" t="inlineStr">
        <is>
          <t>'=G42</t>
        </is>
      </c>
      <c r="D1812" t="inlineStr">
        <is>
          <t>4d1910f3231f422307797321341653550b5acfe53306962f5a3567869dfeb223</t>
        </is>
      </c>
    </row>
    <row r="1813">
      <c r="A1813" t="inlineStr">
        <is>
          <t>附表9</t>
        </is>
      </c>
      <c r="B1813" t="inlineStr">
        <is>
          <t>AA9</t>
        </is>
      </c>
      <c r="C1813" t="inlineStr">
        <is>
          <t>'=G43</t>
        </is>
      </c>
      <c r="D1813" t="inlineStr">
        <is>
          <t>e358be8172d86e0f968ec5e9a1d00759d9783ecb2d682e7d71916ecb90dc94cd</t>
        </is>
      </c>
    </row>
    <row r="1814">
      <c r="A1814" t="inlineStr">
        <is>
          <t>附表9</t>
        </is>
      </c>
      <c r="B1814" t="inlineStr">
        <is>
          <t>AB9</t>
        </is>
      </c>
      <c r="C1814" t="inlineStr">
        <is>
          <t>'=G44</t>
        </is>
      </c>
      <c r="D1814" t="inlineStr">
        <is>
          <t>38c44bcfc3fa296a598d1de52f60d5c1985c27544698752d689427222bf81e09</t>
        </is>
      </c>
    </row>
    <row r="1815">
      <c r="A1815" t="inlineStr">
        <is>
          <t>附表9</t>
        </is>
      </c>
      <c r="B1815" t="inlineStr">
        <is>
          <t>C10</t>
        </is>
      </c>
      <c r="C1815" t="inlineStr">
        <is>
          <t>'=SUM(D10,E10,F10,G10,H10,I10,J10,K10,L10,M10,N10,O10,P10,Q10,R10,S10,T10,U10,V10,W10,X10,Y10,Z10,AA10,AB10)</t>
        </is>
      </c>
      <c r="D1815" t="inlineStr">
        <is>
          <t>c647baec30b1e290d2b8700a5a56febb240c2e0de244e78da8f8761a78374715</t>
        </is>
      </c>
    </row>
    <row r="1816">
      <c r="A1816" t="inlineStr">
        <is>
          <t>附表9</t>
        </is>
      </c>
      <c r="B1816" t="inlineStr">
        <is>
          <t>D10</t>
        </is>
      </c>
      <c r="C1816" t="inlineStr">
        <is>
          <t>'=H20</t>
        </is>
      </c>
      <c r="D1816" t="inlineStr">
        <is>
          <t>14858732d9df1f52073e5b150806f15aaf2c3ed89e65fe464976596c542dd605</t>
        </is>
      </c>
    </row>
    <row r="1817">
      <c r="A1817" t="inlineStr">
        <is>
          <t>附表9</t>
        </is>
      </c>
      <c r="B1817" t="inlineStr">
        <is>
          <t>E10</t>
        </is>
      </c>
      <c r="C1817" t="inlineStr">
        <is>
          <t>'=H21</t>
        </is>
      </c>
      <c r="D1817" t="inlineStr">
        <is>
          <t>e96a45833adda849aad3911b603e78d6623f6b225dda68e32e0c766618f03849</t>
        </is>
      </c>
    </row>
    <row r="1818">
      <c r="A1818" t="inlineStr">
        <is>
          <t>附表9</t>
        </is>
      </c>
      <c r="B1818" t="inlineStr">
        <is>
          <t>F10</t>
        </is>
      </c>
      <c r="C1818" t="inlineStr">
        <is>
          <t>'=H22</t>
        </is>
      </c>
      <c r="D1818" t="inlineStr">
        <is>
          <t>99b2450b96866d3087e2398c2836596310d33e9a6dbc62751f5949e330a08738</t>
        </is>
      </c>
    </row>
    <row r="1819">
      <c r="A1819" t="inlineStr">
        <is>
          <t>附表9</t>
        </is>
      </c>
      <c r="B1819" t="inlineStr">
        <is>
          <t>G10</t>
        </is>
      </c>
      <c r="C1819" t="inlineStr">
        <is>
          <t>'=H23</t>
        </is>
      </c>
      <c r="D1819" t="inlineStr">
        <is>
          <t>c72025bee0bc5840706ff43b20b655d4c95c6caf1e99630a64032436829c7c17</t>
        </is>
      </c>
    </row>
    <row r="1820">
      <c r="A1820" t="inlineStr">
        <is>
          <t>附表9</t>
        </is>
      </c>
      <c r="B1820" t="inlineStr">
        <is>
          <t>H10</t>
        </is>
      </c>
      <c r="C1820" t="inlineStr">
        <is>
          <t>'=H24</t>
        </is>
      </c>
      <c r="D1820" t="inlineStr">
        <is>
          <t>8d0b1e84600282eca62b3424e9540db362083b1975228dbedc985f087cc8e1b3</t>
        </is>
      </c>
    </row>
    <row r="1821">
      <c r="A1821" t="inlineStr">
        <is>
          <t>附表9</t>
        </is>
      </c>
      <c r="B1821" t="inlineStr">
        <is>
          <t>I10</t>
        </is>
      </c>
      <c r="C1821" t="inlineStr">
        <is>
          <t>'=H25</t>
        </is>
      </c>
      <c r="D1821" t="inlineStr">
        <is>
          <t>7fe644f4c1ede5f733c14eea39a1a9a1c7513224b6eccb11df9fcb7955e967d1</t>
        </is>
      </c>
    </row>
    <row r="1822">
      <c r="A1822" t="inlineStr">
        <is>
          <t>附表9</t>
        </is>
      </c>
      <c r="B1822" t="inlineStr">
        <is>
          <t>J10</t>
        </is>
      </c>
      <c r="C1822" t="inlineStr">
        <is>
          <t>'=H26</t>
        </is>
      </c>
      <c r="D1822" t="inlineStr">
        <is>
          <t>d8fb3d229df8698e8d47b7d66bbca5ffddf4740d2a7e3aab7695b6d306959394</t>
        </is>
      </c>
    </row>
    <row r="1823">
      <c r="A1823" t="inlineStr">
        <is>
          <t>附表9</t>
        </is>
      </c>
      <c r="B1823" t="inlineStr">
        <is>
          <t>K10</t>
        </is>
      </c>
      <c r="C1823" t="inlineStr">
        <is>
          <t>'=H27</t>
        </is>
      </c>
      <c r="D1823" t="inlineStr">
        <is>
          <t>fc660f4cd545d3c398b76e857966ea1ff6c1352deec67afbc7b988cde7991d77</t>
        </is>
      </c>
    </row>
    <row r="1824">
      <c r="A1824" t="inlineStr">
        <is>
          <t>附表9</t>
        </is>
      </c>
      <c r="B1824" t="inlineStr">
        <is>
          <t>L10</t>
        </is>
      </c>
      <c r="C1824" t="inlineStr">
        <is>
          <t>'=H28</t>
        </is>
      </c>
      <c r="D1824" t="inlineStr">
        <is>
          <t>8272d75fbea47801d43688c2491bb00d0a5a8c69f8aae4a036684314c0acafa6</t>
        </is>
      </c>
    </row>
    <row r="1825">
      <c r="A1825" t="inlineStr">
        <is>
          <t>附表9</t>
        </is>
      </c>
      <c r="B1825" t="inlineStr">
        <is>
          <t>M10</t>
        </is>
      </c>
      <c r="C1825" t="inlineStr">
        <is>
          <t>'=H29</t>
        </is>
      </c>
      <c r="D1825" t="inlineStr">
        <is>
          <t>31f0dea7ffd623287e9ff827b3672ad7eb78cdc1d789dc4d7b9f7387ce85fb49</t>
        </is>
      </c>
    </row>
    <row r="1826">
      <c r="A1826" t="inlineStr">
        <is>
          <t>附表9</t>
        </is>
      </c>
      <c r="B1826" t="inlineStr">
        <is>
          <t>N10</t>
        </is>
      </c>
      <c r="C1826" t="inlineStr">
        <is>
          <t>'=H30</t>
        </is>
      </c>
      <c r="D1826" t="inlineStr">
        <is>
          <t>bf18e57a36fdb0fa286b8edf8ae91887839dce5d2e5865b905e5d29cf16aaf3d</t>
        </is>
      </c>
    </row>
    <row r="1827">
      <c r="A1827" t="inlineStr">
        <is>
          <t>附表9</t>
        </is>
      </c>
      <c r="B1827" t="inlineStr">
        <is>
          <t>O10</t>
        </is>
      </c>
      <c r="C1827" t="inlineStr">
        <is>
          <t>'=H31</t>
        </is>
      </c>
      <c r="D1827" t="inlineStr">
        <is>
          <t>6fbfebce6890494a02b551d89fdc984985058303642263622a40bf2417078fbf</t>
        </is>
      </c>
    </row>
    <row r="1828">
      <c r="A1828" t="inlineStr">
        <is>
          <t>附表9</t>
        </is>
      </c>
      <c r="B1828" t="inlineStr">
        <is>
          <t>P10</t>
        </is>
      </c>
      <c r="C1828" t="inlineStr">
        <is>
          <t>'=H32</t>
        </is>
      </c>
      <c r="D1828" t="inlineStr">
        <is>
          <t>47a52dc78fdf16a9ad7f8ac3893cb2331acf56bedc99b61790a87d61ca993a0b</t>
        </is>
      </c>
    </row>
    <row r="1829">
      <c r="A1829" t="inlineStr">
        <is>
          <t>附表9</t>
        </is>
      </c>
      <c r="B1829" t="inlineStr">
        <is>
          <t>Q10</t>
        </is>
      </c>
      <c r="C1829" t="inlineStr">
        <is>
          <t>'=H33</t>
        </is>
      </c>
      <c r="D1829" t="inlineStr">
        <is>
          <t>63035af1ad631060eb266fc710663ddabcccf9484581e813935b41662a3cace4</t>
        </is>
      </c>
    </row>
    <row r="1830">
      <c r="A1830" t="inlineStr">
        <is>
          <t>附表9</t>
        </is>
      </c>
      <c r="B1830" t="inlineStr">
        <is>
          <t>R10</t>
        </is>
      </c>
      <c r="C1830" t="inlineStr">
        <is>
          <t>'=H34</t>
        </is>
      </c>
      <c r="D1830" t="inlineStr">
        <is>
          <t>1e0864270237a415b46d4a19c3ac2ac68618a28d08561a0460c7ceab11b2a458</t>
        </is>
      </c>
    </row>
    <row r="1831">
      <c r="A1831" t="inlineStr">
        <is>
          <t>附表9</t>
        </is>
      </c>
      <c r="B1831" t="inlineStr">
        <is>
          <t>S10</t>
        </is>
      </c>
      <c r="C1831" t="inlineStr">
        <is>
          <t>'=H35</t>
        </is>
      </c>
      <c r="D1831" t="inlineStr">
        <is>
          <t>e3a90c345cce2e508a421c6aced25d7d862dc0c0a04c15070caa45927796f2bd</t>
        </is>
      </c>
    </row>
    <row r="1832">
      <c r="A1832" t="inlineStr">
        <is>
          <t>附表9</t>
        </is>
      </c>
      <c r="B1832" t="inlineStr">
        <is>
          <t>T10</t>
        </is>
      </c>
      <c r="C1832" t="inlineStr">
        <is>
          <t>'=H36</t>
        </is>
      </c>
      <c r="D1832" t="inlineStr">
        <is>
          <t>76efe60b5f62fd80f1c28260f60e07519fe7c7caf191bd10cdd1a8005cff78af</t>
        </is>
      </c>
    </row>
    <row r="1833">
      <c r="A1833" t="inlineStr">
        <is>
          <t>附表9</t>
        </is>
      </c>
      <c r="B1833" t="inlineStr">
        <is>
          <t>U10</t>
        </is>
      </c>
      <c r="C1833" t="inlineStr">
        <is>
          <t>'=H37</t>
        </is>
      </c>
      <c r="D1833" t="inlineStr">
        <is>
          <t>415d82ace76e427764c8f9f1a68174cae19ab2cdc09775e575bee3aec994362d</t>
        </is>
      </c>
    </row>
    <row r="1834">
      <c r="A1834" t="inlineStr">
        <is>
          <t>附表9</t>
        </is>
      </c>
      <c r="B1834" t="inlineStr">
        <is>
          <t>V10</t>
        </is>
      </c>
      <c r="C1834" t="inlineStr">
        <is>
          <t>'=H38</t>
        </is>
      </c>
      <c r="D1834" t="inlineStr">
        <is>
          <t>b8ba4d13fbd7df659a49a751b176d3d910b7195e099a90d842b96bd051376050</t>
        </is>
      </c>
    </row>
    <row r="1835">
      <c r="A1835" t="inlineStr">
        <is>
          <t>附表9</t>
        </is>
      </c>
      <c r="B1835" t="inlineStr">
        <is>
          <t>W10</t>
        </is>
      </c>
      <c r="C1835" t="inlineStr">
        <is>
          <t>'=H39</t>
        </is>
      </c>
      <c r="D1835" t="inlineStr">
        <is>
          <t>ec171282b89697f50fb62c1734d4ea481150e6499a6b59a86f98c9624dc673d4</t>
        </is>
      </c>
    </row>
    <row r="1836">
      <c r="A1836" t="inlineStr">
        <is>
          <t>附表9</t>
        </is>
      </c>
      <c r="B1836" t="inlineStr">
        <is>
          <t>X10</t>
        </is>
      </c>
      <c r="C1836" t="inlineStr">
        <is>
          <t>'=H40</t>
        </is>
      </c>
      <c r="D1836" t="inlineStr">
        <is>
          <t>59e6c3abe94e197acb7b1f94ae917c21cf4c2c0ad9464a97cff374d5fbc1a165</t>
        </is>
      </c>
    </row>
    <row r="1837">
      <c r="A1837" t="inlineStr">
        <is>
          <t>附表9</t>
        </is>
      </c>
      <c r="B1837" t="inlineStr">
        <is>
          <t>Y10</t>
        </is>
      </c>
      <c r="C1837" t="inlineStr">
        <is>
          <t>'=H41</t>
        </is>
      </c>
      <c r="D1837" t="inlineStr">
        <is>
          <t>560a6bc49e899f2d825d737185425c04b44fe460d1b1433285febc8b66de2112</t>
        </is>
      </c>
    </row>
    <row r="1838">
      <c r="A1838" t="inlineStr">
        <is>
          <t>附表9</t>
        </is>
      </c>
      <c r="B1838" t="inlineStr">
        <is>
          <t>Z10</t>
        </is>
      </c>
      <c r="C1838" t="inlineStr">
        <is>
          <t>'=H42</t>
        </is>
      </c>
      <c r="D1838" t="inlineStr">
        <is>
          <t>0de846fe3162edf0e207f2648ecb242b40198cc50321cd1565f0137ce3821862</t>
        </is>
      </c>
    </row>
    <row r="1839">
      <c r="A1839" t="inlineStr">
        <is>
          <t>附表9</t>
        </is>
      </c>
      <c r="B1839" t="inlineStr">
        <is>
          <t>AA10</t>
        </is>
      </c>
      <c r="C1839" t="inlineStr">
        <is>
          <t>'=H43</t>
        </is>
      </c>
      <c r="D1839" t="inlineStr">
        <is>
          <t>543fa4d3410971537580e52e60a68821995f3721e7028d96d8df3508bb7367f9</t>
        </is>
      </c>
    </row>
    <row r="1840">
      <c r="A1840" t="inlineStr">
        <is>
          <t>附表9</t>
        </is>
      </c>
      <c r="B1840" t="inlineStr">
        <is>
          <t>AB10</t>
        </is>
      </c>
      <c r="C1840" t="inlineStr">
        <is>
          <t>'=H44</t>
        </is>
      </c>
      <c r="D1840" t="inlineStr">
        <is>
          <t>ae10b9235b486bd94051f44b037991939594cb920d56275bb0daf7caa2b48e91</t>
        </is>
      </c>
    </row>
    <row r="1841">
      <c r="A1841" t="inlineStr">
        <is>
          <t>附表9</t>
        </is>
      </c>
      <c r="B1841" t="inlineStr">
        <is>
          <t>C11</t>
        </is>
      </c>
      <c r="C1841" t="inlineStr">
        <is>
          <t>'=SUM(D11,E11,F11,G11,H11,I11,J11,K11,L11,M11,N11,O11,P11,Q11,R11,S11,T11,U11,V11,W11,X11,Y11,Z11,AA11,AB11)</t>
        </is>
      </c>
      <c r="D1841" t="inlineStr">
        <is>
          <t>5f76884b48552e8ace114797fc70054a04716a1c7219e6ff643d111d5061bab6</t>
        </is>
      </c>
    </row>
    <row r="1842">
      <c r="A1842" t="inlineStr">
        <is>
          <t>附表9</t>
        </is>
      </c>
      <c r="B1842" t="inlineStr">
        <is>
          <t>D11</t>
        </is>
      </c>
      <c r="C1842" t="inlineStr">
        <is>
          <t>'=D20</t>
        </is>
      </c>
      <c r="D1842" t="inlineStr">
        <is>
          <t>a7ebc1ac7c294fd511bf92a9846923716743862e317dbab420a3fdd6ad55d715</t>
        </is>
      </c>
    </row>
    <row r="1843">
      <c r="A1843" t="inlineStr">
        <is>
          <t>附表9</t>
        </is>
      </c>
      <c r="B1843" t="inlineStr">
        <is>
          <t>E11</t>
        </is>
      </c>
      <c r="C1843" t="inlineStr">
        <is>
          <t>'=D21</t>
        </is>
      </c>
      <c r="D1843" t="inlineStr">
        <is>
          <t>dd2c0535b2cc2d2c7d9a728a52b268e4ca6d8357c7d40bb9a11e60dd7b2b3342</t>
        </is>
      </c>
    </row>
    <row r="1844">
      <c r="A1844" t="inlineStr">
        <is>
          <t>附表9</t>
        </is>
      </c>
      <c r="B1844" t="inlineStr">
        <is>
          <t>F11</t>
        </is>
      </c>
      <c r="C1844" t="inlineStr">
        <is>
          <t>'=D22</t>
        </is>
      </c>
      <c r="D1844" t="inlineStr">
        <is>
          <t>fd81278826c022b876b4fa0e13b8bcc9fd3f5fd12822f1296ad925b9ba200de0</t>
        </is>
      </c>
    </row>
    <row r="1845">
      <c r="A1845" t="inlineStr">
        <is>
          <t>附表9</t>
        </is>
      </c>
      <c r="B1845" t="inlineStr">
        <is>
          <t>G11</t>
        </is>
      </c>
      <c r="C1845" t="inlineStr">
        <is>
          <t>'=D23</t>
        </is>
      </c>
      <c r="D1845" t="inlineStr">
        <is>
          <t>4e3edd7bef1ccd13bc3da04ebe6e214d591e81eba0f2923cbea5f9cbf520563b</t>
        </is>
      </c>
    </row>
    <row r="1846">
      <c r="A1846" t="inlineStr">
        <is>
          <t>附表9</t>
        </is>
      </c>
      <c r="B1846" t="inlineStr">
        <is>
          <t>H11</t>
        </is>
      </c>
      <c r="C1846" t="inlineStr">
        <is>
          <t>'=D24</t>
        </is>
      </c>
      <c r="D1846" t="inlineStr">
        <is>
          <t>83962ae917357542afddcffd7deabde725a4dc0147ac1cc8f05b62607d7c05c5</t>
        </is>
      </c>
    </row>
    <row r="1847">
      <c r="A1847" t="inlineStr">
        <is>
          <t>附表9</t>
        </is>
      </c>
      <c r="B1847" t="inlineStr">
        <is>
          <t>I11</t>
        </is>
      </c>
      <c r="C1847" t="inlineStr">
        <is>
          <t>'=D25</t>
        </is>
      </c>
      <c r="D1847" t="inlineStr">
        <is>
          <t>70a86fa2f4144bbf9e0d7d6fdb3c866ef1c49841783d113dcff9dfa0c1880a90</t>
        </is>
      </c>
    </row>
    <row r="1848">
      <c r="A1848" t="inlineStr">
        <is>
          <t>附表9</t>
        </is>
      </c>
      <c r="B1848" t="inlineStr">
        <is>
          <t>J11</t>
        </is>
      </c>
      <c r="C1848" t="inlineStr">
        <is>
          <t>'=D26</t>
        </is>
      </c>
      <c r="D1848" t="inlineStr">
        <is>
          <t>9a55e00dd06b8284dbb16ea2569f22d39b44edb2192d639b187b5213751b9ac0</t>
        </is>
      </c>
    </row>
    <row r="1849">
      <c r="A1849" t="inlineStr">
        <is>
          <t>附表9</t>
        </is>
      </c>
      <c r="B1849" t="inlineStr">
        <is>
          <t>K11</t>
        </is>
      </c>
      <c r="C1849" t="inlineStr">
        <is>
          <t>'=D27</t>
        </is>
      </c>
      <c r="D1849" t="inlineStr">
        <is>
          <t>7b6527143aed96de549d67657faef4d6a5d8a376b29e6cb60dc8c87b9f5be9c8</t>
        </is>
      </c>
    </row>
    <row r="1850">
      <c r="A1850" t="inlineStr">
        <is>
          <t>附表9</t>
        </is>
      </c>
      <c r="B1850" t="inlineStr">
        <is>
          <t>L11</t>
        </is>
      </c>
      <c r="C1850" t="inlineStr">
        <is>
          <t>'=D28</t>
        </is>
      </c>
      <c r="D1850" t="inlineStr">
        <is>
          <t>f4a4e5645f63873576816d4418f3286215cdde8a791baaf3df4123f32366f5eb</t>
        </is>
      </c>
    </row>
    <row r="1851">
      <c r="A1851" t="inlineStr">
        <is>
          <t>附表9</t>
        </is>
      </c>
      <c r="B1851" t="inlineStr">
        <is>
          <t>M11</t>
        </is>
      </c>
      <c r="C1851" t="inlineStr">
        <is>
          <t>'=D29</t>
        </is>
      </c>
      <c r="D1851" t="inlineStr">
        <is>
          <t>0808dcd0831c3bb83c02fd37f813019f5a5996b7601f2d2e23c52a8d9253fcdf</t>
        </is>
      </c>
    </row>
    <row r="1852">
      <c r="A1852" t="inlineStr">
        <is>
          <t>附表9</t>
        </is>
      </c>
      <c r="B1852" t="inlineStr">
        <is>
          <t>N11</t>
        </is>
      </c>
      <c r="C1852" t="inlineStr">
        <is>
          <t>'=D30</t>
        </is>
      </c>
      <c r="D1852" t="inlineStr">
        <is>
          <t>d136345226829fe529f1ceefb48854ff74a102a1e4ad1374f6303396e0ac70b1</t>
        </is>
      </c>
    </row>
    <row r="1853">
      <c r="A1853" t="inlineStr">
        <is>
          <t>附表9</t>
        </is>
      </c>
      <c r="B1853" t="inlineStr">
        <is>
          <t>O11</t>
        </is>
      </c>
      <c r="C1853" t="inlineStr">
        <is>
          <t>'=D31</t>
        </is>
      </c>
      <c r="D1853" t="inlineStr">
        <is>
          <t>8456b36e3ecf4270892831a6a677ca706dc24b4ec9dcefd41118cad6c8ae8b50</t>
        </is>
      </c>
    </row>
    <row r="1854">
      <c r="A1854" t="inlineStr">
        <is>
          <t>附表9</t>
        </is>
      </c>
      <c r="B1854" t="inlineStr">
        <is>
          <t>P11</t>
        </is>
      </c>
      <c r="C1854" t="inlineStr">
        <is>
          <t>'=D32</t>
        </is>
      </c>
      <c r="D1854" t="inlineStr">
        <is>
          <t>eb8d486dbf1c5bc57f13658d2c864a1bd90fa4789992bc0d4206672c02dd4eff</t>
        </is>
      </c>
    </row>
    <row r="1855">
      <c r="A1855" t="inlineStr">
        <is>
          <t>附表9</t>
        </is>
      </c>
      <c r="B1855" t="inlineStr">
        <is>
          <t>Q11</t>
        </is>
      </c>
      <c r="C1855" t="inlineStr">
        <is>
          <t>'=D33</t>
        </is>
      </c>
      <c r="D1855" t="inlineStr">
        <is>
          <t>36b97dde108fc21156ffadd4bda9311e922f29e1bd8ca690a03b0d99fcb86b7f</t>
        </is>
      </c>
    </row>
    <row r="1856">
      <c r="A1856" t="inlineStr">
        <is>
          <t>附表9</t>
        </is>
      </c>
      <c r="B1856" t="inlineStr">
        <is>
          <t>R11</t>
        </is>
      </c>
      <c r="C1856" t="inlineStr">
        <is>
          <t>'=D34</t>
        </is>
      </c>
      <c r="D1856" t="inlineStr">
        <is>
          <t>14f4f9a4e44905b9a54b85c7feedeb755fbb94bb9811aece074fb7a3bb82c794</t>
        </is>
      </c>
    </row>
    <row r="1857">
      <c r="A1857" t="inlineStr">
        <is>
          <t>附表9</t>
        </is>
      </c>
      <c r="B1857" t="inlineStr">
        <is>
          <t>S11</t>
        </is>
      </c>
      <c r="C1857" t="inlineStr">
        <is>
          <t>'=D35</t>
        </is>
      </c>
      <c r="D1857" t="inlineStr">
        <is>
          <t>061b9da6bafb189119df040a91999b4e63c268fbf54028c6ebc8178ff9b1c933</t>
        </is>
      </c>
    </row>
    <row r="1858">
      <c r="A1858" t="inlineStr">
        <is>
          <t>附表9</t>
        </is>
      </c>
      <c r="B1858" t="inlineStr">
        <is>
          <t>T11</t>
        </is>
      </c>
      <c r="C1858" t="inlineStr">
        <is>
          <t>'=D36</t>
        </is>
      </c>
      <c r="D1858" t="inlineStr">
        <is>
          <t>0f70a0ac970e0b5bac66ad6a0e0adc1e66c10fd6598d7365e33935bd8afd0a63</t>
        </is>
      </c>
    </row>
    <row r="1859">
      <c r="A1859" t="inlineStr">
        <is>
          <t>附表9</t>
        </is>
      </c>
      <c r="B1859" t="inlineStr">
        <is>
          <t>U11</t>
        </is>
      </c>
      <c r="C1859" t="inlineStr">
        <is>
          <t>'=D37</t>
        </is>
      </c>
      <c r="D1859" t="inlineStr">
        <is>
          <t>47c7fb0f84f46abd2ca4db9521bd4305ab778559467aed297d394377e0c31af2</t>
        </is>
      </c>
    </row>
    <row r="1860">
      <c r="A1860" t="inlineStr">
        <is>
          <t>附表9</t>
        </is>
      </c>
      <c r="B1860" t="inlineStr">
        <is>
          <t>V11</t>
        </is>
      </c>
      <c r="C1860" t="inlineStr">
        <is>
          <t>'=D38</t>
        </is>
      </c>
      <c r="D1860" t="inlineStr">
        <is>
          <t>0ac6a12313792022d5e80900bab4bd5a412ec4c84dcd84d5ebd9e24154e50020</t>
        </is>
      </c>
    </row>
    <row r="1861">
      <c r="A1861" t="inlineStr">
        <is>
          <t>附表9</t>
        </is>
      </c>
      <c r="B1861" t="inlineStr">
        <is>
          <t>W11</t>
        </is>
      </c>
      <c r="C1861" t="inlineStr">
        <is>
          <t>'=D39</t>
        </is>
      </c>
      <c r="D1861" t="inlineStr">
        <is>
          <t>d0cce5b94402a737a8297dafd93a25542c2b7146703f19228bb6763255f8fcba</t>
        </is>
      </c>
    </row>
    <row r="1862">
      <c r="A1862" t="inlineStr">
        <is>
          <t>附表9</t>
        </is>
      </c>
      <c r="B1862" t="inlineStr">
        <is>
          <t>X11</t>
        </is>
      </c>
      <c r="C1862" t="inlineStr">
        <is>
          <t>'=D40</t>
        </is>
      </c>
      <c r="D1862" t="inlineStr">
        <is>
          <t>67d386fff3d1cfa70ac21dae8db358746f6bc023572da382b6008d5d94d65cca</t>
        </is>
      </c>
    </row>
    <row r="1863">
      <c r="A1863" t="inlineStr">
        <is>
          <t>附表9</t>
        </is>
      </c>
      <c r="B1863" t="inlineStr">
        <is>
          <t>Y11</t>
        </is>
      </c>
      <c r="C1863" t="inlineStr">
        <is>
          <t>'=D41</t>
        </is>
      </c>
      <c r="D1863" t="inlineStr">
        <is>
          <t>5dd0674c5ecde605ee5422d448374967cadaa9b95522ced28b67110188e54366</t>
        </is>
      </c>
    </row>
    <row r="1864">
      <c r="A1864" t="inlineStr">
        <is>
          <t>附表9</t>
        </is>
      </c>
      <c r="B1864" t="inlineStr">
        <is>
          <t>Z11</t>
        </is>
      </c>
      <c r="C1864" t="inlineStr">
        <is>
          <t>'=D42</t>
        </is>
      </c>
      <c r="D1864" t="inlineStr">
        <is>
          <t>9185dfa024900eba9f696cf61eeebce8c618ec56dca65ccee03b4904cd116d6c</t>
        </is>
      </c>
    </row>
    <row r="1865">
      <c r="A1865" t="inlineStr">
        <is>
          <t>附表9</t>
        </is>
      </c>
      <c r="B1865" t="inlineStr">
        <is>
          <t>AA11</t>
        </is>
      </c>
      <c r="C1865" t="inlineStr">
        <is>
          <t>'=D43</t>
        </is>
      </c>
      <c r="D1865" t="inlineStr">
        <is>
          <t>7ebcf6a32fb0c9aa873536521f6bbe2a80bfeed6b70f99cd47cf0a3154a22c99</t>
        </is>
      </c>
    </row>
    <row r="1866">
      <c r="A1866" t="inlineStr">
        <is>
          <t>附表9</t>
        </is>
      </c>
      <c r="B1866" t="inlineStr">
        <is>
          <t>AB11</t>
        </is>
      </c>
      <c r="C1866" t="inlineStr">
        <is>
          <t>'=D44</t>
        </is>
      </c>
      <c r="D1866" t="inlineStr">
        <is>
          <t>54ab58a4a53e0b1dc741b24e8996fea089f749ee68d764e4cde0e2740bd83e8e</t>
        </is>
      </c>
    </row>
    <row r="1867">
      <c r="A1867" t="inlineStr">
        <is>
          <t>附表9</t>
        </is>
      </c>
      <c r="B1867" t="inlineStr">
        <is>
          <t>C12</t>
        </is>
      </c>
      <c r="C1867" t="inlineStr">
        <is>
          <t>'=SUM(D12,E12,F12,G12,H12,I12,J12,K12,L12,M12,N12,O12,P12,Q12,R12,S12,T12,U12,V12,W12,X12,Y12,Z12,AA12,AB12)</t>
        </is>
      </c>
      <c r="D1867" t="inlineStr">
        <is>
          <t>bcd0aaa6791e35bfc8d0381fc192a6c772019911bc63b5eeb685f60a38fc1ebc</t>
        </is>
      </c>
    </row>
    <row r="1868">
      <c r="A1868" t="inlineStr">
        <is>
          <t>附表9</t>
        </is>
      </c>
      <c r="B1868" t="inlineStr">
        <is>
          <t>D12</t>
        </is>
      </c>
      <c r="C1868" t="inlineStr">
        <is>
          <t>'=E20</t>
        </is>
      </c>
      <c r="D1868" t="inlineStr">
        <is>
          <t>05082b7bd2c44cd5cfb16ada282235d7b09ab7de9c712999913356dc013a2276</t>
        </is>
      </c>
    </row>
    <row r="1869">
      <c r="A1869" t="inlineStr">
        <is>
          <t>附表9</t>
        </is>
      </c>
      <c r="B1869" t="inlineStr">
        <is>
          <t>E12</t>
        </is>
      </c>
      <c r="C1869" t="inlineStr">
        <is>
          <t>'=E21</t>
        </is>
      </c>
      <c r="D1869" t="inlineStr">
        <is>
          <t>cbccd5e5dfa9c73ccf73f4c06e608cccf30117948f5a3a8e0bebd9f87030268b</t>
        </is>
      </c>
    </row>
    <row r="1870">
      <c r="A1870" t="inlineStr">
        <is>
          <t>附表9</t>
        </is>
      </c>
      <c r="B1870" t="inlineStr">
        <is>
          <t>F12</t>
        </is>
      </c>
      <c r="C1870" t="inlineStr">
        <is>
          <t>'=E22</t>
        </is>
      </c>
      <c r="D1870" t="inlineStr">
        <is>
          <t>b3bdd965d81f6295ce34f69cd2229065180d63cf9e8209fe504a1a6b742ca2cc</t>
        </is>
      </c>
    </row>
    <row r="1871">
      <c r="A1871" t="inlineStr">
        <is>
          <t>附表9</t>
        </is>
      </c>
      <c r="B1871" t="inlineStr">
        <is>
          <t>G12</t>
        </is>
      </c>
      <c r="C1871" t="inlineStr">
        <is>
          <t>'=E23</t>
        </is>
      </c>
      <c r="D1871" t="inlineStr">
        <is>
          <t>c3381f8b31a876fe4cdf2e75626f8d1b8fc95ad920bef3b8f94b1508359587c0</t>
        </is>
      </c>
    </row>
    <row r="1872">
      <c r="A1872" t="inlineStr">
        <is>
          <t>附表9</t>
        </is>
      </c>
      <c r="B1872" t="inlineStr">
        <is>
          <t>H12</t>
        </is>
      </c>
      <c r="C1872" t="inlineStr">
        <is>
          <t>'=E24</t>
        </is>
      </c>
      <c r="D1872" t="inlineStr">
        <is>
          <t>ff40c724feadaf7d60cfcbeb2bb4506626a7d1d584e20c3572e046372ca103a0</t>
        </is>
      </c>
    </row>
    <row r="1873">
      <c r="A1873" t="inlineStr">
        <is>
          <t>附表9</t>
        </is>
      </c>
      <c r="B1873" t="inlineStr">
        <is>
          <t>I12</t>
        </is>
      </c>
      <c r="C1873" t="inlineStr">
        <is>
          <t>'=E25</t>
        </is>
      </c>
      <c r="D1873" t="inlineStr">
        <is>
          <t>bee489adc18703ca78293e5fa79dbe2fc039df6f5a0897bd29f2afc1f0f44f4f</t>
        </is>
      </c>
    </row>
    <row r="1874">
      <c r="A1874" t="inlineStr">
        <is>
          <t>附表9</t>
        </is>
      </c>
      <c r="B1874" t="inlineStr">
        <is>
          <t>J12</t>
        </is>
      </c>
      <c r="C1874" t="inlineStr">
        <is>
          <t>'=E26</t>
        </is>
      </c>
      <c r="D1874" t="inlineStr">
        <is>
          <t>d528036d55c16bc8bb929bca4c1c8c7bb5c4220cf8c44f3c65ebdced4feaa2d6</t>
        </is>
      </c>
    </row>
    <row r="1875">
      <c r="A1875" t="inlineStr">
        <is>
          <t>附表9</t>
        </is>
      </c>
      <c r="B1875" t="inlineStr">
        <is>
          <t>K12</t>
        </is>
      </c>
      <c r="C1875" t="inlineStr">
        <is>
          <t>'=E27</t>
        </is>
      </c>
      <c r="D1875" t="inlineStr">
        <is>
          <t>b18c01b39373e16b82f579f4ff9f16b35c9ab8e4983583d5bb6e660a4c67f7ae</t>
        </is>
      </c>
    </row>
    <row r="1876">
      <c r="A1876" t="inlineStr">
        <is>
          <t>附表9</t>
        </is>
      </c>
      <c r="B1876" t="inlineStr">
        <is>
          <t>L12</t>
        </is>
      </c>
      <c r="C1876" t="inlineStr">
        <is>
          <t>'=E28</t>
        </is>
      </c>
      <c r="D1876" t="inlineStr">
        <is>
          <t>7631880322d74cf866bc65bf42898faec259e43e467b54ea5c9af511e68e6fd3</t>
        </is>
      </c>
    </row>
    <row r="1877">
      <c r="A1877" t="inlineStr">
        <is>
          <t>附表9</t>
        </is>
      </c>
      <c r="B1877" t="inlineStr">
        <is>
          <t>M12</t>
        </is>
      </c>
      <c r="C1877" t="inlineStr">
        <is>
          <t>'=E29</t>
        </is>
      </c>
      <c r="D1877" t="inlineStr">
        <is>
          <t>029d731d4663e03c8520795799642b96638809daed8bf0eb23339c0ba23a73f5</t>
        </is>
      </c>
    </row>
    <row r="1878">
      <c r="A1878" t="inlineStr">
        <is>
          <t>附表9</t>
        </is>
      </c>
      <c r="B1878" t="inlineStr">
        <is>
          <t>N12</t>
        </is>
      </c>
      <c r="C1878" t="inlineStr">
        <is>
          <t>'=E30</t>
        </is>
      </c>
      <c r="D1878" t="inlineStr">
        <is>
          <t>f9d1044436f187ad9ffde2b6f00aa4c37acdb8c819ce9bfaa0f9515b303dfff1</t>
        </is>
      </c>
    </row>
    <row r="1879">
      <c r="A1879" t="inlineStr">
        <is>
          <t>附表9</t>
        </is>
      </c>
      <c r="B1879" t="inlineStr">
        <is>
          <t>O12</t>
        </is>
      </c>
      <c r="C1879" t="inlineStr">
        <is>
          <t>'=E31</t>
        </is>
      </c>
      <c r="D1879" t="inlineStr">
        <is>
          <t>ccb0bd9c84094861b829aaaf09075d3c7ff6aafd759aeeb9215e2031d1c57476</t>
        </is>
      </c>
    </row>
    <row r="1880">
      <c r="A1880" t="inlineStr">
        <is>
          <t>附表9</t>
        </is>
      </c>
      <c r="B1880" t="inlineStr">
        <is>
          <t>P12</t>
        </is>
      </c>
      <c r="C1880" t="inlineStr">
        <is>
          <t>'=E32</t>
        </is>
      </c>
      <c r="D1880" t="inlineStr">
        <is>
          <t>5c2a9afdbd4b0ba3b6a28bbaea56a5310c357764c67edcff1106f88069e55777</t>
        </is>
      </c>
    </row>
    <row r="1881">
      <c r="A1881" t="inlineStr">
        <is>
          <t>附表9</t>
        </is>
      </c>
      <c r="B1881" t="inlineStr">
        <is>
          <t>Q12</t>
        </is>
      </c>
      <c r="C1881" t="inlineStr">
        <is>
          <t>'=E33</t>
        </is>
      </c>
      <c r="D1881" t="inlineStr">
        <is>
          <t>8fabd9c5fe8cc507d064eddbc6fe9ea8c6e41213dbb42ffe37a6b88d49f6ab0c</t>
        </is>
      </c>
    </row>
    <row r="1882">
      <c r="A1882" t="inlineStr">
        <is>
          <t>附表9</t>
        </is>
      </c>
      <c r="B1882" t="inlineStr">
        <is>
          <t>R12</t>
        </is>
      </c>
      <c r="C1882" t="inlineStr">
        <is>
          <t>'=E34</t>
        </is>
      </c>
      <c r="D1882" t="inlineStr">
        <is>
          <t>87bbd2477ff72ff7af7fdabda66289421d5f5adebb9dfd3f1d3e7c2dbebbb27a</t>
        </is>
      </c>
    </row>
    <row r="1883">
      <c r="A1883" t="inlineStr">
        <is>
          <t>附表9</t>
        </is>
      </c>
      <c r="B1883" t="inlineStr">
        <is>
          <t>S12</t>
        </is>
      </c>
      <c r="C1883" t="inlineStr">
        <is>
          <t>'=E35</t>
        </is>
      </c>
      <c r="D1883" t="inlineStr">
        <is>
          <t>ee2ff98424ffd4f6db529a5ecb297178271832fdbf4e970635feb7414c8509b0</t>
        </is>
      </c>
    </row>
    <row r="1884">
      <c r="A1884" t="inlineStr">
        <is>
          <t>附表9</t>
        </is>
      </c>
      <c r="B1884" t="inlineStr">
        <is>
          <t>T12</t>
        </is>
      </c>
      <c r="C1884" t="inlineStr">
        <is>
          <t>'=E36</t>
        </is>
      </c>
      <c r="D1884" t="inlineStr">
        <is>
          <t>e03c280f19d18115f9033f7f0461af62082bd0820db7049321cea8a442ff8b7f</t>
        </is>
      </c>
    </row>
    <row r="1885">
      <c r="A1885" t="inlineStr">
        <is>
          <t>附表9</t>
        </is>
      </c>
      <c r="B1885" t="inlineStr">
        <is>
          <t>U12</t>
        </is>
      </c>
      <c r="C1885" t="inlineStr">
        <is>
          <t>'=E37</t>
        </is>
      </c>
      <c r="D1885" t="inlineStr">
        <is>
          <t>449f92e3bbc37b7984e20507510a886f3541bb4216353fee56c0bd03f8422e76</t>
        </is>
      </c>
    </row>
    <row r="1886">
      <c r="A1886" t="inlineStr">
        <is>
          <t>附表9</t>
        </is>
      </c>
      <c r="B1886" t="inlineStr">
        <is>
          <t>V12</t>
        </is>
      </c>
      <c r="C1886" t="inlineStr">
        <is>
          <t>'=E38</t>
        </is>
      </c>
      <c r="D1886" t="inlineStr">
        <is>
          <t>ae14f5f36d788372e885fbd1715a2f03db3885b298775270bfcd1fc38cf6139b</t>
        </is>
      </c>
    </row>
    <row r="1887">
      <c r="A1887" t="inlineStr">
        <is>
          <t>附表9</t>
        </is>
      </c>
      <c r="B1887" t="inlineStr">
        <is>
          <t>W12</t>
        </is>
      </c>
      <c r="C1887" t="inlineStr">
        <is>
          <t>'=E39</t>
        </is>
      </c>
      <c r="D1887" t="inlineStr">
        <is>
          <t>18114e6dbb02cc34e72eddfc241655b4f0225f99f8dea3788846c10a1261c6b1</t>
        </is>
      </c>
    </row>
    <row r="1888">
      <c r="A1888" t="inlineStr">
        <is>
          <t>附表9</t>
        </is>
      </c>
      <c r="B1888" t="inlineStr">
        <is>
          <t>X12</t>
        </is>
      </c>
      <c r="C1888" t="inlineStr">
        <is>
          <t>'=E40</t>
        </is>
      </c>
      <c r="D1888" t="inlineStr">
        <is>
          <t>96ae72a57795c393b59351fa715ceabc9fdfee27ba0ff5aceadb7f9f3fb7033b</t>
        </is>
      </c>
    </row>
    <row r="1889">
      <c r="A1889" t="inlineStr">
        <is>
          <t>附表9</t>
        </is>
      </c>
      <c r="B1889" t="inlineStr">
        <is>
          <t>Y12</t>
        </is>
      </c>
      <c r="C1889" t="inlineStr">
        <is>
          <t>'=E41</t>
        </is>
      </c>
      <c r="D1889" t="inlineStr">
        <is>
          <t>df2be7009a4fee7fbef6f913d108f785409c79bac7afe4773864b50e39757f8a</t>
        </is>
      </c>
    </row>
    <row r="1890">
      <c r="A1890" t="inlineStr">
        <is>
          <t>附表9</t>
        </is>
      </c>
      <c r="B1890" t="inlineStr">
        <is>
          <t>Z12</t>
        </is>
      </c>
      <c r="C1890" t="inlineStr">
        <is>
          <t>'=E42</t>
        </is>
      </c>
      <c r="D1890" t="inlineStr">
        <is>
          <t>ee0a6309448c128077fe11cd3227f58249aa116eb97563f567a515393ec4639d</t>
        </is>
      </c>
    </row>
    <row r="1891">
      <c r="A1891" t="inlineStr">
        <is>
          <t>附表9</t>
        </is>
      </c>
      <c r="B1891" t="inlineStr">
        <is>
          <t>AA12</t>
        </is>
      </c>
      <c r="C1891" t="inlineStr">
        <is>
          <t>'=E43</t>
        </is>
      </c>
      <c r="D1891" t="inlineStr">
        <is>
          <t>12a200ed6ecd5c28cd56afa60c2b95563124792363b42520e05cbdd19036469a</t>
        </is>
      </c>
    </row>
    <row r="1892">
      <c r="A1892" t="inlineStr">
        <is>
          <t>附表9</t>
        </is>
      </c>
      <c r="B1892" t="inlineStr">
        <is>
          <t>AB12</t>
        </is>
      </c>
      <c r="C1892" t="inlineStr">
        <is>
          <t>'=E44</t>
        </is>
      </c>
      <c r="D1892" t="inlineStr">
        <is>
          <t>0f32438aef4cb4f2d74c50cd89be2d577befdc919ddc9b270281e5632c44e49b</t>
        </is>
      </c>
    </row>
    <row r="1893">
      <c r="A1893" t="inlineStr">
        <is>
          <t>附表9</t>
        </is>
      </c>
      <c r="B1893" t="inlineStr">
        <is>
          <t>C13</t>
        </is>
      </c>
      <c r="C1893" t="inlineStr">
        <is>
          <t>'=SUM(D13,E13,F13,G13,H13,I13,J13,K13,L13,M13,N13,O13,P13,Q13,R13,S13,T13,U13,V13,W13,X13,Y13,Z13,AA13,AB13)</t>
        </is>
      </c>
      <c r="D1893" t="inlineStr">
        <is>
          <t>8317d45f838c063f94d5394cd98062d71262fe92818101b869a29bcc92d0edc6</t>
        </is>
      </c>
    </row>
    <row r="1894">
      <c r="A1894" t="inlineStr">
        <is>
          <t>附表9</t>
        </is>
      </c>
      <c r="B1894" t="inlineStr">
        <is>
          <t>D13</t>
        </is>
      </c>
      <c r="C1894" t="inlineStr">
        <is>
          <t>'=F20</t>
        </is>
      </c>
      <c r="D1894" t="inlineStr">
        <is>
          <t>ba897667d8b2299b24cc916cd51848f3d0dcd44eaf1d89de3b9d30ef3dd2bc64</t>
        </is>
      </c>
    </row>
    <row r="1895">
      <c r="A1895" t="inlineStr">
        <is>
          <t>附表9</t>
        </is>
      </c>
      <c r="B1895" t="inlineStr">
        <is>
          <t>E13</t>
        </is>
      </c>
      <c r="C1895" t="inlineStr">
        <is>
          <t>'=F21</t>
        </is>
      </c>
      <c r="D1895" t="inlineStr">
        <is>
          <t>abae687d0c6aafa9da45896720f1599a6ba87485b2c73c39b56040a65a42b2e6</t>
        </is>
      </c>
    </row>
    <row r="1896">
      <c r="A1896" t="inlineStr">
        <is>
          <t>附表9</t>
        </is>
      </c>
      <c r="B1896" t="inlineStr">
        <is>
          <t>F13</t>
        </is>
      </c>
      <c r="C1896" t="inlineStr">
        <is>
          <t>'=F22</t>
        </is>
      </c>
      <c r="D1896" t="inlineStr">
        <is>
          <t>303929953a9a22962770f601fb3e14d2053ccf2723618c7f401cf4b363cb74e6</t>
        </is>
      </c>
    </row>
    <row r="1897">
      <c r="A1897" t="inlineStr">
        <is>
          <t>附表9</t>
        </is>
      </c>
      <c r="B1897" t="inlineStr">
        <is>
          <t>G13</t>
        </is>
      </c>
      <c r="C1897" t="inlineStr">
        <is>
          <t>'=F23</t>
        </is>
      </c>
      <c r="D1897" t="inlineStr">
        <is>
          <t>8464b8eef7c14cb7336a27b4a74f7670338e734c289032fb540bd56103c9aac5</t>
        </is>
      </c>
    </row>
    <row r="1898">
      <c r="A1898" t="inlineStr">
        <is>
          <t>附表9</t>
        </is>
      </c>
      <c r="B1898" t="inlineStr">
        <is>
          <t>H13</t>
        </is>
      </c>
      <c r="C1898" t="inlineStr">
        <is>
          <t>'=F24</t>
        </is>
      </c>
      <c r="D1898" t="inlineStr">
        <is>
          <t>9ed367a5e3825d0f50d44fde06665a27a1a5b1d481a22b68505857131cb7ec82</t>
        </is>
      </c>
    </row>
    <row r="1899">
      <c r="A1899" t="inlineStr">
        <is>
          <t>附表9</t>
        </is>
      </c>
      <c r="B1899" t="inlineStr">
        <is>
          <t>I13</t>
        </is>
      </c>
      <c r="C1899" t="inlineStr">
        <is>
          <t>'=F25</t>
        </is>
      </c>
      <c r="D1899" t="inlineStr">
        <is>
          <t>47314388abee27a224eb6b91587e32b9cbbcdf0f974af9705530b790432232c3</t>
        </is>
      </c>
    </row>
    <row r="1900">
      <c r="A1900" t="inlineStr">
        <is>
          <t>附表9</t>
        </is>
      </c>
      <c r="B1900" t="inlineStr">
        <is>
          <t>J13</t>
        </is>
      </c>
      <c r="C1900" t="inlineStr">
        <is>
          <t>'=F26</t>
        </is>
      </c>
      <c r="D1900" t="inlineStr">
        <is>
          <t>8e8873507784a884e464929f855f269ae86026be510b312d169ad528e85712ab</t>
        </is>
      </c>
    </row>
    <row r="1901">
      <c r="A1901" t="inlineStr">
        <is>
          <t>附表9</t>
        </is>
      </c>
      <c r="B1901" t="inlineStr">
        <is>
          <t>K13</t>
        </is>
      </c>
      <c r="C1901" t="inlineStr">
        <is>
          <t>'=F27</t>
        </is>
      </c>
      <c r="D1901" t="inlineStr">
        <is>
          <t>5954ec758fe3318bf4d7f1f341de39825d6bc4eaa209e3196524590f535316c2</t>
        </is>
      </c>
    </row>
    <row r="1902">
      <c r="A1902" t="inlineStr">
        <is>
          <t>附表9</t>
        </is>
      </c>
      <c r="B1902" t="inlineStr">
        <is>
          <t>L13</t>
        </is>
      </c>
      <c r="C1902" t="inlineStr">
        <is>
          <t>'=F28</t>
        </is>
      </c>
      <c r="D1902" t="inlineStr">
        <is>
          <t>13f4ea59e7fc664f85ea46b2816893f73e36306223e4bdc135741ec0d1fe42b4</t>
        </is>
      </c>
    </row>
    <row r="1903">
      <c r="A1903" t="inlineStr">
        <is>
          <t>附表9</t>
        </is>
      </c>
      <c r="B1903" t="inlineStr">
        <is>
          <t>M13</t>
        </is>
      </c>
      <c r="C1903" t="inlineStr">
        <is>
          <t>'=F29</t>
        </is>
      </c>
      <c r="D1903" t="inlineStr">
        <is>
          <t>890e43661b159feafd46522f2327e365b2920f02cc7fbd207e2e3baa215b9f6d</t>
        </is>
      </c>
    </row>
    <row r="1904">
      <c r="A1904" t="inlineStr">
        <is>
          <t>附表9</t>
        </is>
      </c>
      <c r="B1904" t="inlineStr">
        <is>
          <t>N13</t>
        </is>
      </c>
      <c r="C1904" t="inlineStr">
        <is>
          <t>'=F30</t>
        </is>
      </c>
      <c r="D1904" t="inlineStr">
        <is>
          <t>36a95251f26c1b8da73153b6feb4d5c2fcf0060d1918ed64dc475c458e02475a</t>
        </is>
      </c>
    </row>
    <row r="1905">
      <c r="A1905" t="inlineStr">
        <is>
          <t>附表9</t>
        </is>
      </c>
      <c r="B1905" t="inlineStr">
        <is>
          <t>O13</t>
        </is>
      </c>
      <c r="C1905" t="inlineStr">
        <is>
          <t>'=F31</t>
        </is>
      </c>
      <c r="D1905" t="inlineStr">
        <is>
          <t>20c870fd001d5c247be7b3fc4a289f983c2c2f12246199d92dcc1102b343ca6b</t>
        </is>
      </c>
    </row>
    <row r="1906">
      <c r="A1906" t="inlineStr">
        <is>
          <t>附表9</t>
        </is>
      </c>
      <c r="B1906" t="inlineStr">
        <is>
          <t>P13</t>
        </is>
      </c>
      <c r="C1906" t="inlineStr">
        <is>
          <t>'=F32</t>
        </is>
      </c>
      <c r="D1906" t="inlineStr">
        <is>
          <t>c5ae83bf4079b265fbe8e53096c13e8d016f1c3cff2d7006581c001eb2606b11</t>
        </is>
      </c>
    </row>
    <row r="1907">
      <c r="A1907" t="inlineStr">
        <is>
          <t>附表9</t>
        </is>
      </c>
      <c r="B1907" t="inlineStr">
        <is>
          <t>Q13</t>
        </is>
      </c>
      <c r="C1907" t="inlineStr">
        <is>
          <t>'=F33</t>
        </is>
      </c>
      <c r="D1907" t="inlineStr">
        <is>
          <t>72589d5a055938823a5f2078e039aff33eb904440acbb0faeafe94847d6a4b96</t>
        </is>
      </c>
    </row>
    <row r="1908">
      <c r="A1908" t="inlineStr">
        <is>
          <t>附表9</t>
        </is>
      </c>
      <c r="B1908" t="inlineStr">
        <is>
          <t>R13</t>
        </is>
      </c>
      <c r="C1908" t="inlineStr">
        <is>
          <t>'=F34</t>
        </is>
      </c>
      <c r="D1908" t="inlineStr">
        <is>
          <t>e3c7865be4287277c5f6870291e7b2c5c43544c67056f211dbafbba1dacc87e0</t>
        </is>
      </c>
    </row>
    <row r="1909">
      <c r="A1909" t="inlineStr">
        <is>
          <t>附表9</t>
        </is>
      </c>
      <c r="B1909" t="inlineStr">
        <is>
          <t>S13</t>
        </is>
      </c>
      <c r="C1909" t="inlineStr">
        <is>
          <t>'=F35</t>
        </is>
      </c>
      <c r="D1909" t="inlineStr">
        <is>
          <t>a3c5399eb56df218770a83790a52696db93845721fa43ca553ce45bf51e93f4e</t>
        </is>
      </c>
    </row>
    <row r="1910">
      <c r="A1910" t="inlineStr">
        <is>
          <t>附表9</t>
        </is>
      </c>
      <c r="B1910" t="inlineStr">
        <is>
          <t>T13</t>
        </is>
      </c>
      <c r="C1910" t="inlineStr">
        <is>
          <t>'=F36</t>
        </is>
      </c>
      <c r="D1910" t="inlineStr">
        <is>
          <t>81f7c878de8b0183e578fd1938bf26fd7bdfdc595bd979ce4326cfa1bbe9c46b</t>
        </is>
      </c>
    </row>
    <row r="1911">
      <c r="A1911" t="inlineStr">
        <is>
          <t>附表9</t>
        </is>
      </c>
      <c r="B1911" t="inlineStr">
        <is>
          <t>U13</t>
        </is>
      </c>
      <c r="C1911" t="inlineStr">
        <is>
          <t>'=F37</t>
        </is>
      </c>
      <c r="D1911" t="inlineStr">
        <is>
          <t>d5b9cceb096710596835f0ce8f26a4b71d69869b1ff997a5749fdd39ea712e82</t>
        </is>
      </c>
    </row>
    <row r="1912">
      <c r="A1912" t="inlineStr">
        <is>
          <t>附表9</t>
        </is>
      </c>
      <c r="B1912" t="inlineStr">
        <is>
          <t>V13</t>
        </is>
      </c>
      <c r="C1912" t="inlineStr">
        <is>
          <t>'=F38</t>
        </is>
      </c>
      <c r="D1912" t="inlineStr">
        <is>
          <t>61ccbb4367dfe2753e4c74c260a0782c0ee06d8b8b15ccce22921359181715c1</t>
        </is>
      </c>
    </row>
    <row r="1913">
      <c r="A1913" t="inlineStr">
        <is>
          <t>附表9</t>
        </is>
      </c>
      <c r="B1913" t="inlineStr">
        <is>
          <t>W13</t>
        </is>
      </c>
      <c r="C1913" t="inlineStr">
        <is>
          <t>'=F39</t>
        </is>
      </c>
      <c r="D1913" t="inlineStr">
        <is>
          <t>f87b032df2ba01ff6cef9c2e0ce235b934b6329cc1c727ec535b2c5ef486ca5b</t>
        </is>
      </c>
    </row>
    <row r="1914">
      <c r="A1914" t="inlineStr">
        <is>
          <t>附表9</t>
        </is>
      </c>
      <c r="B1914" t="inlineStr">
        <is>
          <t>X13</t>
        </is>
      </c>
      <c r="C1914" t="inlineStr">
        <is>
          <t>'=F40</t>
        </is>
      </c>
      <c r="D1914" t="inlineStr">
        <is>
          <t>bb257547ac1de27fd36a914e35c364a505db82a16b41a47be7512693776a9dda</t>
        </is>
      </c>
    </row>
    <row r="1915">
      <c r="A1915" t="inlineStr">
        <is>
          <t>附表9</t>
        </is>
      </c>
      <c r="B1915" t="inlineStr">
        <is>
          <t>Y13</t>
        </is>
      </c>
      <c r="C1915" t="inlineStr">
        <is>
          <t>'=F41</t>
        </is>
      </c>
      <c r="D1915" t="inlineStr">
        <is>
          <t>4d660307540f701de87d8b57fb63fe374082bb12e51ce6746ae8780ba6f97e61</t>
        </is>
      </c>
    </row>
    <row r="1916">
      <c r="A1916" t="inlineStr">
        <is>
          <t>附表9</t>
        </is>
      </c>
      <c r="B1916" t="inlineStr">
        <is>
          <t>Z13</t>
        </is>
      </c>
      <c r="C1916" t="inlineStr">
        <is>
          <t>'=F42</t>
        </is>
      </c>
      <c r="D1916" t="inlineStr">
        <is>
          <t>51bcfe715e71a9503b9dc1e8c3324bba547c3ee9795ee36f08b9cec084d868b5</t>
        </is>
      </c>
    </row>
    <row r="1917">
      <c r="A1917" t="inlineStr">
        <is>
          <t>附表9</t>
        </is>
      </c>
      <c r="B1917" t="inlineStr">
        <is>
          <t>AA13</t>
        </is>
      </c>
      <c r="C1917" t="inlineStr">
        <is>
          <t>'=F43</t>
        </is>
      </c>
      <c r="D1917" t="inlineStr">
        <is>
          <t>5ed43acff7d7273cae47d75bb6fda8edf658c209d8c5e3d90f4b377158167227</t>
        </is>
      </c>
    </row>
    <row r="1918">
      <c r="A1918" t="inlineStr">
        <is>
          <t>附表9</t>
        </is>
      </c>
      <c r="B1918" t="inlineStr">
        <is>
          <t>AB13</t>
        </is>
      </c>
      <c r="C1918" t="inlineStr">
        <is>
          <t>'=F44</t>
        </is>
      </c>
      <c r="D1918" t="inlineStr">
        <is>
          <t>f37a1fdd612a2a52de72d96c6f42c874cdce8689c44c742b165e94e19f0498eb</t>
        </is>
      </c>
    </row>
    <row r="1919">
      <c r="A1919" t="inlineStr">
        <is>
          <t>附表9</t>
        </is>
      </c>
      <c r="B1919" t="inlineStr">
        <is>
          <t>C15</t>
        </is>
      </c>
      <c r="C1919" t="inlineStr">
        <is>
          <t>'=SUM(D15,E15,F15,G15,H15,I15,J15,K15,L15,M15,N15,O15,P15,Q15,R15,S15,T15,U15,V15,W15,X15,Y15,Z15,AA15,AB15)</t>
        </is>
      </c>
      <c r="D1919" t="inlineStr">
        <is>
          <t>0f707b4d0f5995740e5731fcb5df1ff27734da204c1b3ff39531c068f9f9df8b</t>
        </is>
      </c>
    </row>
    <row r="1920">
      <c r="A1920" t="inlineStr">
        <is>
          <t>附表9</t>
        </is>
      </c>
      <c r="B1920" t="inlineStr">
        <is>
          <t>D15</t>
        </is>
      </c>
      <c r="C1920" t="inlineStr">
        <is>
          <t>'=J20</t>
        </is>
      </c>
      <c r="D1920" t="inlineStr">
        <is>
          <t>ce326553232543c58402909112989a7450e5128ee8a983be3a599c016c02db3c</t>
        </is>
      </c>
    </row>
    <row r="1921">
      <c r="A1921" t="inlineStr">
        <is>
          <t>附表9</t>
        </is>
      </c>
      <c r="B1921" t="inlineStr">
        <is>
          <t>E15</t>
        </is>
      </c>
      <c r="C1921" t="inlineStr">
        <is>
          <t>'=J21</t>
        </is>
      </c>
      <c r="D1921" t="inlineStr">
        <is>
          <t>844703c84490259cc8c02a311e8a686e33974de72ed6bebc30360184cfc219f3</t>
        </is>
      </c>
    </row>
    <row r="1922">
      <c r="A1922" t="inlineStr">
        <is>
          <t>附表9</t>
        </is>
      </c>
      <c r="B1922" t="inlineStr">
        <is>
          <t>F15</t>
        </is>
      </c>
      <c r="C1922" t="inlineStr">
        <is>
          <t>'=J22</t>
        </is>
      </c>
      <c r="D1922" t="inlineStr">
        <is>
          <t>be881d0dcdc55481bd2a8727bb6cd2e69d9a5a107e3540915a815a1525b44259</t>
        </is>
      </c>
    </row>
    <row r="1923">
      <c r="A1923" t="inlineStr">
        <is>
          <t>附表9</t>
        </is>
      </c>
      <c r="B1923" t="inlineStr">
        <is>
          <t>G15</t>
        </is>
      </c>
      <c r="C1923" t="inlineStr">
        <is>
          <t>'=J23</t>
        </is>
      </c>
      <c r="D1923" t="inlineStr">
        <is>
          <t>6ed30c88475d4e9d2a1e265e53d9467c32ed110d89f5f771847e73b66a131d3c</t>
        </is>
      </c>
    </row>
    <row r="1924">
      <c r="A1924" t="inlineStr">
        <is>
          <t>附表9</t>
        </is>
      </c>
      <c r="B1924" t="inlineStr">
        <is>
          <t>H15</t>
        </is>
      </c>
      <c r="C1924" t="inlineStr">
        <is>
          <t>'=J24</t>
        </is>
      </c>
      <c r="D1924" t="inlineStr">
        <is>
          <t>8159f3346bd64ed0a0803803be40318973397c0ab3c36273d4b0978b7a01d010</t>
        </is>
      </c>
    </row>
    <row r="1925">
      <c r="A1925" t="inlineStr">
        <is>
          <t>附表9</t>
        </is>
      </c>
      <c r="B1925" t="inlineStr">
        <is>
          <t>I15</t>
        </is>
      </c>
      <c r="C1925" t="inlineStr">
        <is>
          <t>'=J25</t>
        </is>
      </c>
      <c r="D1925" t="inlineStr">
        <is>
          <t>8c29d2eae5713f571782f0b765731a16a575d120bc2cec87983f09769818618a</t>
        </is>
      </c>
    </row>
    <row r="1926">
      <c r="A1926" t="inlineStr">
        <is>
          <t>附表9</t>
        </is>
      </c>
      <c r="B1926" t="inlineStr">
        <is>
          <t>J15</t>
        </is>
      </c>
      <c r="C1926" t="inlineStr">
        <is>
          <t>'=J26</t>
        </is>
      </c>
      <c r="D1926" t="inlineStr">
        <is>
          <t>70d30c256e5bb44b25126bd8c8fdb9b3ce3225568d5d7ce5853f705897a129b0</t>
        </is>
      </c>
    </row>
    <row r="1927">
      <c r="A1927" t="inlineStr">
        <is>
          <t>附表9</t>
        </is>
      </c>
      <c r="B1927" t="inlineStr">
        <is>
          <t>K15</t>
        </is>
      </c>
      <c r="C1927" t="inlineStr">
        <is>
          <t>'=J27</t>
        </is>
      </c>
      <c r="D1927" t="inlineStr">
        <is>
          <t>32c0ca9426e2a877fc4f7639d5f3d33da4ecc8fd6ba5266f163bd89860045e2a</t>
        </is>
      </c>
    </row>
    <row r="1928">
      <c r="A1928" t="inlineStr">
        <is>
          <t>附表9</t>
        </is>
      </c>
      <c r="B1928" t="inlineStr">
        <is>
          <t>L15</t>
        </is>
      </c>
      <c r="C1928" t="inlineStr">
        <is>
          <t>'=J28</t>
        </is>
      </c>
      <c r="D1928" t="inlineStr">
        <is>
          <t>e5d0d9380122e0fcbe98ae8a14e465269ff3c8c066984d4ff3abb66274122c44</t>
        </is>
      </c>
    </row>
    <row r="1929">
      <c r="A1929" t="inlineStr">
        <is>
          <t>附表9</t>
        </is>
      </c>
      <c r="B1929" t="inlineStr">
        <is>
          <t>M15</t>
        </is>
      </c>
      <c r="C1929" t="inlineStr">
        <is>
          <t>'=J29</t>
        </is>
      </c>
      <c r="D1929" t="inlineStr">
        <is>
          <t>ce1e8fdac9e53ba560ed1ac79e3d38bbb220acb5e6599d169605e34cb87eb10f</t>
        </is>
      </c>
    </row>
    <row r="1930">
      <c r="A1930" t="inlineStr">
        <is>
          <t>附表9</t>
        </is>
      </c>
      <c r="B1930" t="inlineStr">
        <is>
          <t>N15</t>
        </is>
      </c>
      <c r="C1930" t="inlineStr">
        <is>
          <t>'=J30</t>
        </is>
      </c>
      <c r="D1930" t="inlineStr">
        <is>
          <t>c1f27019806f74a264bfcffc32b05d2b889d3d530972092e104cec6284307a62</t>
        </is>
      </c>
    </row>
    <row r="1931">
      <c r="A1931" t="inlineStr">
        <is>
          <t>附表9</t>
        </is>
      </c>
      <c r="B1931" t="inlineStr">
        <is>
          <t>O15</t>
        </is>
      </c>
      <c r="C1931" t="inlineStr">
        <is>
          <t>'=J31</t>
        </is>
      </c>
      <c r="D1931" t="inlineStr">
        <is>
          <t>2b51c78c6eac0624f42c5a9c86bfb80e997f36dc07d4daa66b51589fb1ecb270</t>
        </is>
      </c>
    </row>
    <row r="1932">
      <c r="A1932" t="inlineStr">
        <is>
          <t>附表9</t>
        </is>
      </c>
      <c r="B1932" t="inlineStr">
        <is>
          <t>P15</t>
        </is>
      </c>
      <c r="C1932" t="inlineStr">
        <is>
          <t>'=J32</t>
        </is>
      </c>
      <c r="D1932" t="inlineStr">
        <is>
          <t>d26969d7e96b0d056b822c6c8fa8a7dccdca6b3b8f121972895c4c310da04427</t>
        </is>
      </c>
    </row>
    <row r="1933">
      <c r="A1933" t="inlineStr">
        <is>
          <t>附表9</t>
        </is>
      </c>
      <c r="B1933" t="inlineStr">
        <is>
          <t>Q15</t>
        </is>
      </c>
      <c r="C1933" t="inlineStr">
        <is>
          <t>'=J33</t>
        </is>
      </c>
      <c r="D1933" t="inlineStr">
        <is>
          <t>744d791483ec101b9f1f36d4ede68c1016bd783e183c74f3eeb19bced937be42</t>
        </is>
      </c>
    </row>
    <row r="1934">
      <c r="A1934" t="inlineStr">
        <is>
          <t>附表9</t>
        </is>
      </c>
      <c r="B1934" t="inlineStr">
        <is>
          <t>R15</t>
        </is>
      </c>
      <c r="C1934" t="inlineStr">
        <is>
          <t>'=J34</t>
        </is>
      </c>
      <c r="D1934" t="inlineStr">
        <is>
          <t>8c3fb0e9d412ce45f1fdcc0313fda541c1f1b1498ddae1ce476e897da1535d2e</t>
        </is>
      </c>
    </row>
    <row r="1935">
      <c r="A1935" t="inlineStr">
        <is>
          <t>附表9</t>
        </is>
      </c>
      <c r="B1935" t="inlineStr">
        <is>
          <t>S15</t>
        </is>
      </c>
      <c r="C1935" t="inlineStr">
        <is>
          <t>'=J35</t>
        </is>
      </c>
      <c r="D1935" t="inlineStr">
        <is>
          <t>38693d58d56cf00a8420d79fa6202863e6e6174d6e12d41526dd945d8ff26685</t>
        </is>
      </c>
    </row>
    <row r="1936">
      <c r="A1936" t="inlineStr">
        <is>
          <t>附表9</t>
        </is>
      </c>
      <c r="B1936" t="inlineStr">
        <is>
          <t>T15</t>
        </is>
      </c>
      <c r="C1936" t="inlineStr">
        <is>
          <t>'=J36</t>
        </is>
      </c>
      <c r="D1936" t="inlineStr">
        <is>
          <t>a2e0c8b8ed78f6a384c8c7dba028fed6d67c755c77c6f4f5047f9821cbdb2f4b</t>
        </is>
      </c>
    </row>
    <row r="1937">
      <c r="A1937" t="inlineStr">
        <is>
          <t>附表9</t>
        </is>
      </c>
      <c r="B1937" t="inlineStr">
        <is>
          <t>U15</t>
        </is>
      </c>
      <c r="C1937" t="inlineStr">
        <is>
          <t>'=J37</t>
        </is>
      </c>
      <c r="D1937" t="inlineStr">
        <is>
          <t>bd096b20155e6f80537ceeadb169e37c27cbe7d2859cd0ab9ed35d3dfd1d4770</t>
        </is>
      </c>
    </row>
    <row r="1938">
      <c r="A1938" t="inlineStr">
        <is>
          <t>附表9</t>
        </is>
      </c>
      <c r="B1938" t="inlineStr">
        <is>
          <t>V15</t>
        </is>
      </c>
      <c r="C1938" t="inlineStr">
        <is>
          <t>'=J38</t>
        </is>
      </c>
      <c r="D1938" t="inlineStr">
        <is>
          <t>4c86fe101c0269540d3412c98b8abdf0d4c2bd8161d297aae06980c6b3639e95</t>
        </is>
      </c>
    </row>
    <row r="1939">
      <c r="A1939" t="inlineStr">
        <is>
          <t>附表9</t>
        </is>
      </c>
      <c r="B1939" t="inlineStr">
        <is>
          <t>W15</t>
        </is>
      </c>
      <c r="C1939" t="inlineStr">
        <is>
          <t>'=J39</t>
        </is>
      </c>
      <c r="D1939" t="inlineStr">
        <is>
          <t>417b70d283caca2159de162eabbd9698ec9e35b035edcbcac175b517bfc4ef45</t>
        </is>
      </c>
    </row>
    <row r="1940">
      <c r="A1940" t="inlineStr">
        <is>
          <t>附表9</t>
        </is>
      </c>
      <c r="B1940" t="inlineStr">
        <is>
          <t>X15</t>
        </is>
      </c>
      <c r="C1940" t="inlineStr">
        <is>
          <t>'=J40</t>
        </is>
      </c>
      <c r="D1940" t="inlineStr">
        <is>
          <t>1721b4922b4e8ef27c6ec4013f7134c276ba21059b75b0ca83feea42b50dd70f</t>
        </is>
      </c>
    </row>
    <row r="1941">
      <c r="A1941" t="inlineStr">
        <is>
          <t>附表9</t>
        </is>
      </c>
      <c r="B1941" t="inlineStr">
        <is>
          <t>Y15</t>
        </is>
      </c>
      <c r="C1941" t="inlineStr">
        <is>
          <t>'=J41</t>
        </is>
      </c>
      <c r="D1941" t="inlineStr">
        <is>
          <t>41675498ea4d80d40bc00a4ad055d0dbb8e36fdb43eb8b6a677006e6244bc033</t>
        </is>
      </c>
    </row>
    <row r="1942">
      <c r="A1942" t="inlineStr">
        <is>
          <t>附表9</t>
        </is>
      </c>
      <c r="B1942" t="inlineStr">
        <is>
          <t>Z15</t>
        </is>
      </c>
      <c r="C1942" t="inlineStr">
        <is>
          <t>'=J42</t>
        </is>
      </c>
      <c r="D1942" t="inlineStr">
        <is>
          <t>8477c29a997dade8871ae4b4cbd3db88436610ecb1efddf544dfbad5c148f2da</t>
        </is>
      </c>
    </row>
    <row r="1943">
      <c r="A1943" t="inlineStr">
        <is>
          <t>附表9</t>
        </is>
      </c>
      <c r="B1943" t="inlineStr">
        <is>
          <t>AA15</t>
        </is>
      </c>
      <c r="C1943" t="inlineStr">
        <is>
          <t>'=J43</t>
        </is>
      </c>
      <c r="D1943" t="inlineStr">
        <is>
          <t>de6d2b58a83f3cca29c6d6b64122a56221e2ac86f56609790d9246116a45073e</t>
        </is>
      </c>
    </row>
    <row r="1944">
      <c r="A1944" t="inlineStr">
        <is>
          <t>附表9</t>
        </is>
      </c>
      <c r="B1944" t="inlineStr">
        <is>
          <t>AB15</t>
        </is>
      </c>
      <c r="C1944" t="inlineStr">
        <is>
          <t>'=J44</t>
        </is>
      </c>
      <c r="D1944" t="inlineStr">
        <is>
          <t>e2e645e782e1bbf0653dd2dfd649d9396f38f94c63ae7f05499d25f49e0b1f85</t>
        </is>
      </c>
    </row>
    <row r="1945">
      <c r="A1945" t="inlineStr">
        <is>
          <t>附表9</t>
        </is>
      </c>
      <c r="B1945" t="inlineStr">
        <is>
          <t>C16</t>
        </is>
      </c>
      <c r="C1945" t="inlineStr">
        <is>
          <t>'=AB16</t>
        </is>
      </c>
      <c r="D1945" t="inlineStr">
        <is>
          <t>c0fb218aacbf543a2a857f99e421c0732daf1cf2f89225ab7649b54178839373</t>
        </is>
      </c>
    </row>
    <row r="1946">
      <c r="A1946" t="inlineStr">
        <is>
          <t>附表9</t>
        </is>
      </c>
      <c r="B1946" t="inlineStr">
        <is>
          <t>D16</t>
        </is>
      </c>
      <c r="C1946" t="inlineStr">
        <is>
          <t>'=K20</t>
        </is>
      </c>
      <c r="D1946" t="inlineStr">
        <is>
          <t>78f3a623b1079cdd5143250f7a4b305b5111ffafcb5ded52d506335d3d4a64a1</t>
        </is>
      </c>
    </row>
    <row r="1947">
      <c r="A1947" t="inlineStr">
        <is>
          <t>附表9</t>
        </is>
      </c>
      <c r="B1947" t="inlineStr">
        <is>
          <t>E16</t>
        </is>
      </c>
      <c r="C1947" t="inlineStr">
        <is>
          <t>'=K21</t>
        </is>
      </c>
      <c r="D1947" t="inlineStr">
        <is>
          <t>a5c0304f7aa38f7df050e0f0833ac839faa1beea597e34c3c0d5497154e4e5cf</t>
        </is>
      </c>
    </row>
    <row r="1948">
      <c r="A1948" t="inlineStr">
        <is>
          <t>附表9</t>
        </is>
      </c>
      <c r="B1948" t="inlineStr">
        <is>
          <t>F16</t>
        </is>
      </c>
      <c r="C1948" t="inlineStr">
        <is>
          <t>'=K22</t>
        </is>
      </c>
      <c r="D1948" t="inlineStr">
        <is>
          <t>d68b5a4a586c8c4838241730b52097511fafbdc90e96921fd4ef8e3843053e59</t>
        </is>
      </c>
    </row>
    <row r="1949">
      <c r="A1949" t="inlineStr">
        <is>
          <t>附表9</t>
        </is>
      </c>
      <c r="B1949" t="inlineStr">
        <is>
          <t>G16</t>
        </is>
      </c>
      <c r="C1949" t="inlineStr">
        <is>
          <t>'=K23</t>
        </is>
      </c>
      <c r="D1949" t="inlineStr">
        <is>
          <t>d124f8e14cc76dfed6aef0bf9bf1af5f0e544089fa719512f75eadff06d15dc8</t>
        </is>
      </c>
    </row>
    <row r="1950">
      <c r="A1950" t="inlineStr">
        <is>
          <t>附表9</t>
        </is>
      </c>
      <c r="B1950" t="inlineStr">
        <is>
          <t>H16</t>
        </is>
      </c>
      <c r="C1950" t="inlineStr">
        <is>
          <t>'=K24</t>
        </is>
      </c>
      <c r="D1950" t="inlineStr">
        <is>
          <t>775879c4589c7d593cbd2657592e0528d96e9567b10f3ad861989de13c1608e9</t>
        </is>
      </c>
    </row>
    <row r="1951">
      <c r="A1951" t="inlineStr">
        <is>
          <t>附表9</t>
        </is>
      </c>
      <c r="B1951" t="inlineStr">
        <is>
          <t>I16</t>
        </is>
      </c>
      <c r="C1951" t="inlineStr">
        <is>
          <t>'=K25</t>
        </is>
      </c>
      <c r="D1951" t="inlineStr">
        <is>
          <t>3369f68eba6ada71a428515ec8d88705e4956814e2937d0766dbb4c354e3a563</t>
        </is>
      </c>
    </row>
    <row r="1952">
      <c r="A1952" t="inlineStr">
        <is>
          <t>附表9</t>
        </is>
      </c>
      <c r="B1952" t="inlineStr">
        <is>
          <t>J16</t>
        </is>
      </c>
      <c r="C1952" t="inlineStr">
        <is>
          <t>'=K26</t>
        </is>
      </c>
      <c r="D1952" t="inlineStr">
        <is>
          <t>13ec867353b61880232b84166dcf246eb511a0cb8a4b61f4b01e22cb4264975a</t>
        </is>
      </c>
    </row>
    <row r="1953">
      <c r="A1953" t="inlineStr">
        <is>
          <t>附表9</t>
        </is>
      </c>
      <c r="B1953" t="inlineStr">
        <is>
          <t>K16</t>
        </is>
      </c>
      <c r="C1953" t="inlineStr">
        <is>
          <t>'=K27</t>
        </is>
      </c>
      <c r="D1953" t="inlineStr">
        <is>
          <t>f3ebe9989e7d5c1c2a41114ba3bd6d8f69252f8aff1aabc599812f45f16e9f80</t>
        </is>
      </c>
    </row>
    <row r="1954">
      <c r="A1954" t="inlineStr">
        <is>
          <t>附表9</t>
        </is>
      </c>
      <c r="B1954" t="inlineStr">
        <is>
          <t>L16</t>
        </is>
      </c>
      <c r="C1954" t="inlineStr">
        <is>
          <t>'=K28</t>
        </is>
      </c>
      <c r="D1954" t="inlineStr">
        <is>
          <t>fad226d82fee8489d2259cfc4aaaa92baa24f4d3ee5b20a2e70676770186715f</t>
        </is>
      </c>
    </row>
    <row r="1955">
      <c r="A1955" t="inlineStr">
        <is>
          <t>附表9</t>
        </is>
      </c>
      <c r="B1955" t="inlineStr">
        <is>
          <t>M16</t>
        </is>
      </c>
      <c r="C1955" t="inlineStr">
        <is>
          <t>'=K29</t>
        </is>
      </c>
      <c r="D1955" t="inlineStr">
        <is>
          <t>3a0ac9ac95e2dd5cdc5f387a59b6cc78ba63e8b0f8bdb6fd4841035dc5eb27d4</t>
        </is>
      </c>
    </row>
    <row r="1956">
      <c r="A1956" t="inlineStr">
        <is>
          <t>附表9</t>
        </is>
      </c>
      <c r="B1956" t="inlineStr">
        <is>
          <t>N16</t>
        </is>
      </c>
      <c r="C1956" t="inlineStr">
        <is>
          <t>'=K30</t>
        </is>
      </c>
      <c r="D1956" t="inlineStr">
        <is>
          <t>ff0fe53662d8df2e47569c9a6b76c6fabb70ece6fcf0304cb19e52f2c4b7cf76</t>
        </is>
      </c>
    </row>
    <row r="1957">
      <c r="A1957" t="inlineStr">
        <is>
          <t>附表9</t>
        </is>
      </c>
      <c r="B1957" t="inlineStr">
        <is>
          <t>O16</t>
        </is>
      </c>
      <c r="C1957" t="inlineStr">
        <is>
          <t>'=K31</t>
        </is>
      </c>
      <c r="D1957" t="inlineStr">
        <is>
          <t>060064846e9d3883f64157ed364c00187aea483c9b7219c28ef680d0c59f5147</t>
        </is>
      </c>
    </row>
    <row r="1958">
      <c r="A1958" t="inlineStr">
        <is>
          <t>附表9</t>
        </is>
      </c>
      <c r="B1958" t="inlineStr">
        <is>
          <t>P16</t>
        </is>
      </c>
      <c r="C1958" t="inlineStr">
        <is>
          <t>'=K32</t>
        </is>
      </c>
      <c r="D1958" t="inlineStr">
        <is>
          <t>0526bb8e548023c914cb8d878c474bc2b5aee30fa47d0a2b96be3218136c407b</t>
        </is>
      </c>
    </row>
    <row r="1959">
      <c r="A1959" t="inlineStr">
        <is>
          <t>附表9</t>
        </is>
      </c>
      <c r="B1959" t="inlineStr">
        <is>
          <t>Q16</t>
        </is>
      </c>
      <c r="C1959" t="inlineStr">
        <is>
          <t>'=K33</t>
        </is>
      </c>
      <c r="D1959" t="inlineStr">
        <is>
          <t>7cce62bc8f25ee8cf7c69c03c9525494a36ea530729cd7334349954e26db73ab</t>
        </is>
      </c>
    </row>
    <row r="1960">
      <c r="A1960" t="inlineStr">
        <is>
          <t>附表9</t>
        </is>
      </c>
      <c r="B1960" t="inlineStr">
        <is>
          <t>R16</t>
        </is>
      </c>
      <c r="C1960" t="inlineStr">
        <is>
          <t>'=K34</t>
        </is>
      </c>
      <c r="D1960" t="inlineStr">
        <is>
          <t>7edf6d9ac3756b81e9f5d9fdbc47dfc9b640dd508579d0e4bd2fd037f252df78</t>
        </is>
      </c>
    </row>
    <row r="1961">
      <c r="A1961" t="inlineStr">
        <is>
          <t>附表9</t>
        </is>
      </c>
      <c r="B1961" t="inlineStr">
        <is>
          <t>S16</t>
        </is>
      </c>
      <c r="C1961" t="inlineStr">
        <is>
          <t>'=K35</t>
        </is>
      </c>
      <c r="D1961" t="inlineStr">
        <is>
          <t>5dc5d907316464d18b3676161c8f897cf2ee12c14e4d777dcda67fa5303ea352</t>
        </is>
      </c>
    </row>
    <row r="1962">
      <c r="A1962" t="inlineStr">
        <is>
          <t>附表9</t>
        </is>
      </c>
      <c r="B1962" t="inlineStr">
        <is>
          <t>T16</t>
        </is>
      </c>
      <c r="C1962" t="inlineStr">
        <is>
          <t>'=K36</t>
        </is>
      </c>
      <c r="D1962" t="inlineStr">
        <is>
          <t>efd5d6d589ae840993186cd7be03a291ea99a538c4abafa75c33cfafba541604</t>
        </is>
      </c>
    </row>
    <row r="1963">
      <c r="A1963" t="inlineStr">
        <is>
          <t>附表9</t>
        </is>
      </c>
      <c r="B1963" t="inlineStr">
        <is>
          <t>U16</t>
        </is>
      </c>
      <c r="C1963" t="inlineStr">
        <is>
          <t>'=K37</t>
        </is>
      </c>
      <c r="D1963" t="inlineStr">
        <is>
          <t>f08636453078be430ff9696030bf47b022abb747ed0300a67d30ba27f59d6e81</t>
        </is>
      </c>
    </row>
    <row r="1964">
      <c r="A1964" t="inlineStr">
        <is>
          <t>附表9</t>
        </is>
      </c>
      <c r="B1964" t="inlineStr">
        <is>
          <t>V16</t>
        </is>
      </c>
      <c r="C1964" t="inlineStr">
        <is>
          <t>'=K38</t>
        </is>
      </c>
      <c r="D1964" t="inlineStr">
        <is>
          <t>522f113f443f797f2f772318b714bf983deb48c41f3a146fd882a4f7f8e9f4ab</t>
        </is>
      </c>
    </row>
    <row r="1965">
      <c r="A1965" t="inlineStr">
        <is>
          <t>附表9</t>
        </is>
      </c>
      <c r="B1965" t="inlineStr">
        <is>
          <t>W16</t>
        </is>
      </c>
      <c r="C1965" t="inlineStr">
        <is>
          <t>'=K39</t>
        </is>
      </c>
      <c r="D1965" t="inlineStr">
        <is>
          <t>8f439fb9a6c1d8b7af61da54619212a4e7688ca72fd4f99b07773c2af582172b</t>
        </is>
      </c>
    </row>
    <row r="1966">
      <c r="A1966" t="inlineStr">
        <is>
          <t>附表9</t>
        </is>
      </c>
      <c r="B1966" t="inlineStr">
        <is>
          <t>X16</t>
        </is>
      </c>
      <c r="C1966" t="inlineStr">
        <is>
          <t>'=K40</t>
        </is>
      </c>
      <c r="D1966" t="inlineStr">
        <is>
          <t>89c2ccba9bf980edc19ac92ac6756fe6e78c5e0d10fd80c966d1ba9259076120</t>
        </is>
      </c>
    </row>
    <row r="1967">
      <c r="A1967" t="inlineStr">
        <is>
          <t>附表9</t>
        </is>
      </c>
      <c r="B1967" t="inlineStr">
        <is>
          <t>Y16</t>
        </is>
      </c>
      <c r="C1967" t="inlineStr">
        <is>
          <t>'=K41</t>
        </is>
      </c>
      <c r="D1967" t="inlineStr">
        <is>
          <t>a86cf3e03a736dda99f248dd68bdd6117c2428f7d1582875ac95df69fd31d377</t>
        </is>
      </c>
    </row>
    <row r="1968">
      <c r="A1968" t="inlineStr">
        <is>
          <t>附表9</t>
        </is>
      </c>
      <c r="B1968" t="inlineStr">
        <is>
          <t>Z16</t>
        </is>
      </c>
      <c r="C1968" t="inlineStr">
        <is>
          <t>'=K42</t>
        </is>
      </c>
      <c r="D1968" t="inlineStr">
        <is>
          <t>41d7cd4ba7604ea76d478c3028c5f84e3baae0898487da87967675bd887b58d7</t>
        </is>
      </c>
    </row>
    <row r="1969">
      <c r="A1969" t="inlineStr">
        <is>
          <t>附表9</t>
        </is>
      </c>
      <c r="B1969" t="inlineStr">
        <is>
          <t>AA16</t>
        </is>
      </c>
      <c r="C1969" t="inlineStr">
        <is>
          <t>'=K43</t>
        </is>
      </c>
      <c r="D1969" t="inlineStr">
        <is>
          <t>9ca858a939df01bc6ed7873978917519f9613af9e4fc8905873967c72e5fb723</t>
        </is>
      </c>
    </row>
    <row r="1970">
      <c r="A1970" t="inlineStr">
        <is>
          <t>附表9</t>
        </is>
      </c>
      <c r="B1970" t="inlineStr">
        <is>
          <t>AB16</t>
        </is>
      </c>
      <c r="C1970" t="inlineStr">
        <is>
          <t>'=K44</t>
        </is>
      </c>
      <c r="D1970" t="inlineStr">
        <is>
          <t>3e5ba3f4156b176b8148bdf783ad12b0f941cadf892bab77806a15878344b0af</t>
        </is>
      </c>
    </row>
    <row r="1971">
      <c r="A1971" t="inlineStr">
        <is>
          <t>附表9</t>
        </is>
      </c>
      <c r="B1971" t="inlineStr">
        <is>
          <t>G20</t>
        </is>
      </c>
      <c r="C1971" t="inlineStr">
        <is>
          <t>'=SUM('附表1'!J4,'附表1'!J8,'附表1'!J9)*1</t>
        </is>
      </c>
      <c r="D1971" t="inlineStr">
        <is>
          <t>502a01b7a772d4c51e4b807cd2d9d577dee55994b46c8ed6ea9cd14c0aaff601</t>
        </is>
      </c>
    </row>
    <row r="1972">
      <c r="A1972" t="inlineStr">
        <is>
          <t>附表9</t>
        </is>
      </c>
      <c r="B1972" t="inlineStr">
        <is>
          <t>C21</t>
        </is>
      </c>
      <c r="C1972" t="inlineStr">
        <is>
          <t>'='附表5'!B16</t>
        </is>
      </c>
      <c r="D1972" t="inlineStr">
        <is>
          <t>27031ff0f1ce393bec8a1fe7a2bf8a64004aa548018bf7254816e07a915f37c1</t>
        </is>
      </c>
    </row>
    <row r="1973">
      <c r="A1973" t="inlineStr">
        <is>
          <t>附表9</t>
        </is>
      </c>
      <c r="B1973" t="inlineStr">
        <is>
          <t>D21</t>
        </is>
      </c>
      <c r="C1973" t="inlineStr">
        <is>
          <t>'='附表6'!B16</t>
        </is>
      </c>
      <c r="D1973" t="inlineStr">
        <is>
          <t>4fb4f4ee1f05dbf9ceb4c4049806a7c9219a40904530f69d5be82d831587a7c7</t>
        </is>
      </c>
    </row>
    <row r="1974">
      <c r="A1974" t="inlineStr">
        <is>
          <t>附表9</t>
        </is>
      </c>
      <c r="B1974" t="inlineStr">
        <is>
          <t>E21</t>
        </is>
      </c>
      <c r="C1974" t="inlineStr">
        <is>
          <t>'='附表5'!E16</t>
        </is>
      </c>
      <c r="D1974" t="inlineStr">
        <is>
          <t>d551e89ef899c1663debafe6ffd3414a2b9527e853051ad71780487d7ecbd988</t>
        </is>
      </c>
    </row>
    <row r="1975">
      <c r="A1975" t="inlineStr">
        <is>
          <t>附表9</t>
        </is>
      </c>
      <c r="B1975" t="inlineStr">
        <is>
          <t>F21</t>
        </is>
      </c>
      <c r="C1975" t="inlineStr">
        <is>
          <t>'='附表5'!I16</t>
        </is>
      </c>
      <c r="D1975" t="inlineStr">
        <is>
          <t>e7a88605241b78bff1d411ee2a16eb664c5e5c134b048178c355aa307e1828ef</t>
        </is>
      </c>
    </row>
    <row r="1976">
      <c r="A1976" t="inlineStr">
        <is>
          <t>附表9</t>
        </is>
      </c>
      <c r="B1976" t="inlineStr">
        <is>
          <t>H21</t>
        </is>
      </c>
      <c r="C1976" t="inlineStr">
        <is>
          <t>'='附表3'!B4</t>
        </is>
      </c>
      <c r="D1976" t="inlineStr">
        <is>
          <t>72db971452a6813faf06d9af8420dd9bcdc7b2ac1eb1186518bfeddfc213ec42</t>
        </is>
      </c>
    </row>
    <row r="1977">
      <c r="A1977" t="inlineStr">
        <is>
          <t>附表9</t>
        </is>
      </c>
      <c r="B1977" t="inlineStr">
        <is>
          <t>J21</t>
        </is>
      </c>
      <c r="C1977" t="inlineStr">
        <is>
          <t>'=C21-D21-E21-F21-G21-H21+I21</t>
        </is>
      </c>
      <c r="D1977" t="inlineStr">
        <is>
          <t>e0f87445cc5e68593ac20209ac3072928747b7b8a6f046718334e9eb01d05975</t>
        </is>
      </c>
    </row>
    <row r="1978">
      <c r="A1978" t="inlineStr">
        <is>
          <t>附表9</t>
        </is>
      </c>
      <c r="B1978" t="inlineStr">
        <is>
          <t>K21</t>
        </is>
      </c>
      <c r="C1978" t="inlineStr">
        <is>
          <t>'=K20+J21</t>
        </is>
      </c>
      <c r="D1978" t="inlineStr">
        <is>
          <t>dc362d406892ec238139980fba1cca2a9b7fa427d106ee75e273aeac46e8562c</t>
        </is>
      </c>
    </row>
    <row r="1979">
      <c r="A1979" t="inlineStr">
        <is>
          <t>附表9</t>
        </is>
      </c>
      <c r="B1979" t="inlineStr">
        <is>
          <t>C22</t>
        </is>
      </c>
      <c r="C1979" t="inlineStr">
        <is>
          <t>'='附表5'!B17</t>
        </is>
      </c>
      <c r="D1979" t="inlineStr">
        <is>
          <t>9ab35abe0b04d1263f8a26f1ca5831f4a50983c8600981fccc987ca037d9c607</t>
        </is>
      </c>
    </row>
    <row r="1980">
      <c r="A1980" t="inlineStr">
        <is>
          <t>附表9</t>
        </is>
      </c>
      <c r="B1980" t="inlineStr">
        <is>
          <t>D22</t>
        </is>
      </c>
      <c r="C1980" t="inlineStr">
        <is>
          <t>'='附表6'!B17</t>
        </is>
      </c>
      <c r="D1980" t="inlineStr">
        <is>
          <t>a0c4fe69a7b7479e053a82529b8b4ca8c260d43f6b4b03c8369b350bf2928463</t>
        </is>
      </c>
    </row>
    <row r="1981">
      <c r="A1981" t="inlineStr">
        <is>
          <t>附表9</t>
        </is>
      </c>
      <c r="B1981" t="inlineStr">
        <is>
          <t>E22</t>
        </is>
      </c>
      <c r="C1981" t="inlineStr">
        <is>
          <t>'='附表5'!E17</t>
        </is>
      </c>
      <c r="D1981" t="inlineStr">
        <is>
          <t>0eefee3ca4a692d5bdf02864a59185be8d2b937ba7193ebbee9a7d227b175633</t>
        </is>
      </c>
    </row>
    <row r="1982">
      <c r="A1982" t="inlineStr">
        <is>
          <t>附表9</t>
        </is>
      </c>
      <c r="B1982" t="inlineStr">
        <is>
          <t>F22</t>
        </is>
      </c>
      <c r="C1982" t="inlineStr">
        <is>
          <t>'='附表5'!I17</t>
        </is>
      </c>
      <c r="D1982" t="inlineStr">
        <is>
          <t>35522f1b1a7f67dd49ae9b815ee5f069aa89d59336745e20f79e8aa4ed2dec3c</t>
        </is>
      </c>
    </row>
    <row r="1983">
      <c r="A1983" t="inlineStr">
        <is>
          <t>附表9</t>
        </is>
      </c>
      <c r="B1983" t="inlineStr">
        <is>
          <t>J22</t>
        </is>
      </c>
      <c r="C1983" t="inlineStr">
        <is>
          <t>'=C22-D22-E22-F22-G22-H22+I22</t>
        </is>
      </c>
      <c r="D1983" t="inlineStr">
        <is>
          <t>5813ad67e31c8f02381dda29137987b116b993a5e532313fa0c78c3eadac0222</t>
        </is>
      </c>
    </row>
    <row r="1984">
      <c r="A1984" t="inlineStr">
        <is>
          <t>附表9</t>
        </is>
      </c>
      <c r="B1984" t="inlineStr">
        <is>
          <t>K22</t>
        </is>
      </c>
      <c r="C1984" t="inlineStr">
        <is>
          <t>'=K21+J22</t>
        </is>
      </c>
      <c r="D1984" t="inlineStr">
        <is>
          <t>fc932c6726647e6a13cdb0a04fa000b0b0702ed249d27e45bba77469937088d4</t>
        </is>
      </c>
    </row>
    <row r="1985">
      <c r="A1985" t="inlineStr">
        <is>
          <t>附表9</t>
        </is>
      </c>
      <c r="B1985" t="inlineStr">
        <is>
          <t>C23</t>
        </is>
      </c>
      <c r="C1985" t="inlineStr">
        <is>
          <t>'='附表5'!B18</t>
        </is>
      </c>
      <c r="D1985" t="inlineStr">
        <is>
          <t>743464ee3566e94cac517d802bfb86a2c2f80f63a0623c081e402c24108ae0a4</t>
        </is>
      </c>
    </row>
    <row r="1986">
      <c r="A1986" t="inlineStr">
        <is>
          <t>附表9</t>
        </is>
      </c>
      <c r="B1986" t="inlineStr">
        <is>
          <t>D23</t>
        </is>
      </c>
      <c r="C1986" t="inlineStr">
        <is>
          <t>'='附表6'!B18</t>
        </is>
      </c>
      <c r="D1986" t="inlineStr">
        <is>
          <t>34bacd41ef0ef6db0464f617a020a0f9231c65740177381f8cee4e9345a2e984</t>
        </is>
      </c>
    </row>
    <row r="1987">
      <c r="A1987" t="inlineStr">
        <is>
          <t>附表9</t>
        </is>
      </c>
      <c r="B1987" t="inlineStr">
        <is>
          <t>E23</t>
        </is>
      </c>
      <c r="C1987" t="inlineStr">
        <is>
          <t>'='附表5'!E18</t>
        </is>
      </c>
      <c r="D1987" t="inlineStr">
        <is>
          <t>f055d1dfbbc52e2835d2f102394d21b6c3dfcea30d44c58784b890cbb090c183</t>
        </is>
      </c>
    </row>
    <row r="1988">
      <c r="A1988" t="inlineStr">
        <is>
          <t>附表9</t>
        </is>
      </c>
      <c r="B1988" t="inlineStr">
        <is>
          <t>F23</t>
        </is>
      </c>
      <c r="C1988" t="inlineStr">
        <is>
          <t>'='附表5'!I18</t>
        </is>
      </c>
      <c r="D1988" t="inlineStr">
        <is>
          <t>a63635b78783a55fb695aec948dd737c1ae729dff03f26e37558bbe13e8df379</t>
        </is>
      </c>
    </row>
    <row r="1989">
      <c r="A1989" t="inlineStr">
        <is>
          <t>附表9</t>
        </is>
      </c>
      <c r="B1989" t="inlineStr">
        <is>
          <t>J23</t>
        </is>
      </c>
      <c r="C1989" t="inlineStr">
        <is>
          <t>'=C23-D23-E23-F23-G23-H23+I23</t>
        </is>
      </c>
      <c r="D1989" t="inlineStr">
        <is>
          <t>94c7c1075549edeb7149801910ef0d5507fa8e451e1f88793e85ff6795c6c202</t>
        </is>
      </c>
    </row>
    <row r="1990">
      <c r="A1990" t="inlineStr">
        <is>
          <t>附表9</t>
        </is>
      </c>
      <c r="B1990" t="inlineStr">
        <is>
          <t>K23</t>
        </is>
      </c>
      <c r="C1990" t="inlineStr">
        <is>
          <t>'=K22+J23</t>
        </is>
      </c>
      <c r="D1990" t="inlineStr">
        <is>
          <t>30351453e8dda0dd14f7a5d736b9a63e49a5689f401e62e30e091acf8c436f0e</t>
        </is>
      </c>
    </row>
    <row r="1991">
      <c r="A1991" t="inlineStr">
        <is>
          <t>附表9</t>
        </is>
      </c>
      <c r="B1991" t="inlineStr">
        <is>
          <t>C24</t>
        </is>
      </c>
      <c r="C1991" t="inlineStr">
        <is>
          <t>'='附表5'!B19</t>
        </is>
      </c>
      <c r="D1991" t="inlineStr">
        <is>
          <t>bb977eaecbb4f1505a2c304c2338c1cd6c13e6f66e736efd23bea3a87c82e861</t>
        </is>
      </c>
    </row>
    <row r="1992">
      <c r="A1992" t="inlineStr">
        <is>
          <t>附表9</t>
        </is>
      </c>
      <c r="B1992" t="inlineStr">
        <is>
          <t>D24</t>
        </is>
      </c>
      <c r="C1992" t="inlineStr">
        <is>
          <t>'='附表6'!B19</t>
        </is>
      </c>
      <c r="D1992" t="inlineStr">
        <is>
          <t>ca9eb3ea8c0e1ae769ba726e56b76bd36d7b40822b2c8caea04dfd4312ff122a</t>
        </is>
      </c>
    </row>
    <row r="1993">
      <c r="A1993" t="inlineStr">
        <is>
          <t>附表9</t>
        </is>
      </c>
      <c r="B1993" t="inlineStr">
        <is>
          <t>E24</t>
        </is>
      </c>
      <c r="C1993" t="inlineStr">
        <is>
          <t>'='附表5'!E19</t>
        </is>
      </c>
      <c r="D1993" t="inlineStr">
        <is>
          <t>ee8bd539b415f5fbc65dbc9c8483c36578f8842689cf0b37bc21e529d92245a0</t>
        </is>
      </c>
    </row>
    <row r="1994">
      <c r="A1994" t="inlineStr">
        <is>
          <t>附表9</t>
        </is>
      </c>
      <c r="B1994" t="inlineStr">
        <is>
          <t>F24</t>
        </is>
      </c>
      <c r="C1994" t="inlineStr">
        <is>
          <t>'='附表5'!I19</t>
        </is>
      </c>
      <c r="D1994" t="inlineStr">
        <is>
          <t>1b57c8a4993c7e464c583997f0a81f310da2b235c56d493d8372e7b556e3fdbf</t>
        </is>
      </c>
    </row>
    <row r="1995">
      <c r="A1995" t="inlineStr">
        <is>
          <t>附表9</t>
        </is>
      </c>
      <c r="B1995" t="inlineStr">
        <is>
          <t>J24</t>
        </is>
      </c>
      <c r="C1995" t="inlineStr">
        <is>
          <t>'=C24-D24-E24-F24-G24-H24+I24</t>
        </is>
      </c>
      <c r="D1995" t="inlineStr">
        <is>
          <t>13e083319284a0f64b43904f3e0de4ddf0e4c67f9587cd9110040ea2f63296c7</t>
        </is>
      </c>
    </row>
    <row r="1996">
      <c r="A1996" t="inlineStr">
        <is>
          <t>附表9</t>
        </is>
      </c>
      <c r="B1996" t="inlineStr">
        <is>
          <t>K24</t>
        </is>
      </c>
      <c r="C1996" t="inlineStr">
        <is>
          <t>'=K23+J24</t>
        </is>
      </c>
      <c r="D1996" t="inlineStr">
        <is>
          <t>07844e0b5e3ee86c2c234a1c1af76f0bde9d1e6133024515e172274c3641e696</t>
        </is>
      </c>
    </row>
    <row r="1997">
      <c r="A1997" t="inlineStr">
        <is>
          <t>附表9</t>
        </is>
      </c>
      <c r="B1997" t="inlineStr">
        <is>
          <t>C25</t>
        </is>
      </c>
      <c r="C1997" t="inlineStr">
        <is>
          <t>'='附表5'!B20</t>
        </is>
      </c>
      <c r="D1997" t="inlineStr">
        <is>
          <t>5ba95496023d36091cbc40937b025585d6f22a074bb7d4e5736bbdfdda037989</t>
        </is>
      </c>
    </row>
    <row r="1998">
      <c r="A1998" t="inlineStr">
        <is>
          <t>附表9</t>
        </is>
      </c>
      <c r="B1998" t="inlineStr">
        <is>
          <t>D25</t>
        </is>
      </c>
      <c r="C1998" t="inlineStr">
        <is>
          <t>'='附表6'!B20</t>
        </is>
      </c>
      <c r="D1998" t="inlineStr">
        <is>
          <t>1f2cb9e1a48a69c8a0609fffae94d34c344ddaba38bda7e70e8853aca9e6bac7</t>
        </is>
      </c>
    </row>
    <row r="1999">
      <c r="A1999" t="inlineStr">
        <is>
          <t>附表9</t>
        </is>
      </c>
      <c r="B1999" t="inlineStr">
        <is>
          <t>E25</t>
        </is>
      </c>
      <c r="C1999" t="inlineStr">
        <is>
          <t>'='附表5'!E20</t>
        </is>
      </c>
      <c r="D1999" t="inlineStr">
        <is>
          <t>25a1f11635ee54e6ac1a0887792edbd27f98cf868a317674f9dec023c6b6076e</t>
        </is>
      </c>
    </row>
    <row r="2000">
      <c r="A2000" t="inlineStr">
        <is>
          <t>附表9</t>
        </is>
      </c>
      <c r="B2000" t="inlineStr">
        <is>
          <t>F25</t>
        </is>
      </c>
      <c r="C2000" t="inlineStr">
        <is>
          <t>'='附表5'!I20</t>
        </is>
      </c>
      <c r="D2000" t="inlineStr">
        <is>
          <t>1379fb57c2e57879e701cb4148856a4e8f17ab6382b1dc966d57d08bb3ef56d0</t>
        </is>
      </c>
    </row>
    <row r="2001">
      <c r="A2001" t="inlineStr">
        <is>
          <t>附表9</t>
        </is>
      </c>
      <c r="B2001" t="inlineStr">
        <is>
          <t>J25</t>
        </is>
      </c>
      <c r="C2001" t="inlineStr">
        <is>
          <t>'=C25-D25-E25-F25-G25-H25+I25</t>
        </is>
      </c>
      <c r="D2001" t="inlineStr">
        <is>
          <t>c3413e97f67f24bcfb37a9251eadf1fa826d9bf8c9fed3a51d6ca674e2ab6367</t>
        </is>
      </c>
    </row>
    <row r="2002">
      <c r="A2002" t="inlineStr">
        <is>
          <t>附表9</t>
        </is>
      </c>
      <c r="B2002" t="inlineStr">
        <is>
          <t>K25</t>
        </is>
      </c>
      <c r="C2002" t="inlineStr">
        <is>
          <t>'=K24+J25</t>
        </is>
      </c>
      <c r="D2002" t="inlineStr">
        <is>
          <t>266890f1d8161a10a856740142737fca10f8e8e98f8f74105f0ecf3f96454221</t>
        </is>
      </c>
    </row>
    <row r="2003">
      <c r="A2003" t="inlineStr">
        <is>
          <t>附表9</t>
        </is>
      </c>
      <c r="B2003" t="inlineStr">
        <is>
          <t>C26</t>
        </is>
      </c>
      <c r="C2003" t="inlineStr">
        <is>
          <t>'='附表5'!B21</t>
        </is>
      </c>
      <c r="D2003" t="inlineStr">
        <is>
          <t>848cbc38970c12925a58e1f74ad225183f01cdbacf8d51166ac0a782d124a500</t>
        </is>
      </c>
    </row>
    <row r="2004">
      <c r="A2004" t="inlineStr">
        <is>
          <t>附表9</t>
        </is>
      </c>
      <c r="B2004" t="inlineStr">
        <is>
          <t>D26</t>
        </is>
      </c>
      <c r="C2004" t="inlineStr">
        <is>
          <t>'='附表6'!B21</t>
        </is>
      </c>
      <c r="D2004" t="inlineStr">
        <is>
          <t>08c2116fb0e822ab7d4850ed6fbf0ce240afa22ce9901660e24bd4b3a453fa40</t>
        </is>
      </c>
    </row>
    <row r="2005">
      <c r="A2005" t="inlineStr">
        <is>
          <t>附表9</t>
        </is>
      </c>
      <c r="B2005" t="inlineStr">
        <is>
          <t>E26</t>
        </is>
      </c>
      <c r="C2005" t="inlineStr">
        <is>
          <t>'='附表5'!E21</t>
        </is>
      </c>
      <c r="D2005" t="inlineStr">
        <is>
          <t>ecf0b06c1b4dcd1fc9a2a0e8b94c129534da31eb91f8934fa4f76296eff4369c</t>
        </is>
      </c>
    </row>
    <row r="2006">
      <c r="A2006" t="inlineStr">
        <is>
          <t>附表9</t>
        </is>
      </c>
      <c r="B2006" t="inlineStr">
        <is>
          <t>F26</t>
        </is>
      </c>
      <c r="C2006" t="inlineStr">
        <is>
          <t>'='附表5'!I21</t>
        </is>
      </c>
      <c r="D2006" t="inlineStr">
        <is>
          <t>982431b59e996dc0b35da55f563831cfac3d3f6d02a6c481e4871e7338bc286d</t>
        </is>
      </c>
    </row>
    <row r="2007">
      <c r="A2007" t="inlineStr">
        <is>
          <t>附表9</t>
        </is>
      </c>
      <c r="B2007" t="inlineStr">
        <is>
          <t>J26</t>
        </is>
      </c>
      <c r="C2007" t="inlineStr">
        <is>
          <t>'=C26-D26-E26-F26-G26-H26+I26</t>
        </is>
      </c>
      <c r="D2007" t="inlineStr">
        <is>
          <t>69d8589469b242d8b5319e23f07a815b4be167ca9805d773587e90106464dff5</t>
        </is>
      </c>
    </row>
    <row r="2008">
      <c r="A2008" t="inlineStr">
        <is>
          <t>附表9</t>
        </is>
      </c>
      <c r="B2008" t="inlineStr">
        <is>
          <t>K26</t>
        </is>
      </c>
      <c r="C2008" t="inlineStr">
        <is>
          <t>'=K25+J26</t>
        </is>
      </c>
      <c r="D2008" t="inlineStr">
        <is>
          <t>7b0a07e92024bc0b1a51b67e1d095848173bab66364ed7f74ada133aded6b09a</t>
        </is>
      </c>
    </row>
    <row r="2009">
      <c r="A2009" t="inlineStr">
        <is>
          <t>附表9</t>
        </is>
      </c>
      <c r="B2009" t="inlineStr">
        <is>
          <t>C27</t>
        </is>
      </c>
      <c r="C2009" t="inlineStr">
        <is>
          <t>'='附表5'!B22</t>
        </is>
      </c>
      <c r="D2009" t="inlineStr">
        <is>
          <t>6d5c8abd68d109b84e16df25030f7bdc3c93935a438b1007a6209de76027fdb3</t>
        </is>
      </c>
    </row>
    <row r="2010">
      <c r="A2010" t="inlineStr">
        <is>
          <t>附表9</t>
        </is>
      </c>
      <c r="B2010" t="inlineStr">
        <is>
          <t>D27</t>
        </is>
      </c>
      <c r="C2010" t="inlineStr">
        <is>
          <t>'='附表6'!B22</t>
        </is>
      </c>
      <c r="D2010" t="inlineStr">
        <is>
          <t>f51d7689d10489dc248caef22b0655c4094325a3f883a3bcd5ff01dcd0944fd1</t>
        </is>
      </c>
    </row>
    <row r="2011">
      <c r="A2011" t="inlineStr">
        <is>
          <t>附表9</t>
        </is>
      </c>
      <c r="B2011" t="inlineStr">
        <is>
          <t>E27</t>
        </is>
      </c>
      <c r="C2011" t="inlineStr">
        <is>
          <t>'='附表5'!E22</t>
        </is>
      </c>
      <c r="D2011" t="inlineStr">
        <is>
          <t>cfeb00498e9abcd8b2f81b2f002710a2449cf5577a5990783806e4e1e9094d91</t>
        </is>
      </c>
    </row>
    <row r="2012">
      <c r="A2012" t="inlineStr">
        <is>
          <t>附表9</t>
        </is>
      </c>
      <c r="B2012" t="inlineStr">
        <is>
          <t>F27</t>
        </is>
      </c>
      <c r="C2012" t="inlineStr">
        <is>
          <t>'='附表5'!I22</t>
        </is>
      </c>
      <c r="D2012" t="inlineStr">
        <is>
          <t>644a47643dda35d846ff4d5860a63a0cda9395cb838859db2743d4a5b7234abf</t>
        </is>
      </c>
    </row>
    <row r="2013">
      <c r="A2013" t="inlineStr">
        <is>
          <t>附表9</t>
        </is>
      </c>
      <c r="B2013" t="inlineStr">
        <is>
          <t>J27</t>
        </is>
      </c>
      <c r="C2013" t="inlineStr">
        <is>
          <t>'=C27-D27-E27-F27-G27-H27+I27</t>
        </is>
      </c>
      <c r="D2013" t="inlineStr">
        <is>
          <t>1c87ff419d34563ead2a60411e9652cbd693ffe57bc6334b6f5d719d0b03c2c0</t>
        </is>
      </c>
    </row>
    <row r="2014">
      <c r="A2014" t="inlineStr">
        <is>
          <t>附表9</t>
        </is>
      </c>
      <c r="B2014" t="inlineStr">
        <is>
          <t>K27</t>
        </is>
      </c>
      <c r="C2014" t="inlineStr">
        <is>
          <t>'=K26+J27</t>
        </is>
      </c>
      <c r="D2014" t="inlineStr">
        <is>
          <t>2d1ab78258568cdd37c8015fc46e4f3ff4da4fa216c0899cd53592737beed4ed</t>
        </is>
      </c>
    </row>
    <row r="2015">
      <c r="A2015" t="inlineStr">
        <is>
          <t>附表9</t>
        </is>
      </c>
      <c r="B2015" t="inlineStr">
        <is>
          <t>C28</t>
        </is>
      </c>
      <c r="C2015" t="inlineStr">
        <is>
          <t>'='附表5'!B23</t>
        </is>
      </c>
      <c r="D2015" t="inlineStr">
        <is>
          <t>0e61510a542c252acc47b6cfff6aee35224f76a37ed1c183cd357a1844de0b97</t>
        </is>
      </c>
    </row>
    <row r="2016">
      <c r="A2016" t="inlineStr">
        <is>
          <t>附表9</t>
        </is>
      </c>
      <c r="B2016" t="inlineStr">
        <is>
          <t>D28</t>
        </is>
      </c>
      <c r="C2016" t="inlineStr">
        <is>
          <t>'='附表6'!B23</t>
        </is>
      </c>
      <c r="D2016" t="inlineStr">
        <is>
          <t>2da6b0a753325346497884ccdeb7bd1a1f1e779f5e5975a98d3455d44f7864be</t>
        </is>
      </c>
    </row>
    <row r="2017">
      <c r="A2017" t="inlineStr">
        <is>
          <t>附表9</t>
        </is>
      </c>
      <c r="B2017" t="inlineStr">
        <is>
          <t>E28</t>
        </is>
      </c>
      <c r="C2017" t="inlineStr">
        <is>
          <t>'='附表5'!E23</t>
        </is>
      </c>
      <c r="D2017" t="inlineStr">
        <is>
          <t>0ec99e9a2a141f62d5e722f935fe3a7a43aa1b33b7229b37bf34a7c9c292d2cb</t>
        </is>
      </c>
    </row>
    <row r="2018">
      <c r="A2018" t="inlineStr">
        <is>
          <t>附表9</t>
        </is>
      </c>
      <c r="B2018" t="inlineStr">
        <is>
          <t>F28</t>
        </is>
      </c>
      <c r="C2018" t="inlineStr">
        <is>
          <t>'='附表5'!I23</t>
        </is>
      </c>
      <c r="D2018" t="inlineStr">
        <is>
          <t>f375c01e1f1f2212b0d703f5518b6dc9d38f2d0242eaee15ef0d224f7de6cf9b</t>
        </is>
      </c>
    </row>
    <row r="2019">
      <c r="A2019" t="inlineStr">
        <is>
          <t>附表9</t>
        </is>
      </c>
      <c r="B2019" t="inlineStr">
        <is>
          <t>J28</t>
        </is>
      </c>
      <c r="C2019" t="inlineStr">
        <is>
          <t>'=C28-D28-E28-F28-G28-H28+I28</t>
        </is>
      </c>
      <c r="D2019" t="inlineStr">
        <is>
          <t>5d5aba40cd00c0e885bbe6eb62f993ca3a86a0d82e385f947bc3f6bb60489920</t>
        </is>
      </c>
    </row>
    <row r="2020">
      <c r="A2020" t="inlineStr">
        <is>
          <t>附表9</t>
        </is>
      </c>
      <c r="B2020" t="inlineStr">
        <is>
          <t>K28</t>
        </is>
      </c>
      <c r="C2020" t="inlineStr">
        <is>
          <t>'=K27+J28</t>
        </is>
      </c>
      <c r="D2020" t="inlineStr">
        <is>
          <t>4bd78e8d8719624fa57f7fd32566c97600ad210941427e130de43e11cf1e9a05</t>
        </is>
      </c>
    </row>
    <row r="2021">
      <c r="A2021" t="inlineStr">
        <is>
          <t>附表9</t>
        </is>
      </c>
      <c r="B2021" t="inlineStr">
        <is>
          <t>C29</t>
        </is>
      </c>
      <c r="C2021" t="inlineStr">
        <is>
          <t>'='附表5'!B24</t>
        </is>
      </c>
      <c r="D2021" t="inlineStr">
        <is>
          <t>485880aede0e5603d5833ad40a0370429a2291cc860dbc092e207ea43b653be6</t>
        </is>
      </c>
    </row>
    <row r="2022">
      <c r="A2022" t="inlineStr">
        <is>
          <t>附表9</t>
        </is>
      </c>
      <c r="B2022" t="inlineStr">
        <is>
          <t>D29</t>
        </is>
      </c>
      <c r="C2022" t="inlineStr">
        <is>
          <t>'='附表6'!B24</t>
        </is>
      </c>
      <c r="D2022" t="inlineStr">
        <is>
          <t>fdf5aa39410839060b9ce5b8d1df120a8f5da983bd436c57dbb2effe19ec22d2</t>
        </is>
      </c>
    </row>
    <row r="2023">
      <c r="A2023" t="inlineStr">
        <is>
          <t>附表9</t>
        </is>
      </c>
      <c r="B2023" t="inlineStr">
        <is>
          <t>E29</t>
        </is>
      </c>
      <c r="C2023" t="inlineStr">
        <is>
          <t>'='附表5'!E24</t>
        </is>
      </c>
      <c r="D2023" t="inlineStr">
        <is>
          <t>26a355c24559122ecb1575bdc2996cdcbc5e0ada8b331a54a4c0c79e94c80dc4</t>
        </is>
      </c>
    </row>
    <row r="2024">
      <c r="A2024" t="inlineStr">
        <is>
          <t>附表9</t>
        </is>
      </c>
      <c r="B2024" t="inlineStr">
        <is>
          <t>F29</t>
        </is>
      </c>
      <c r="C2024" t="inlineStr">
        <is>
          <t>'='附表5'!I24</t>
        </is>
      </c>
      <c r="D2024" t="inlineStr">
        <is>
          <t>60d20e041db066fe1714a0f8541a7d82b65fbbd32608df3ed60beb69db1cedae</t>
        </is>
      </c>
    </row>
    <row r="2025">
      <c r="A2025" t="inlineStr">
        <is>
          <t>附表9</t>
        </is>
      </c>
      <c r="B2025" t="inlineStr">
        <is>
          <t>J29</t>
        </is>
      </c>
      <c r="C2025" t="inlineStr">
        <is>
          <t>'=C29-D29-E29-F29-G29-H29+I29</t>
        </is>
      </c>
      <c r="D2025" t="inlineStr">
        <is>
          <t>5dbe7d9df484dc020afb78b8424323970edfb58d915f781a8569e3199fc2b554</t>
        </is>
      </c>
    </row>
    <row r="2026">
      <c r="A2026" t="inlineStr">
        <is>
          <t>附表9</t>
        </is>
      </c>
      <c r="B2026" t="inlineStr">
        <is>
          <t>K29</t>
        </is>
      </c>
      <c r="C2026" t="inlineStr">
        <is>
          <t>'=K28+J29</t>
        </is>
      </c>
      <c r="D2026" t="inlineStr">
        <is>
          <t>f270c1f6f4413e7f51e5c3cd61ef483659c280fae313ef511cb3937a08abcd15</t>
        </is>
      </c>
    </row>
    <row r="2027">
      <c r="A2027" t="inlineStr">
        <is>
          <t>附表9</t>
        </is>
      </c>
      <c r="B2027" t="inlineStr">
        <is>
          <t>C30</t>
        </is>
      </c>
      <c r="C2027" t="inlineStr">
        <is>
          <t>'='附表5'!B25</t>
        </is>
      </c>
      <c r="D2027" t="inlineStr">
        <is>
          <t>d8b21e27a89a62baca3b0c7ab58cc3e55518829fb13b89f3944308fa5bd54aca</t>
        </is>
      </c>
    </row>
    <row r="2028">
      <c r="A2028" t="inlineStr">
        <is>
          <t>附表9</t>
        </is>
      </c>
      <c r="B2028" t="inlineStr">
        <is>
          <t>D30</t>
        </is>
      </c>
      <c r="C2028" t="inlineStr">
        <is>
          <t>'='附表6'!B25</t>
        </is>
      </c>
      <c r="D2028" t="inlineStr">
        <is>
          <t>1eb5394fde904a984791179c364babe129a1ce5632fe504d0d9c406c23ed76a0</t>
        </is>
      </c>
    </row>
    <row r="2029">
      <c r="A2029" t="inlineStr">
        <is>
          <t>附表9</t>
        </is>
      </c>
      <c r="B2029" t="inlineStr">
        <is>
          <t>E30</t>
        </is>
      </c>
      <c r="C2029" t="inlineStr">
        <is>
          <t>'='附表5'!E25</t>
        </is>
      </c>
      <c r="D2029" t="inlineStr">
        <is>
          <t>2d74b33a293b71294aaf2f1fb736bf5ac4f9677b16b7597acd54abcd38be2913</t>
        </is>
      </c>
    </row>
    <row r="2030">
      <c r="A2030" t="inlineStr">
        <is>
          <t>附表9</t>
        </is>
      </c>
      <c r="B2030" t="inlineStr">
        <is>
          <t>F30</t>
        </is>
      </c>
      <c r="C2030" t="inlineStr">
        <is>
          <t>'='附表5'!I25</t>
        </is>
      </c>
      <c r="D2030" t="inlineStr">
        <is>
          <t>2158416f0640a4630aa5324d25230c256f0e3242f73758c94279ae84886ed2e0</t>
        </is>
      </c>
    </row>
    <row r="2031">
      <c r="A2031" t="inlineStr">
        <is>
          <t>附表9</t>
        </is>
      </c>
      <c r="B2031" t="inlineStr">
        <is>
          <t>J30</t>
        </is>
      </c>
      <c r="C2031" t="inlineStr">
        <is>
          <t>'=C30-D30-E30-F30-G30-H30+I30</t>
        </is>
      </c>
      <c r="D2031" t="inlineStr">
        <is>
          <t>21802e22bd5f6e2d777037b0bcf3ac17747dab8bcd5607a38526a961b60ce70b</t>
        </is>
      </c>
    </row>
    <row r="2032">
      <c r="A2032" t="inlineStr">
        <is>
          <t>附表9</t>
        </is>
      </c>
      <c r="B2032" t="inlineStr">
        <is>
          <t>K30</t>
        </is>
      </c>
      <c r="C2032" t="inlineStr">
        <is>
          <t>'=K29+J30</t>
        </is>
      </c>
      <c r="D2032" t="inlineStr">
        <is>
          <t>89f3e336432b798e070ca40ad11258d16a2b87b6f892bda3f02ac6fbf3838ae2</t>
        </is>
      </c>
    </row>
    <row r="2033">
      <c r="A2033" t="inlineStr">
        <is>
          <t>附表9</t>
        </is>
      </c>
      <c r="B2033" t="inlineStr">
        <is>
          <t>C31</t>
        </is>
      </c>
      <c r="C2033" t="inlineStr">
        <is>
          <t>'='附表5'!B26</t>
        </is>
      </c>
      <c r="D2033" t="inlineStr">
        <is>
          <t>3f5556cbd9661fb0ff6e5f17015819e21c09b559aadd7aa1984ec3f90711d41b</t>
        </is>
      </c>
    </row>
    <row r="2034">
      <c r="A2034" t="inlineStr">
        <is>
          <t>附表9</t>
        </is>
      </c>
      <c r="B2034" t="inlineStr">
        <is>
          <t>D31</t>
        </is>
      </c>
      <c r="C2034" t="inlineStr">
        <is>
          <t>'='附表6'!B26</t>
        </is>
      </c>
      <c r="D2034" t="inlineStr">
        <is>
          <t>94fb7256ebef9458cd50eabf493a151ba36bad439a0ad1d4d7d7de63640c26cf</t>
        </is>
      </c>
    </row>
    <row r="2035">
      <c r="A2035" t="inlineStr">
        <is>
          <t>附表9</t>
        </is>
      </c>
      <c r="B2035" t="inlineStr">
        <is>
          <t>E31</t>
        </is>
      </c>
      <c r="C2035" t="inlineStr">
        <is>
          <t>'='附表5'!E26</t>
        </is>
      </c>
      <c r="D2035" t="inlineStr">
        <is>
          <t>d27e2e2af8ee6e0c829e88583e052c2e48be598e8e99e72fbe52936c7fe45db7</t>
        </is>
      </c>
    </row>
    <row r="2036">
      <c r="A2036" t="inlineStr">
        <is>
          <t>附表9</t>
        </is>
      </c>
      <c r="B2036" t="inlineStr">
        <is>
          <t>F31</t>
        </is>
      </c>
      <c r="C2036" t="inlineStr">
        <is>
          <t>'='附表5'!I26</t>
        </is>
      </c>
      <c r="D2036" t="inlineStr">
        <is>
          <t>986f4dbb4e22d0b4385d978955f7bd0f22e72b93b2de14133169186ed5176c28</t>
        </is>
      </c>
    </row>
    <row r="2037">
      <c r="A2037" t="inlineStr">
        <is>
          <t>附表9</t>
        </is>
      </c>
      <c r="B2037" t="inlineStr">
        <is>
          <t>J31</t>
        </is>
      </c>
      <c r="C2037" t="inlineStr">
        <is>
          <t>'=C31-D31-E31-F31-G31-H31+I31</t>
        </is>
      </c>
      <c r="D2037" t="inlineStr">
        <is>
          <t>3c8c51edb30b00ed38ea694ad9f5b00d79e3d28562fc352e413d5edeacac1c9e</t>
        </is>
      </c>
    </row>
    <row r="2038">
      <c r="A2038" t="inlineStr">
        <is>
          <t>附表9</t>
        </is>
      </c>
      <c r="B2038" t="inlineStr">
        <is>
          <t>K31</t>
        </is>
      </c>
      <c r="C2038" t="inlineStr">
        <is>
          <t>'=K30+J31</t>
        </is>
      </c>
      <c r="D2038" t="inlineStr">
        <is>
          <t>42404cad645865fcc87ea661c86964c46337dfaa730f9366a2518ce30ca57292</t>
        </is>
      </c>
    </row>
    <row r="2039">
      <c r="A2039" t="inlineStr">
        <is>
          <t>附表9</t>
        </is>
      </c>
      <c r="B2039" t="inlineStr">
        <is>
          <t>C32</t>
        </is>
      </c>
      <c r="C2039" t="inlineStr">
        <is>
          <t>'='附表5'!B27</t>
        </is>
      </c>
      <c r="D2039" t="inlineStr">
        <is>
          <t>db313749a16dd079f6f107e31b062fdfab24f45cb0e59df1b2f79e6b4183d668</t>
        </is>
      </c>
    </row>
    <row r="2040">
      <c r="A2040" t="inlineStr">
        <is>
          <t>附表9</t>
        </is>
      </c>
      <c r="B2040" t="inlineStr">
        <is>
          <t>D32</t>
        </is>
      </c>
      <c r="C2040" t="inlineStr">
        <is>
          <t>'='附表6'!B27</t>
        </is>
      </c>
      <c r="D2040" t="inlineStr">
        <is>
          <t>d7248465aff61d194419446ba093048dd3eea2558c54e0f2dbfb58ad177ce570</t>
        </is>
      </c>
    </row>
    <row r="2041">
      <c r="A2041" t="inlineStr">
        <is>
          <t>附表9</t>
        </is>
      </c>
      <c r="B2041" t="inlineStr">
        <is>
          <t>E32</t>
        </is>
      </c>
      <c r="C2041" t="inlineStr">
        <is>
          <t>'='附表5'!E27</t>
        </is>
      </c>
      <c r="D2041" t="inlineStr">
        <is>
          <t>52b1db1054819470ef7af8e55cafb0249b6d2a4bd56b15be470ea137a961e007</t>
        </is>
      </c>
    </row>
    <row r="2042">
      <c r="A2042" t="inlineStr">
        <is>
          <t>附表9</t>
        </is>
      </c>
      <c r="B2042" t="inlineStr">
        <is>
          <t>F32</t>
        </is>
      </c>
      <c r="C2042" t="inlineStr">
        <is>
          <t>'='附表5'!I27</t>
        </is>
      </c>
      <c r="D2042" t="inlineStr">
        <is>
          <t>07ebdbf4aa6f6063ecc91223da198f5e6641068c56d2221dc802065d5761e8cd</t>
        </is>
      </c>
    </row>
    <row r="2043">
      <c r="A2043" t="inlineStr">
        <is>
          <t>附表9</t>
        </is>
      </c>
      <c r="B2043" t="inlineStr">
        <is>
          <t>J32</t>
        </is>
      </c>
      <c r="C2043" t="inlineStr">
        <is>
          <t>'=C32-D32-E32-F32-G32-H32+I32</t>
        </is>
      </c>
      <c r="D2043" t="inlineStr">
        <is>
          <t>89a4ca65c0b2a521a02a3c5f1d319a60a597b8f991521570702184485ee6a028</t>
        </is>
      </c>
    </row>
    <row r="2044">
      <c r="A2044" t="inlineStr">
        <is>
          <t>附表9</t>
        </is>
      </c>
      <c r="B2044" t="inlineStr">
        <is>
          <t>K32</t>
        </is>
      </c>
      <c r="C2044" t="inlineStr">
        <is>
          <t>'=K31+J32</t>
        </is>
      </c>
      <c r="D2044" t="inlineStr">
        <is>
          <t>8404dfd15f3bf6a18012d56770c78655f4716bc26cda6bf0b6ef2633e39c4d79</t>
        </is>
      </c>
    </row>
    <row r="2045">
      <c r="A2045" t="inlineStr">
        <is>
          <t>附表9</t>
        </is>
      </c>
      <c r="B2045" t="inlineStr">
        <is>
          <t>C33</t>
        </is>
      </c>
      <c r="C2045" t="inlineStr">
        <is>
          <t>'='附表5'!B28</t>
        </is>
      </c>
      <c r="D2045" t="inlineStr">
        <is>
          <t>289c14abaaf1c0edf603f11d4fcf90ed04a490637bb7b4578cc9f0ff237b6fb7</t>
        </is>
      </c>
    </row>
    <row r="2046">
      <c r="A2046" t="inlineStr">
        <is>
          <t>附表9</t>
        </is>
      </c>
      <c r="B2046" t="inlineStr">
        <is>
          <t>D33</t>
        </is>
      </c>
      <c r="C2046" t="inlineStr">
        <is>
          <t>'='附表6'!B28</t>
        </is>
      </c>
      <c r="D2046" t="inlineStr">
        <is>
          <t>67fd6bad67cab3eb38e0d1ae1fbb4a2721420a195727fa79a68d0002572ff572</t>
        </is>
      </c>
    </row>
    <row r="2047">
      <c r="A2047" t="inlineStr">
        <is>
          <t>附表9</t>
        </is>
      </c>
      <c r="B2047" t="inlineStr">
        <is>
          <t>E33</t>
        </is>
      </c>
      <c r="C2047" t="inlineStr">
        <is>
          <t>'='附表5'!E28</t>
        </is>
      </c>
      <c r="D2047" t="inlineStr">
        <is>
          <t>41d85c9a3ae3befcfea41bc6d67a5028e5fe2ae62476c78c50834b9322c61cd5</t>
        </is>
      </c>
    </row>
    <row r="2048">
      <c r="A2048" t="inlineStr">
        <is>
          <t>附表9</t>
        </is>
      </c>
      <c r="B2048" t="inlineStr">
        <is>
          <t>F33</t>
        </is>
      </c>
      <c r="C2048" t="inlineStr">
        <is>
          <t>'='附表5'!I28</t>
        </is>
      </c>
      <c r="D2048" t="inlineStr">
        <is>
          <t>4842e734311f39935de364d73445433371d7b0a78d5a23370ae9e77a4fd5430c</t>
        </is>
      </c>
    </row>
    <row r="2049">
      <c r="A2049" t="inlineStr">
        <is>
          <t>附表9</t>
        </is>
      </c>
      <c r="B2049" t="inlineStr">
        <is>
          <t>J33</t>
        </is>
      </c>
      <c r="C2049" t="inlineStr">
        <is>
          <t>'=C33-D33-E33-F33-G33-H33+I33</t>
        </is>
      </c>
      <c r="D2049" t="inlineStr">
        <is>
          <t>783e4016106630646a3b286b96587133603c999410f9ee62e97d681c7269bab7</t>
        </is>
      </c>
    </row>
    <row r="2050">
      <c r="A2050" t="inlineStr">
        <is>
          <t>附表9</t>
        </is>
      </c>
      <c r="B2050" t="inlineStr">
        <is>
          <t>K33</t>
        </is>
      </c>
      <c r="C2050" t="inlineStr">
        <is>
          <t>'=K32+J33</t>
        </is>
      </c>
      <c r="D2050" t="inlineStr">
        <is>
          <t>66c8b00ac2f990e85d4de1b9b47ebfad75320872823285d64b5cf1c5057d855f</t>
        </is>
      </c>
    </row>
    <row r="2051">
      <c r="A2051" t="inlineStr">
        <is>
          <t>附表9</t>
        </is>
      </c>
      <c r="B2051" t="inlineStr">
        <is>
          <t>C34</t>
        </is>
      </c>
      <c r="C2051" t="inlineStr">
        <is>
          <t>'='附表5'!B29</t>
        </is>
      </c>
      <c r="D2051" t="inlineStr">
        <is>
          <t>a22a3747cbbaeff2620c32c8ac89b9198fa7d180755df692c64f8ea1a07cb322</t>
        </is>
      </c>
    </row>
    <row r="2052">
      <c r="A2052" t="inlineStr">
        <is>
          <t>附表9</t>
        </is>
      </c>
      <c r="B2052" t="inlineStr">
        <is>
          <t>D34</t>
        </is>
      </c>
      <c r="C2052" t="inlineStr">
        <is>
          <t>'='附表6'!B29</t>
        </is>
      </c>
      <c r="D2052" t="inlineStr">
        <is>
          <t>8422d14bb4b50b97b0c95688caedc0c3a7fcc2df44f560b3ae06f17c29952187</t>
        </is>
      </c>
    </row>
    <row r="2053">
      <c r="A2053" t="inlineStr">
        <is>
          <t>附表9</t>
        </is>
      </c>
      <c r="B2053" t="inlineStr">
        <is>
          <t>E34</t>
        </is>
      </c>
      <c r="C2053" t="inlineStr">
        <is>
          <t>'='附表5'!E29</t>
        </is>
      </c>
      <c r="D2053" t="inlineStr">
        <is>
          <t>b3e93364bb337a78683cff176d89ef36bee94b0c53b0cea6feeb1a9a45193dab</t>
        </is>
      </c>
    </row>
    <row r="2054">
      <c r="A2054" t="inlineStr">
        <is>
          <t>附表9</t>
        </is>
      </c>
      <c r="B2054" t="inlineStr">
        <is>
          <t>F34</t>
        </is>
      </c>
      <c r="C2054" t="inlineStr">
        <is>
          <t>'='附表5'!I29</t>
        </is>
      </c>
      <c r="D2054" t="inlineStr">
        <is>
          <t>a66d7841e24d08578f81b46b5c92c49305fcd4b1dd44c82d9bdac48253474d78</t>
        </is>
      </c>
    </row>
    <row r="2055">
      <c r="A2055" t="inlineStr">
        <is>
          <t>附表9</t>
        </is>
      </c>
      <c r="B2055" t="inlineStr">
        <is>
          <t>J34</t>
        </is>
      </c>
      <c r="C2055" t="inlineStr">
        <is>
          <t>'=C34-D34-E34-F34-G34-H34+I34</t>
        </is>
      </c>
      <c r="D2055" t="inlineStr">
        <is>
          <t>8344914cfb92657a41368a0c1b63bb8c156e6f44e237a7fee6a21e7e483fbed7</t>
        </is>
      </c>
    </row>
    <row r="2056">
      <c r="A2056" t="inlineStr">
        <is>
          <t>附表9</t>
        </is>
      </c>
      <c r="B2056" t="inlineStr">
        <is>
          <t>K34</t>
        </is>
      </c>
      <c r="C2056" t="inlineStr">
        <is>
          <t>'=K33+J34</t>
        </is>
      </c>
      <c r="D2056" t="inlineStr">
        <is>
          <t>327acf31fcc1e60b4fa2b5b45fe98ce80fb5210f8684c6fcc0e4fba93ef0081f</t>
        </is>
      </c>
    </row>
    <row r="2057">
      <c r="A2057" t="inlineStr">
        <is>
          <t>附表9</t>
        </is>
      </c>
      <c r="B2057" t="inlineStr">
        <is>
          <t>C35</t>
        </is>
      </c>
      <c r="C2057" t="inlineStr">
        <is>
          <t>'='附表5'!B30</t>
        </is>
      </c>
      <c r="D2057" t="inlineStr">
        <is>
          <t>69a8921c3cdba9ba842d908cc7c5e091b626dab73b3ef12bc4bc7ee0e8c26722</t>
        </is>
      </c>
    </row>
    <row r="2058">
      <c r="A2058" t="inlineStr">
        <is>
          <t>附表9</t>
        </is>
      </c>
      <c r="B2058" t="inlineStr">
        <is>
          <t>D35</t>
        </is>
      </c>
      <c r="C2058" t="inlineStr">
        <is>
          <t>'='附表6'!B30</t>
        </is>
      </c>
      <c r="D2058" t="inlineStr">
        <is>
          <t>4d8670a8b3ab5b4995067202c876dcfb909442559a3ba88ce5536679f91940ff</t>
        </is>
      </c>
    </row>
    <row r="2059">
      <c r="A2059" t="inlineStr">
        <is>
          <t>附表9</t>
        </is>
      </c>
      <c r="B2059" t="inlineStr">
        <is>
          <t>E35</t>
        </is>
      </c>
      <c r="C2059" t="inlineStr">
        <is>
          <t>'='附表5'!E30</t>
        </is>
      </c>
      <c r="D2059" t="inlineStr">
        <is>
          <t>ce2dc53ab7542dcdfe42c4c9e11992fe21a4f000ffcd55e8c2cec8ea8209545e</t>
        </is>
      </c>
    </row>
    <row r="2060">
      <c r="A2060" t="inlineStr">
        <is>
          <t>附表9</t>
        </is>
      </c>
      <c r="B2060" t="inlineStr">
        <is>
          <t>F35</t>
        </is>
      </c>
      <c r="C2060" t="inlineStr">
        <is>
          <t>'='附表5'!I30</t>
        </is>
      </c>
      <c r="D2060" t="inlineStr">
        <is>
          <t>ed3177ddb3e1ee07042c52e8a7f3654ca5718dd68fa0485377c9e97d849245ec</t>
        </is>
      </c>
    </row>
    <row r="2061">
      <c r="A2061" t="inlineStr">
        <is>
          <t>附表9</t>
        </is>
      </c>
      <c r="B2061" t="inlineStr">
        <is>
          <t>J35</t>
        </is>
      </c>
      <c r="C2061" t="inlineStr">
        <is>
          <t>'=C35-D35-E35-F35-G35-H35+I35</t>
        </is>
      </c>
      <c r="D2061" t="inlineStr">
        <is>
          <t>5d63a48a26e62ab6fa543bf8ed4452b0e8c388e9b050a4727e992952f2719814</t>
        </is>
      </c>
    </row>
    <row r="2062">
      <c r="A2062" t="inlineStr">
        <is>
          <t>附表9</t>
        </is>
      </c>
      <c r="B2062" t="inlineStr">
        <is>
          <t>K35</t>
        </is>
      </c>
      <c r="C2062" t="inlineStr">
        <is>
          <t>'=K34+J35</t>
        </is>
      </c>
      <c r="D2062" t="inlineStr">
        <is>
          <t>e6f5bc85ae4f1ccfdb152d68b1251e12354717885d90a5409490bbd06820e12d</t>
        </is>
      </c>
    </row>
    <row r="2063">
      <c r="A2063" t="inlineStr">
        <is>
          <t>附表9</t>
        </is>
      </c>
      <c r="B2063" t="inlineStr">
        <is>
          <t>C36</t>
        </is>
      </c>
      <c r="C2063" t="inlineStr">
        <is>
          <t>'='附表5'!B31</t>
        </is>
      </c>
      <c r="D2063" t="inlineStr">
        <is>
          <t>28bcaeb22ec72713a1a6db03a6d073f99e6545a9e907f66e0b83f48e1ad2bdd4</t>
        </is>
      </c>
    </row>
    <row r="2064">
      <c r="A2064" t="inlineStr">
        <is>
          <t>附表9</t>
        </is>
      </c>
      <c r="B2064" t="inlineStr">
        <is>
          <t>D36</t>
        </is>
      </c>
      <c r="C2064" t="inlineStr">
        <is>
          <t>'='附表6'!B31</t>
        </is>
      </c>
      <c r="D2064" t="inlineStr">
        <is>
          <t>f19ad5421cbfe938e255fe6f8c98a89e194ebb456b7ea22cb194ad60bfa3d5d9</t>
        </is>
      </c>
    </row>
    <row r="2065">
      <c r="A2065" t="inlineStr">
        <is>
          <t>附表9</t>
        </is>
      </c>
      <c r="B2065" t="inlineStr">
        <is>
          <t>E36</t>
        </is>
      </c>
      <c r="C2065" t="inlineStr">
        <is>
          <t>'='附表5'!E31</t>
        </is>
      </c>
      <c r="D2065" t="inlineStr">
        <is>
          <t>9c805749737b630338687ef50f98f1f44878895f3bf9de0af4798a2ee51f700b</t>
        </is>
      </c>
    </row>
    <row r="2066">
      <c r="A2066" t="inlineStr">
        <is>
          <t>附表9</t>
        </is>
      </c>
      <c r="B2066" t="inlineStr">
        <is>
          <t>F36</t>
        </is>
      </c>
      <c r="C2066" t="inlineStr">
        <is>
          <t>'='附表5'!I31</t>
        </is>
      </c>
      <c r="D2066" t="inlineStr">
        <is>
          <t>fb86aec8f73922a7fb3d09f5a3027e021ea050f0f1efbf779b4fac72ebda0a70</t>
        </is>
      </c>
    </row>
    <row r="2067">
      <c r="A2067" t="inlineStr">
        <is>
          <t>附表9</t>
        </is>
      </c>
      <c r="B2067" t="inlineStr">
        <is>
          <t>J36</t>
        </is>
      </c>
      <c r="C2067" t="inlineStr">
        <is>
          <t>'=C36-D36-E36-F36-G36-H36+I36</t>
        </is>
      </c>
      <c r="D2067" t="inlineStr">
        <is>
          <t>caa993b130d3ecbcb8b4b77be846f0f20f947ad45b0b97ddfd676f33fa4e5cd0</t>
        </is>
      </c>
    </row>
    <row r="2068">
      <c r="A2068" t="inlineStr">
        <is>
          <t>附表9</t>
        </is>
      </c>
      <c r="B2068" t="inlineStr">
        <is>
          <t>K36</t>
        </is>
      </c>
      <c r="C2068" t="inlineStr">
        <is>
          <t>'=K35+J36</t>
        </is>
      </c>
      <c r="D2068" t="inlineStr">
        <is>
          <t>67a523a11172d9a0e9622fdf95159386658b5c4a227214d4cb93c822fa3a2bf8</t>
        </is>
      </c>
    </row>
    <row r="2069">
      <c r="A2069" t="inlineStr">
        <is>
          <t>附表9</t>
        </is>
      </c>
      <c r="B2069" t="inlineStr">
        <is>
          <t>C37</t>
        </is>
      </c>
      <c r="C2069" t="inlineStr">
        <is>
          <t>'='附表5'!B32</t>
        </is>
      </c>
      <c r="D2069" t="inlineStr">
        <is>
          <t>ac7c8ed5516125053e33495ff6f238e77b4de1e66f5148c42efa02151a6cbdb0</t>
        </is>
      </c>
    </row>
    <row r="2070">
      <c r="A2070" t="inlineStr">
        <is>
          <t>附表9</t>
        </is>
      </c>
      <c r="B2070" t="inlineStr">
        <is>
          <t>D37</t>
        </is>
      </c>
      <c r="C2070" t="inlineStr">
        <is>
          <t>'='附表6'!B32</t>
        </is>
      </c>
      <c r="D2070" t="inlineStr">
        <is>
          <t>617cdd066cb1e05b19c31f8f05fed0fbdd3a40199cdfb74165788690cffd472e</t>
        </is>
      </c>
    </row>
    <row r="2071">
      <c r="A2071" t="inlineStr">
        <is>
          <t>附表9</t>
        </is>
      </c>
      <c r="B2071" t="inlineStr">
        <is>
          <t>E37</t>
        </is>
      </c>
      <c r="C2071" t="inlineStr">
        <is>
          <t>'='附表5'!E32</t>
        </is>
      </c>
      <c r="D2071" t="inlineStr">
        <is>
          <t>7c81535aa46fcb2c0e16aa07d7712980b6b3e2d21f98d411f100e75a2188b4a6</t>
        </is>
      </c>
    </row>
    <row r="2072">
      <c r="A2072" t="inlineStr">
        <is>
          <t>附表9</t>
        </is>
      </c>
      <c r="B2072" t="inlineStr">
        <is>
          <t>F37</t>
        </is>
      </c>
      <c r="C2072" t="inlineStr">
        <is>
          <t>'='附表5'!I32</t>
        </is>
      </c>
      <c r="D2072" t="inlineStr">
        <is>
          <t>094f0578c899edc9a84a2d4ac62c11e5b12f1016476fafc02eb1627985b06db3</t>
        </is>
      </c>
    </row>
    <row r="2073">
      <c r="A2073" t="inlineStr">
        <is>
          <t>附表9</t>
        </is>
      </c>
      <c r="B2073" t="inlineStr">
        <is>
          <t>J37</t>
        </is>
      </c>
      <c r="C2073" t="inlineStr">
        <is>
          <t>'=C37-D37-E37-F37-G37-H37+I37</t>
        </is>
      </c>
      <c r="D2073" t="inlineStr">
        <is>
          <t>86de82ab3bd79a26fdb1329c5f8e4d5aa19a422f3fda142d795ca3718c65d433</t>
        </is>
      </c>
    </row>
    <row r="2074">
      <c r="A2074" t="inlineStr">
        <is>
          <t>附表9</t>
        </is>
      </c>
      <c r="B2074" t="inlineStr">
        <is>
          <t>K37</t>
        </is>
      </c>
      <c r="C2074" t="inlineStr">
        <is>
          <t>'=K36+J37</t>
        </is>
      </c>
      <c r="D2074" t="inlineStr">
        <is>
          <t>b7d7674781723f9b9b17e0f0492c2106f9736a2a074937d67c70af0183701f30</t>
        </is>
      </c>
    </row>
    <row r="2075">
      <c r="A2075" t="inlineStr">
        <is>
          <t>附表9</t>
        </is>
      </c>
      <c r="B2075" t="inlineStr">
        <is>
          <t>C38</t>
        </is>
      </c>
      <c r="C2075" t="inlineStr">
        <is>
          <t>'='附表5'!B33</t>
        </is>
      </c>
      <c r="D2075" t="inlineStr">
        <is>
          <t>27ffd6eff59a44aa0690410a8a6a94f0b0821b5e7eee0537acccc64a291f268e</t>
        </is>
      </c>
    </row>
    <row r="2076">
      <c r="A2076" t="inlineStr">
        <is>
          <t>附表9</t>
        </is>
      </c>
      <c r="B2076" t="inlineStr">
        <is>
          <t>D38</t>
        </is>
      </c>
      <c r="C2076" t="inlineStr">
        <is>
          <t>'='附表6'!B33</t>
        </is>
      </c>
      <c r="D2076" t="inlineStr">
        <is>
          <t>f0d1cf908079af017c6ec981066e9ee448fb3183e4dd603d75cccd3ea03604e7</t>
        </is>
      </c>
    </row>
    <row r="2077">
      <c r="A2077" t="inlineStr">
        <is>
          <t>附表9</t>
        </is>
      </c>
      <c r="B2077" t="inlineStr">
        <is>
          <t>E38</t>
        </is>
      </c>
      <c r="C2077" t="inlineStr">
        <is>
          <t>'='附表5'!E33</t>
        </is>
      </c>
      <c r="D2077" t="inlineStr">
        <is>
          <t>80fa838a66313be546e3487495d3297ad55d1584b121e68301ce247860f9e054</t>
        </is>
      </c>
    </row>
    <row r="2078">
      <c r="A2078" t="inlineStr">
        <is>
          <t>附表9</t>
        </is>
      </c>
      <c r="B2078" t="inlineStr">
        <is>
          <t>F38</t>
        </is>
      </c>
      <c r="C2078" t="inlineStr">
        <is>
          <t>'='附表5'!I33</t>
        </is>
      </c>
      <c r="D2078" t="inlineStr">
        <is>
          <t>0ebd28ac5394d670968dc95fe2e744a44878a954eb3e03f28d53766fa564490d</t>
        </is>
      </c>
    </row>
    <row r="2079">
      <c r="A2079" t="inlineStr">
        <is>
          <t>附表9</t>
        </is>
      </c>
      <c r="B2079" t="inlineStr">
        <is>
          <t>J38</t>
        </is>
      </c>
      <c r="C2079" t="inlineStr">
        <is>
          <t>'=C38-D38-E38-F38-G38-H38+I38</t>
        </is>
      </c>
      <c r="D2079" t="inlineStr">
        <is>
          <t>1b071f5134e05e1bf4e00c71a4ca008d0c686c88cbf464911d3b159be4120c50</t>
        </is>
      </c>
    </row>
    <row r="2080">
      <c r="A2080" t="inlineStr">
        <is>
          <t>附表9</t>
        </is>
      </c>
      <c r="B2080" t="inlineStr">
        <is>
          <t>K38</t>
        </is>
      </c>
      <c r="C2080" t="inlineStr">
        <is>
          <t>'=K37+J38</t>
        </is>
      </c>
      <c r="D2080" t="inlineStr">
        <is>
          <t>a367594281a3895d9bd6495d0fe2447d4be3eb8d405d107b140f8cb7a03ba635</t>
        </is>
      </c>
    </row>
    <row r="2081">
      <c r="A2081" t="inlineStr">
        <is>
          <t>附表9</t>
        </is>
      </c>
      <c r="B2081" t="inlineStr">
        <is>
          <t>C39</t>
        </is>
      </c>
      <c r="C2081" t="inlineStr">
        <is>
          <t>'='附表5'!B34</t>
        </is>
      </c>
      <c r="D2081" t="inlineStr">
        <is>
          <t>9c435fa55a2efa76ebcfe61574210b23c1a348a982db05fa56e95815bbdd41db</t>
        </is>
      </c>
    </row>
    <row r="2082">
      <c r="A2082" t="inlineStr">
        <is>
          <t>附表9</t>
        </is>
      </c>
      <c r="B2082" t="inlineStr">
        <is>
          <t>D39</t>
        </is>
      </c>
      <c r="C2082" t="inlineStr">
        <is>
          <t>'='附表6'!B34</t>
        </is>
      </c>
      <c r="D2082" t="inlineStr">
        <is>
          <t>34a37021743e30bdeef04acc77a07f1d12f6c8712804e6235e7d290b62ca3fb1</t>
        </is>
      </c>
    </row>
    <row r="2083">
      <c r="A2083" t="inlineStr">
        <is>
          <t>附表9</t>
        </is>
      </c>
      <c r="B2083" t="inlineStr">
        <is>
          <t>E39</t>
        </is>
      </c>
      <c r="C2083" t="inlineStr">
        <is>
          <t>'='附表5'!E34</t>
        </is>
      </c>
      <c r="D2083" t="inlineStr">
        <is>
          <t>30b7d4c8c93c6d4b08e901aebe29c9132b1d94705f1012ff4b31a5d20f686bae</t>
        </is>
      </c>
    </row>
    <row r="2084">
      <c r="A2084" t="inlineStr">
        <is>
          <t>附表9</t>
        </is>
      </c>
      <c r="B2084" t="inlineStr">
        <is>
          <t>F39</t>
        </is>
      </c>
      <c r="C2084" t="inlineStr">
        <is>
          <t>'='附表5'!I34</t>
        </is>
      </c>
      <c r="D2084" t="inlineStr">
        <is>
          <t>ecef587eee040c4e3fa86481ad1ea5320bcc0a3f6a33ba0a4206e76b19ef26b0</t>
        </is>
      </c>
    </row>
    <row r="2085">
      <c r="A2085" t="inlineStr">
        <is>
          <t>附表9</t>
        </is>
      </c>
      <c r="B2085" t="inlineStr">
        <is>
          <t>J39</t>
        </is>
      </c>
      <c r="C2085" t="inlineStr">
        <is>
          <t>'=C39-D39-E39-F39-G39-H39+I39</t>
        </is>
      </c>
      <c r="D2085" t="inlineStr">
        <is>
          <t>3c3bba5f4b34b6189a24fead08cc2359d71e36ac87ccffc327951892b7e0dac5</t>
        </is>
      </c>
    </row>
    <row r="2086">
      <c r="A2086" t="inlineStr">
        <is>
          <t>附表9</t>
        </is>
      </c>
      <c r="B2086" t="inlineStr">
        <is>
          <t>K39</t>
        </is>
      </c>
      <c r="C2086" t="inlineStr">
        <is>
          <t>'=K38+J39</t>
        </is>
      </c>
      <c r="D2086" t="inlineStr">
        <is>
          <t>1299acd7c5ac9c8612d58baa10ffb780473a3593c08b72dfd57c76456ce2969a</t>
        </is>
      </c>
    </row>
    <row r="2087">
      <c r="A2087" t="inlineStr">
        <is>
          <t>附表9</t>
        </is>
      </c>
      <c r="B2087" t="inlineStr">
        <is>
          <t>C40</t>
        </is>
      </c>
      <c r="C2087" t="inlineStr">
        <is>
          <t>'='附表5'!B35</t>
        </is>
      </c>
      <c r="D2087" t="inlineStr">
        <is>
          <t>12dcb6ece86ea65443c9a26526e4e344bc15d836b8c2e20b9368d039f4f4a50f</t>
        </is>
      </c>
    </row>
    <row r="2088">
      <c r="A2088" t="inlineStr">
        <is>
          <t>附表9</t>
        </is>
      </c>
      <c r="B2088" t="inlineStr">
        <is>
          <t>D40</t>
        </is>
      </c>
      <c r="C2088" t="inlineStr">
        <is>
          <t>'='附表6'!B35</t>
        </is>
      </c>
      <c r="D2088" t="inlineStr">
        <is>
          <t>ca63b9c36319c5d337a95e173fc3db9da2ff0e52d5f531fdae534b5df7f30837</t>
        </is>
      </c>
    </row>
    <row r="2089">
      <c r="A2089" t="inlineStr">
        <is>
          <t>附表9</t>
        </is>
      </c>
      <c r="B2089" t="inlineStr">
        <is>
          <t>E40</t>
        </is>
      </c>
      <c r="C2089" t="inlineStr">
        <is>
          <t>'='附表5'!E35</t>
        </is>
      </c>
      <c r="D2089" t="inlineStr">
        <is>
          <t>c268afcfa79db41868e08978a65283806a8ae44ef20845db4636a84a7296139b</t>
        </is>
      </c>
    </row>
    <row r="2090">
      <c r="A2090" t="inlineStr">
        <is>
          <t>附表9</t>
        </is>
      </c>
      <c r="B2090" t="inlineStr">
        <is>
          <t>F40</t>
        </is>
      </c>
      <c r="C2090" t="inlineStr">
        <is>
          <t>'='附表5'!I35</t>
        </is>
      </c>
      <c r="D2090" t="inlineStr">
        <is>
          <t>48a9be3df469077ff2cd7eecf2c4443d6d42e65c8a87106ba444be4581ca7947</t>
        </is>
      </c>
    </row>
    <row r="2091">
      <c r="A2091" t="inlineStr">
        <is>
          <t>附表9</t>
        </is>
      </c>
      <c r="B2091" t="inlineStr">
        <is>
          <t>J40</t>
        </is>
      </c>
      <c r="C2091" t="inlineStr">
        <is>
          <t>'=C40-D40-E40-F40-G40-H40+I40</t>
        </is>
      </c>
      <c r="D2091" t="inlineStr">
        <is>
          <t>f98f3e51711e9ae953a5d81ce312f76ab1b1f01deb199f4ba51afea8afa7fd90</t>
        </is>
      </c>
    </row>
    <row r="2092">
      <c r="A2092" t="inlineStr">
        <is>
          <t>附表9</t>
        </is>
      </c>
      <c r="B2092" t="inlineStr">
        <is>
          <t>K40</t>
        </is>
      </c>
      <c r="C2092" t="inlineStr">
        <is>
          <t>'=K39+J40</t>
        </is>
      </c>
      <c r="D2092" t="inlineStr">
        <is>
          <t>5fdc2132ce45adc2795d8b2ab78517d45ef203b178f62dd606a8a38eabdee7e0</t>
        </is>
      </c>
    </row>
    <row r="2093">
      <c r="A2093" t="inlineStr">
        <is>
          <t>附表9</t>
        </is>
      </c>
      <c r="B2093" t="inlineStr">
        <is>
          <t>C41</t>
        </is>
      </c>
      <c r="C2093" t="inlineStr">
        <is>
          <t>'='附表5'!B36</t>
        </is>
      </c>
      <c r="D2093" t="inlineStr">
        <is>
          <t>b61dee8083bb490177e9d45856f26a1ebbab9567710627ea98b013e689cf110f</t>
        </is>
      </c>
    </row>
    <row r="2094">
      <c r="A2094" t="inlineStr">
        <is>
          <t>附表9</t>
        </is>
      </c>
      <c r="B2094" t="inlineStr">
        <is>
          <t>D41</t>
        </is>
      </c>
      <c r="C2094" t="inlineStr">
        <is>
          <t>'='附表6'!B36</t>
        </is>
      </c>
      <c r="D2094" t="inlineStr">
        <is>
          <t>8369efafa5f2bea8b580e38679320b842cd6b32eed5fcb4667e0c6da7604dd0f</t>
        </is>
      </c>
    </row>
    <row r="2095">
      <c r="A2095" t="inlineStr">
        <is>
          <t>附表9</t>
        </is>
      </c>
      <c r="B2095" t="inlineStr">
        <is>
          <t>E41</t>
        </is>
      </c>
      <c r="C2095" t="inlineStr">
        <is>
          <t>'='附表5'!E36</t>
        </is>
      </c>
      <c r="D2095" t="inlineStr">
        <is>
          <t>c3fd789eaae249ffe49896fc3fe3413b1864891bf8410425a5f72fb257a806fa</t>
        </is>
      </c>
    </row>
    <row r="2096">
      <c r="A2096" t="inlineStr">
        <is>
          <t>附表9</t>
        </is>
      </c>
      <c r="B2096" t="inlineStr">
        <is>
          <t>F41</t>
        </is>
      </c>
      <c r="C2096" t="inlineStr">
        <is>
          <t>'='附表5'!I36</t>
        </is>
      </c>
      <c r="D2096" t="inlineStr">
        <is>
          <t>9ad2c21663376201566a3cd90093eaa39c283d1b6e079d4bc065d872084ebe45</t>
        </is>
      </c>
    </row>
    <row r="2097">
      <c r="A2097" t="inlineStr">
        <is>
          <t>附表9</t>
        </is>
      </c>
      <c r="B2097" t="inlineStr">
        <is>
          <t>J41</t>
        </is>
      </c>
      <c r="C2097" t="inlineStr">
        <is>
          <t>'=C41-D41-E41-F41-G41-H41+I41</t>
        </is>
      </c>
      <c r="D2097" t="inlineStr">
        <is>
          <t>8d07271f957f264a3bfc9fb65956c605b8d66ad9f00760edc16bf0a96678452f</t>
        </is>
      </c>
    </row>
    <row r="2098">
      <c r="A2098" t="inlineStr">
        <is>
          <t>附表9</t>
        </is>
      </c>
      <c r="B2098" t="inlineStr">
        <is>
          <t>K41</t>
        </is>
      </c>
      <c r="C2098" t="inlineStr">
        <is>
          <t>'=K40+J41</t>
        </is>
      </c>
      <c r="D2098" t="inlineStr">
        <is>
          <t>f391426cf68de95e582b52fa41f6acfdf3fd5874313d803de72dce01122368c9</t>
        </is>
      </c>
    </row>
    <row r="2099">
      <c r="A2099" t="inlineStr">
        <is>
          <t>附表9</t>
        </is>
      </c>
      <c r="B2099" t="inlineStr">
        <is>
          <t>C42</t>
        </is>
      </c>
      <c r="C2099" t="inlineStr">
        <is>
          <t>'='附表5'!B37</t>
        </is>
      </c>
      <c r="D2099" t="inlineStr">
        <is>
          <t>9e852cff9548afcc23e3969143f17719c4c0d034ddecdee5f02963fea2025b2f</t>
        </is>
      </c>
    </row>
    <row r="2100">
      <c r="A2100" t="inlineStr">
        <is>
          <t>附表9</t>
        </is>
      </c>
      <c r="B2100" t="inlineStr">
        <is>
          <t>D42</t>
        </is>
      </c>
      <c r="C2100" t="inlineStr">
        <is>
          <t>'='附表6'!B37</t>
        </is>
      </c>
      <c r="D2100" t="inlineStr">
        <is>
          <t>22af7687534dbe9d173e6712860ee6511d636ac93b12f7d1170550dbf5207bbe</t>
        </is>
      </c>
    </row>
    <row r="2101">
      <c r="A2101" t="inlineStr">
        <is>
          <t>附表9</t>
        </is>
      </c>
      <c r="B2101" t="inlineStr">
        <is>
          <t>E42</t>
        </is>
      </c>
      <c r="C2101" t="inlineStr">
        <is>
          <t>'='附表5'!E37</t>
        </is>
      </c>
      <c r="D2101" t="inlineStr">
        <is>
          <t>a3aa07c899f418f873866bbbb8c93f7bdc6f3bca8000463e6db29ca0e7f620bc</t>
        </is>
      </c>
    </row>
    <row r="2102">
      <c r="A2102" t="inlineStr">
        <is>
          <t>附表9</t>
        </is>
      </c>
      <c r="B2102" t="inlineStr">
        <is>
          <t>F42</t>
        </is>
      </c>
      <c r="C2102" t="inlineStr">
        <is>
          <t>'='附表5'!I37</t>
        </is>
      </c>
      <c r="D2102" t="inlineStr">
        <is>
          <t>129593d52e2991b3d970359b7a59293e2cf40bacfed6da6332571020834c1ed2</t>
        </is>
      </c>
    </row>
    <row r="2103">
      <c r="A2103" t="inlineStr">
        <is>
          <t>附表9</t>
        </is>
      </c>
      <c r="B2103" t="inlineStr">
        <is>
          <t>J42</t>
        </is>
      </c>
      <c r="C2103" t="inlineStr">
        <is>
          <t>'=C42-D42-E42-F42-G42-H42+I42</t>
        </is>
      </c>
      <c r="D2103" t="inlineStr">
        <is>
          <t>05ecc00f303951245279b91dcb1c45b1dded89baff4b67eb8e600b40a5151ec8</t>
        </is>
      </c>
    </row>
    <row r="2104">
      <c r="A2104" t="inlineStr">
        <is>
          <t>附表9</t>
        </is>
      </c>
      <c r="B2104" t="inlineStr">
        <is>
          <t>K42</t>
        </is>
      </c>
      <c r="C2104" t="inlineStr">
        <is>
          <t>'=K41+J42</t>
        </is>
      </c>
      <c r="D2104" t="inlineStr">
        <is>
          <t>547b0dd3cffde06a74a07846e69cedee3c1d1e0c09a785e735fc2eae0f437964</t>
        </is>
      </c>
    </row>
    <row r="2105">
      <c r="A2105" t="inlineStr">
        <is>
          <t>附表9</t>
        </is>
      </c>
      <c r="B2105" t="inlineStr">
        <is>
          <t>C43</t>
        </is>
      </c>
      <c r="C2105" t="inlineStr">
        <is>
          <t>'='附表5'!B38</t>
        </is>
      </c>
      <c r="D2105" t="inlineStr">
        <is>
          <t>f0c684c3009c4eef1747b132505edb6d28ef2961fe52422a10ef1fed61caa84c</t>
        </is>
      </c>
    </row>
    <row r="2106">
      <c r="A2106" t="inlineStr">
        <is>
          <t>附表9</t>
        </is>
      </c>
      <c r="B2106" t="inlineStr">
        <is>
          <t>D43</t>
        </is>
      </c>
      <c r="C2106" t="inlineStr">
        <is>
          <t>'='附表6'!B38</t>
        </is>
      </c>
      <c r="D2106" t="inlineStr">
        <is>
          <t>5002d2fe79edd18318a1bb06fac5043c086b81d8f01c16d3acdaf8a40874d4f1</t>
        </is>
      </c>
    </row>
    <row r="2107">
      <c r="A2107" t="inlineStr">
        <is>
          <t>附表9</t>
        </is>
      </c>
      <c r="B2107" t="inlineStr">
        <is>
          <t>E43</t>
        </is>
      </c>
      <c r="C2107" t="inlineStr">
        <is>
          <t>'='附表5'!E38</t>
        </is>
      </c>
      <c r="D2107" t="inlineStr">
        <is>
          <t>a8b7a8ebfa1da50d48246d72ddf0a7642f41b159fbbe64fca4d867bc105bf241</t>
        </is>
      </c>
    </row>
    <row r="2108">
      <c r="A2108" t="inlineStr">
        <is>
          <t>附表9</t>
        </is>
      </c>
      <c r="B2108" t="inlineStr">
        <is>
          <t>F43</t>
        </is>
      </c>
      <c r="C2108" t="inlineStr">
        <is>
          <t>'='附表5'!I38</t>
        </is>
      </c>
      <c r="D2108" t="inlineStr">
        <is>
          <t>87ed0da12226bbecc374021498efe74a81906a9ac6f6cb8a71c1a7868b83d3f7</t>
        </is>
      </c>
    </row>
    <row r="2109">
      <c r="A2109" t="inlineStr">
        <is>
          <t>附表9</t>
        </is>
      </c>
      <c r="B2109" t="inlineStr">
        <is>
          <t>J43</t>
        </is>
      </c>
      <c r="C2109" t="inlineStr">
        <is>
          <t>'=C43-D43-E43-F43-G43-H43+I43</t>
        </is>
      </c>
      <c r="D2109" t="inlineStr">
        <is>
          <t>e1e344fb7e56b069b6c01f1bc61ad92cf73d1f569ddc09276d2df933ac4103a8</t>
        </is>
      </c>
    </row>
    <row r="2110">
      <c r="A2110" t="inlineStr">
        <is>
          <t>附表9</t>
        </is>
      </c>
      <c r="B2110" t="inlineStr">
        <is>
          <t>K43</t>
        </is>
      </c>
      <c r="C2110" t="inlineStr">
        <is>
          <t>'=K42+J43</t>
        </is>
      </c>
      <c r="D2110" t="inlineStr">
        <is>
          <t>b0becf23e761b2db80f225c80d29012ed419691d38f864d38b4884916300464b</t>
        </is>
      </c>
    </row>
    <row r="2111">
      <c r="A2111" t="inlineStr">
        <is>
          <t>附表9</t>
        </is>
      </c>
      <c r="B2111" t="inlineStr">
        <is>
          <t>C44</t>
        </is>
      </c>
      <c r="C2111" t="inlineStr">
        <is>
          <t>'='附表5'!B39</t>
        </is>
      </c>
      <c r="D2111" t="inlineStr">
        <is>
          <t>d37572eb2008ca9700623753d2e0b91fa9c8d91c5e6f7ca5c61a8386008c1622</t>
        </is>
      </c>
    </row>
    <row r="2112">
      <c r="A2112" t="inlineStr">
        <is>
          <t>附表9</t>
        </is>
      </c>
      <c r="B2112" t="inlineStr">
        <is>
          <t>D44</t>
        </is>
      </c>
      <c r="C2112" t="inlineStr">
        <is>
          <t>'='附表6'!B39</t>
        </is>
      </c>
      <c r="D2112" t="inlineStr">
        <is>
          <t>62f2c5ade567a9cf9141f862fa43f639e55b1f483721bbbb535d28c544c0c56d</t>
        </is>
      </c>
    </row>
    <row r="2113">
      <c r="A2113" t="inlineStr">
        <is>
          <t>附表9</t>
        </is>
      </c>
      <c r="B2113" t="inlineStr">
        <is>
          <t>E44</t>
        </is>
      </c>
      <c r="C2113" t="inlineStr">
        <is>
          <t>'='附表5'!E39</t>
        </is>
      </c>
      <c r="D2113" t="inlineStr">
        <is>
          <t>69dc6485122c5d2a165d7dacb09eef7f71cdd864206bb7d0d2e33c5b3fb92863</t>
        </is>
      </c>
    </row>
    <row r="2114">
      <c r="A2114" t="inlineStr">
        <is>
          <t>附表9</t>
        </is>
      </c>
      <c r="B2114" t="inlineStr">
        <is>
          <t>F44</t>
        </is>
      </c>
      <c r="C2114" t="inlineStr">
        <is>
          <t>'='附表5'!I39</t>
        </is>
      </c>
      <c r="D2114" t="inlineStr">
        <is>
          <t>147658c1e63d7c06c6c70559adccf2607581bb46b64c2072efbc5e802fda63fd</t>
        </is>
      </c>
    </row>
    <row r="2115">
      <c r="A2115" t="inlineStr">
        <is>
          <t>附表9</t>
        </is>
      </c>
      <c r="B2115" t="inlineStr">
        <is>
          <t>J44</t>
        </is>
      </c>
      <c r="C2115" t="inlineStr">
        <is>
          <t>'=C44-D44-E44-F44-G44-H44+I44</t>
        </is>
      </c>
      <c r="D2115" t="inlineStr">
        <is>
          <t>1364ddcdf8cf4cb92fc233a6f9c9741e8c1544de0238a11af68af9342f902e83</t>
        </is>
      </c>
    </row>
    <row r="2116">
      <c r="A2116" t="inlineStr">
        <is>
          <t>附表9</t>
        </is>
      </c>
      <c r="B2116" t="inlineStr">
        <is>
          <t>K44</t>
        </is>
      </c>
      <c r="C2116" t="inlineStr">
        <is>
          <t>'=K43+J44</t>
        </is>
      </c>
      <c r="D2116" t="inlineStr">
        <is>
          <t>50b7e2b6c6a87ff8098f82bfba9936b65ad2f1f79c89fd3792b44b188c0bc1ae</t>
        </is>
      </c>
    </row>
    <row r="2117">
      <c r="A2117" t="inlineStr">
        <is>
          <t>附表9</t>
        </is>
      </c>
      <c r="B2117" t="inlineStr">
        <is>
          <t>B51</t>
        </is>
      </c>
      <c r="C2117" t="inlineStr">
        <is>
          <t>'='附表9'!C20</t>
        </is>
      </c>
      <c r="D2117" t="inlineStr">
        <is>
          <t>1576a270537f90a11600019bad08e8c09836aeaac2d3079050eef030196f450e</t>
        </is>
      </c>
    </row>
    <row r="2118">
      <c r="A2118" t="inlineStr">
        <is>
          <t>附表9</t>
        </is>
      </c>
      <c r="B2118" t="inlineStr">
        <is>
          <t>C51</t>
        </is>
      </c>
      <c r="C2118" t="inlineStr">
        <is>
          <t>'='附表9'!C21</t>
        </is>
      </c>
      <c r="D2118" t="inlineStr">
        <is>
          <t>f5369638e4f3e22fe23fd53c7dbb21aabe6871d6d82a58cd981707dfd33d28cc</t>
        </is>
      </c>
    </row>
    <row r="2119">
      <c r="A2119" t="inlineStr">
        <is>
          <t>附表9</t>
        </is>
      </c>
      <c r="B2119" t="inlineStr">
        <is>
          <t>D51</t>
        </is>
      </c>
      <c r="C2119" t="inlineStr">
        <is>
          <t>'='附表9'!C22</t>
        </is>
      </c>
      <c r="D2119" t="inlineStr">
        <is>
          <t>d5d2ff59db778a9c59cde41ed8c7ad773b15aa5b3a78ffeb6e34c0ac193366ef</t>
        </is>
      </c>
    </row>
    <row r="2120">
      <c r="A2120" t="inlineStr">
        <is>
          <t>附表9</t>
        </is>
      </c>
      <c r="B2120" t="inlineStr">
        <is>
          <t>E51</t>
        </is>
      </c>
      <c r="C2120" t="inlineStr">
        <is>
          <t>'='附表9'!C23</t>
        </is>
      </c>
      <c r="D2120" t="inlineStr">
        <is>
          <t>e28a8d52c996b51999cbd8c1e685401b54ca5f702383a981918ad7439da5bee9</t>
        </is>
      </c>
    </row>
    <row r="2121">
      <c r="A2121" t="inlineStr">
        <is>
          <t>附表9</t>
        </is>
      </c>
      <c r="B2121" t="inlineStr">
        <is>
          <t>F51</t>
        </is>
      </c>
      <c r="C2121" t="inlineStr">
        <is>
          <t>'='附表9'!C24</t>
        </is>
      </c>
      <c r="D2121" t="inlineStr">
        <is>
          <t>92b33a584630302c26990134f843e94b174f5b617c83c22cee9e10b3cdd671d1</t>
        </is>
      </c>
    </row>
    <row r="2122">
      <c r="A2122" t="inlineStr">
        <is>
          <t>附表9</t>
        </is>
      </c>
      <c r="B2122" t="inlineStr">
        <is>
          <t>G51</t>
        </is>
      </c>
      <c r="C2122" t="inlineStr">
        <is>
          <t>'='附表9'!C25</t>
        </is>
      </c>
      <c r="D2122" t="inlineStr">
        <is>
          <t>6809a3ad37efccc5a136483a25b6768c4e04e92f0b27242f9598aa0b3284a4f6</t>
        </is>
      </c>
    </row>
    <row r="2123">
      <c r="A2123" t="inlineStr">
        <is>
          <t>附表9</t>
        </is>
      </c>
      <c r="B2123" t="inlineStr">
        <is>
          <t>H51</t>
        </is>
      </c>
      <c r="C2123" t="inlineStr">
        <is>
          <t>'='附表9'!C26</t>
        </is>
      </c>
      <c r="D2123" t="inlineStr">
        <is>
          <t>7ec0e94c3fabbc1b6b17ddc15766dbc539f9142850e8d6d9c6ee1d13e641b7db</t>
        </is>
      </c>
    </row>
    <row r="2124">
      <c r="A2124" t="inlineStr">
        <is>
          <t>附表9</t>
        </is>
      </c>
      <c r="B2124" t="inlineStr">
        <is>
          <t>I51</t>
        </is>
      </c>
      <c r="C2124" t="inlineStr">
        <is>
          <t>'='附表9'!C27</t>
        </is>
      </c>
      <c r="D2124" t="inlineStr">
        <is>
          <t>b2257c8454a8644ddd09c094a6192b80776adcb51e6a17dd1aebc32a9eb782f6</t>
        </is>
      </c>
    </row>
    <row r="2125">
      <c r="A2125" t="inlineStr">
        <is>
          <t>附表9</t>
        </is>
      </c>
      <c r="B2125" t="inlineStr">
        <is>
          <t>J51</t>
        </is>
      </c>
      <c r="C2125" t="inlineStr">
        <is>
          <t>'='附表9'!C28</t>
        </is>
      </c>
      <c r="D2125" t="inlineStr">
        <is>
          <t>535b71e57e56f385e812e4119f81a9fe76f4f399a4c8379ec7282435c4e9e142</t>
        </is>
      </c>
    </row>
    <row r="2126">
      <c r="A2126" t="inlineStr">
        <is>
          <t>附表9</t>
        </is>
      </c>
      <c r="B2126" t="inlineStr">
        <is>
          <t>K51</t>
        </is>
      </c>
      <c r="C2126" t="inlineStr">
        <is>
          <t>'='附表9'!C29</t>
        </is>
      </c>
      <c r="D2126" t="inlineStr">
        <is>
          <t>1e224c54982646326ccbe8579f54e9af7ae922b31e607c27cd959077d2713148</t>
        </is>
      </c>
    </row>
    <row r="2127">
      <c r="A2127" t="inlineStr">
        <is>
          <t>附表9</t>
        </is>
      </c>
      <c r="B2127" t="inlineStr">
        <is>
          <t>L51</t>
        </is>
      </c>
      <c r="C2127" t="inlineStr">
        <is>
          <t>'='附表9'!C30</t>
        </is>
      </c>
      <c r="D2127" t="inlineStr">
        <is>
          <t>83582c4bec9f631c4213976b8f3af73818caa28a6fc0d7301d8c1fa2164f6033</t>
        </is>
      </c>
    </row>
    <row r="2128">
      <c r="A2128" t="inlineStr">
        <is>
          <t>附表9</t>
        </is>
      </c>
      <c r="B2128" t="inlineStr">
        <is>
          <t>M51</t>
        </is>
      </c>
      <c r="C2128" t="inlineStr">
        <is>
          <t>'='附表9'!C31</t>
        </is>
      </c>
      <c r="D2128" t="inlineStr">
        <is>
          <t>a8481a0a8336f338036238b1d632bfa72353c49875d77d7e8f75ecacc766a167</t>
        </is>
      </c>
    </row>
    <row r="2129">
      <c r="A2129" t="inlineStr">
        <is>
          <t>附表9</t>
        </is>
      </c>
      <c r="B2129" t="inlineStr">
        <is>
          <t>N51</t>
        </is>
      </c>
      <c r="C2129" t="inlineStr">
        <is>
          <t>'='附表9'!C32</t>
        </is>
      </c>
      <c r="D2129" t="inlineStr">
        <is>
          <t>a1077403c1c454ade4672a1464c1d53e233ce023d6ac44899cc91f0c91fc5423</t>
        </is>
      </c>
    </row>
    <row r="2130">
      <c r="A2130" t="inlineStr">
        <is>
          <t>附表9</t>
        </is>
      </c>
      <c r="B2130" t="inlineStr">
        <is>
          <t>O51</t>
        </is>
      </c>
      <c r="C2130" t="inlineStr">
        <is>
          <t>'='附表9'!C33</t>
        </is>
      </c>
      <c r="D2130" t="inlineStr">
        <is>
          <t>59ecdf669c854661fcb107caa592a41b9cae62e47ee7f893d6ee203a3c311ba6</t>
        </is>
      </c>
    </row>
    <row r="2131">
      <c r="A2131" t="inlineStr">
        <is>
          <t>附表9</t>
        </is>
      </c>
      <c r="B2131" t="inlineStr">
        <is>
          <t>P51</t>
        </is>
      </c>
      <c r="C2131" t="inlineStr">
        <is>
          <t>'='附表9'!C34</t>
        </is>
      </c>
      <c r="D2131" t="inlineStr">
        <is>
          <t>4e6e4eab91278532822ed72d5b08a888d922ebc4dd1a16300ed768a2db432af2</t>
        </is>
      </c>
    </row>
    <row r="2132">
      <c r="A2132" t="inlineStr">
        <is>
          <t>附表9</t>
        </is>
      </c>
      <c r="B2132" t="inlineStr">
        <is>
          <t>Q51</t>
        </is>
      </c>
      <c r="C2132" t="inlineStr">
        <is>
          <t>'='附表9'!C35</t>
        </is>
      </c>
      <c r="D2132" t="inlineStr">
        <is>
          <t>8f830ea051bd1229f4a729c11b78a95e843c172823e9eb2ef667e4ba0878f3b4</t>
        </is>
      </c>
    </row>
    <row r="2133">
      <c r="A2133" t="inlineStr">
        <is>
          <t>附表9</t>
        </is>
      </c>
      <c r="B2133" t="inlineStr">
        <is>
          <t>R51</t>
        </is>
      </c>
      <c r="C2133" t="inlineStr">
        <is>
          <t>'='附表9'!C36</t>
        </is>
      </c>
      <c r="D2133" t="inlineStr">
        <is>
          <t>cd7f235ddce479234b08e015d8cf4f02609d7128be428dcb5ef208fe2f1d114b</t>
        </is>
      </c>
    </row>
    <row r="2134">
      <c r="A2134" t="inlineStr">
        <is>
          <t>附表9</t>
        </is>
      </c>
      <c r="B2134" t="inlineStr">
        <is>
          <t>S51</t>
        </is>
      </c>
      <c r="C2134" t="inlineStr">
        <is>
          <t>'='附表9'!C37</t>
        </is>
      </c>
      <c r="D2134" t="inlineStr">
        <is>
          <t>514de37ca2a7134769209d12227177e2b82650c8081695db47c6a76d6a1fcba4</t>
        </is>
      </c>
    </row>
    <row r="2135">
      <c r="A2135" t="inlineStr">
        <is>
          <t>附表9</t>
        </is>
      </c>
      <c r="B2135" t="inlineStr">
        <is>
          <t>T51</t>
        </is>
      </c>
      <c r="C2135" t="inlineStr">
        <is>
          <t>'='附表9'!C38</t>
        </is>
      </c>
      <c r="D2135" t="inlineStr">
        <is>
          <t>c85935b032986ab116f67a51c261738ed63de8e9d7e5d1c8247e8e0726c3da54</t>
        </is>
      </c>
    </row>
    <row r="2136">
      <c r="A2136" t="inlineStr">
        <is>
          <t>附表9</t>
        </is>
      </c>
      <c r="B2136" t="inlineStr">
        <is>
          <t>U51</t>
        </is>
      </c>
      <c r="C2136" t="inlineStr">
        <is>
          <t>'='附表9'!C39</t>
        </is>
      </c>
      <c r="D2136" t="inlineStr">
        <is>
          <t>c6c35206701b303331187f1fac020d23d540c8296a164e525aa886373f150319</t>
        </is>
      </c>
    </row>
    <row r="2137">
      <c r="A2137" t="inlineStr">
        <is>
          <t>附表9</t>
        </is>
      </c>
      <c r="B2137" t="inlineStr">
        <is>
          <t>V51</t>
        </is>
      </c>
      <c r="C2137" t="inlineStr">
        <is>
          <t>'='附表9'!C40</t>
        </is>
      </c>
      <c r="D2137" t="inlineStr">
        <is>
          <t>b2ce45bb8e50cc48a206bb77ebd0ade01ae1de242b9df1f228a7e0ddee26aa7a</t>
        </is>
      </c>
    </row>
    <row r="2138">
      <c r="A2138" t="inlineStr">
        <is>
          <t>附表9</t>
        </is>
      </c>
      <c r="B2138" t="inlineStr">
        <is>
          <t>W51</t>
        </is>
      </c>
      <c r="C2138" t="inlineStr">
        <is>
          <t>'='附表9'!C41</t>
        </is>
      </c>
      <c r="D2138" t="inlineStr">
        <is>
          <t>10a67f452a85f5823fb88bbc56bf1a2447aef5c9fae489dd2e8682c47e9ca4d3</t>
        </is>
      </c>
    </row>
    <row r="2139">
      <c r="A2139" t="inlineStr">
        <is>
          <t>附表9</t>
        </is>
      </c>
      <c r="B2139" t="inlineStr">
        <is>
          <t>X51</t>
        </is>
      </c>
      <c r="C2139" t="inlineStr">
        <is>
          <t>'='附表9'!C42</t>
        </is>
      </c>
      <c r="D2139" t="inlineStr">
        <is>
          <t>35c91b0b9ce90e4950ddaf3341ab0f16528d2a2b1fcf6d5e45571614e7888f2d</t>
        </is>
      </c>
    </row>
    <row r="2140">
      <c r="A2140" t="inlineStr">
        <is>
          <t>附表9</t>
        </is>
      </c>
      <c r="B2140" t="inlineStr">
        <is>
          <t>Y51</t>
        </is>
      </c>
      <c r="C2140" t="inlineStr">
        <is>
          <t>'='附表9'!C43</t>
        </is>
      </c>
      <c r="D2140" t="inlineStr">
        <is>
          <t>43f78b27c749e8615694b15f15fb654f9017f9c0df0a80eef0fbbe11d15a3249</t>
        </is>
      </c>
    </row>
    <row r="2141">
      <c r="A2141" t="inlineStr">
        <is>
          <t>附表9</t>
        </is>
      </c>
      <c r="B2141" t="inlineStr">
        <is>
          <t>Z51</t>
        </is>
      </c>
      <c r="C2141" t="inlineStr">
        <is>
          <t>'='附表9'!C44</t>
        </is>
      </c>
      <c r="D2141" t="inlineStr">
        <is>
          <t>4f0d09c0069ad84e2ed6f1b84ec58c1bd70b797497e8f47c4659e2724005d903</t>
        </is>
      </c>
    </row>
    <row r="2142">
      <c r="A2142" t="inlineStr">
        <is>
          <t>附表9</t>
        </is>
      </c>
      <c r="B2142" t="inlineStr">
        <is>
          <t>B52</t>
        </is>
      </c>
      <c r="C2142" t="inlineStr">
        <is>
          <t>'='附表9'!I20</t>
        </is>
      </c>
      <c r="D2142" t="inlineStr">
        <is>
          <t>7559057ee7c19e2a47260a983fe9b50210e6d7c5c14003524b17448b91d5629e</t>
        </is>
      </c>
    </row>
    <row r="2143">
      <c r="A2143" t="inlineStr">
        <is>
          <t>附表9</t>
        </is>
      </c>
      <c r="B2143" t="inlineStr">
        <is>
          <t>C52</t>
        </is>
      </c>
      <c r="C2143" t="inlineStr">
        <is>
          <t>'='附表9'!I21</t>
        </is>
      </c>
      <c r="D2143" t="inlineStr">
        <is>
          <t>1bd79954923f0de7852cec2c56ee53ffa29a57a09543b42ac5cd1ae0e2bf1a86</t>
        </is>
      </c>
    </row>
    <row r="2144">
      <c r="A2144" t="inlineStr">
        <is>
          <t>附表9</t>
        </is>
      </c>
      <c r="B2144" t="inlineStr">
        <is>
          <t>D52</t>
        </is>
      </c>
      <c r="C2144" t="inlineStr">
        <is>
          <t>'='附表9'!I22</t>
        </is>
      </c>
      <c r="D2144" t="inlineStr">
        <is>
          <t>9d235cf52f79e1fd139541d16f21dc584a0e3cc2229baf32d19ce73b888b6908</t>
        </is>
      </c>
    </row>
    <row r="2145">
      <c r="A2145" t="inlineStr">
        <is>
          <t>附表9</t>
        </is>
      </c>
      <c r="B2145" t="inlineStr">
        <is>
          <t>E52</t>
        </is>
      </c>
      <c r="C2145" t="inlineStr">
        <is>
          <t>'='附表9'!I23</t>
        </is>
      </c>
      <c r="D2145" t="inlineStr">
        <is>
          <t>44bc6874d02900c5b1103481fa524a6ad783fe0367e568b2c1a76ec3e7aac512</t>
        </is>
      </c>
    </row>
    <row r="2146">
      <c r="A2146" t="inlineStr">
        <is>
          <t>附表9</t>
        </is>
      </c>
      <c r="B2146" t="inlineStr">
        <is>
          <t>F52</t>
        </is>
      </c>
      <c r="C2146" t="inlineStr">
        <is>
          <t>'='附表9'!I24</t>
        </is>
      </c>
      <c r="D2146" t="inlineStr">
        <is>
          <t>575e47ab67e33f38ee970a26ac05928044c16a5582f9fb682d7bf3ed4690dc3a</t>
        </is>
      </c>
    </row>
    <row r="2147">
      <c r="A2147" t="inlineStr">
        <is>
          <t>附表9</t>
        </is>
      </c>
      <c r="B2147" t="inlineStr">
        <is>
          <t>G52</t>
        </is>
      </c>
      <c r="C2147" t="inlineStr">
        <is>
          <t>'='附表9'!I25</t>
        </is>
      </c>
      <c r="D2147" t="inlineStr">
        <is>
          <t>a03437f81c55adc934c028a17f577280173eb547eab28098b15283733fed078f</t>
        </is>
      </c>
    </row>
    <row r="2148">
      <c r="A2148" t="inlineStr">
        <is>
          <t>附表9</t>
        </is>
      </c>
      <c r="B2148" t="inlineStr">
        <is>
          <t>H52</t>
        </is>
      </c>
      <c r="C2148" t="inlineStr">
        <is>
          <t>'='附表9'!I26</t>
        </is>
      </c>
      <c r="D2148" t="inlineStr">
        <is>
          <t>b0ff7ffc81869733e98fb2fe83705828a78e390b153b347b2e70281eee9ee502</t>
        </is>
      </c>
    </row>
    <row r="2149">
      <c r="A2149" t="inlineStr">
        <is>
          <t>附表9</t>
        </is>
      </c>
      <c r="B2149" t="inlineStr">
        <is>
          <t>I52</t>
        </is>
      </c>
      <c r="C2149" t="inlineStr">
        <is>
          <t>'='附表9'!I27</t>
        </is>
      </c>
      <c r="D2149" t="inlineStr">
        <is>
          <t>94eaea062e9f0dfab391bc84ecff148cf7d745502c20f1bd6802f89510f3af11</t>
        </is>
      </c>
    </row>
    <row r="2150">
      <c r="A2150" t="inlineStr">
        <is>
          <t>附表9</t>
        </is>
      </c>
      <c r="B2150" t="inlineStr">
        <is>
          <t>J52</t>
        </is>
      </c>
      <c r="C2150" t="inlineStr">
        <is>
          <t>'='附表9'!I28</t>
        </is>
      </c>
      <c r="D2150" t="inlineStr">
        <is>
          <t>5aff3eea43558c17848d7ebc5d5d200cfa3e2a46ddd8dd9d8d7112b573121924</t>
        </is>
      </c>
    </row>
    <row r="2151">
      <c r="A2151" t="inlineStr">
        <is>
          <t>附表9</t>
        </is>
      </c>
      <c r="B2151" t="inlineStr">
        <is>
          <t>K52</t>
        </is>
      </c>
      <c r="C2151" t="inlineStr">
        <is>
          <t>'='附表9'!I29</t>
        </is>
      </c>
      <c r="D2151" t="inlineStr">
        <is>
          <t>2fe1159f0d49e03037e8718255d29057adde3d560e920b87d8304a9a7dfb0693</t>
        </is>
      </c>
    </row>
    <row r="2152">
      <c r="A2152" t="inlineStr">
        <is>
          <t>附表9</t>
        </is>
      </c>
      <c r="B2152" t="inlineStr">
        <is>
          <t>L52</t>
        </is>
      </c>
      <c r="C2152" t="inlineStr">
        <is>
          <t>'='附表9'!I30</t>
        </is>
      </c>
      <c r="D2152" t="inlineStr">
        <is>
          <t>90ff3e292c51d0bd558306e18710dd3a27ff8a616cc0db8ba1accd467dd3e8cd</t>
        </is>
      </c>
    </row>
    <row r="2153">
      <c r="A2153" t="inlineStr">
        <is>
          <t>附表9</t>
        </is>
      </c>
      <c r="B2153" t="inlineStr">
        <is>
          <t>M52</t>
        </is>
      </c>
      <c r="C2153" t="inlineStr">
        <is>
          <t>'='附表9'!I31</t>
        </is>
      </c>
      <c r="D2153" t="inlineStr">
        <is>
          <t>bbeefdc02579521593bf7494e414f69ba45312034bd07a24e98cb31c948ac876</t>
        </is>
      </c>
    </row>
    <row r="2154">
      <c r="A2154" t="inlineStr">
        <is>
          <t>附表9</t>
        </is>
      </c>
      <c r="B2154" t="inlineStr">
        <is>
          <t>N52</t>
        </is>
      </c>
      <c r="C2154" t="inlineStr">
        <is>
          <t>'='附表9'!I32</t>
        </is>
      </c>
      <c r="D2154" t="inlineStr">
        <is>
          <t>c6ef455336e873c28a1be10c1857397c9777bb13b99a5ddda63406f4d4f3d237</t>
        </is>
      </c>
    </row>
    <row r="2155">
      <c r="A2155" t="inlineStr">
        <is>
          <t>附表9</t>
        </is>
      </c>
      <c r="B2155" t="inlineStr">
        <is>
          <t>O52</t>
        </is>
      </c>
      <c r="C2155" t="inlineStr">
        <is>
          <t>'='附表9'!I33</t>
        </is>
      </c>
      <c r="D2155" t="inlineStr">
        <is>
          <t>9c2415dd286c1a7466837fe717f3075e02669e629774ac8bbe54c9969d8881d4</t>
        </is>
      </c>
    </row>
    <row r="2156">
      <c r="A2156" t="inlineStr">
        <is>
          <t>附表9</t>
        </is>
      </c>
      <c r="B2156" t="inlineStr">
        <is>
          <t>P52</t>
        </is>
      </c>
      <c r="C2156" t="inlineStr">
        <is>
          <t>'='附表9'!I34</t>
        </is>
      </c>
      <c r="D2156" t="inlineStr">
        <is>
          <t>8f8e7e13de5175aed58072331fc8ce4a93865369150f137400c3bb24192244b6</t>
        </is>
      </c>
    </row>
    <row r="2157">
      <c r="A2157" t="inlineStr">
        <is>
          <t>附表9</t>
        </is>
      </c>
      <c r="B2157" t="inlineStr">
        <is>
          <t>Q52</t>
        </is>
      </c>
      <c r="C2157" t="inlineStr">
        <is>
          <t>'='附表9'!I35</t>
        </is>
      </c>
      <c r="D2157" t="inlineStr">
        <is>
          <t>b001b37fbe94a545c1e03c4256360c77f52991be28b11cc540159b8012cb586e</t>
        </is>
      </c>
    </row>
    <row r="2158">
      <c r="A2158" t="inlineStr">
        <is>
          <t>附表9</t>
        </is>
      </c>
      <c r="B2158" t="inlineStr">
        <is>
          <t>R52</t>
        </is>
      </c>
      <c r="C2158" t="inlineStr">
        <is>
          <t>'='附表9'!I36</t>
        </is>
      </c>
      <c r="D2158" t="inlineStr">
        <is>
          <t>c02ae242824493fc1144b7d17f748c62b237ac0ee5ac62e3e667bb6881e84bba</t>
        </is>
      </c>
    </row>
    <row r="2159">
      <c r="A2159" t="inlineStr">
        <is>
          <t>附表9</t>
        </is>
      </c>
      <c r="B2159" t="inlineStr">
        <is>
          <t>S52</t>
        </is>
      </c>
      <c r="C2159" t="inlineStr">
        <is>
          <t>'='附表9'!I37</t>
        </is>
      </c>
      <c r="D2159" t="inlineStr">
        <is>
          <t>6c3051c4233bea3fd1b29af36f90041c4148bca04dda191aa120dd697b65639a</t>
        </is>
      </c>
    </row>
    <row r="2160">
      <c r="A2160" t="inlineStr">
        <is>
          <t>附表9</t>
        </is>
      </c>
      <c r="B2160" t="inlineStr">
        <is>
          <t>T52</t>
        </is>
      </c>
      <c r="C2160" t="inlineStr">
        <is>
          <t>'='附表9'!I38</t>
        </is>
      </c>
      <c r="D2160" t="inlineStr">
        <is>
          <t>3d198a8f54bb1a91e642563f7d1f08ae4cff59304a98bcc2c44f7e2d60ff4435</t>
        </is>
      </c>
    </row>
    <row r="2161">
      <c r="A2161" t="inlineStr">
        <is>
          <t>附表9</t>
        </is>
      </c>
      <c r="B2161" t="inlineStr">
        <is>
          <t>U52</t>
        </is>
      </c>
      <c r="C2161" t="inlineStr">
        <is>
          <t>'='附表9'!I39</t>
        </is>
      </c>
      <c r="D2161" t="inlineStr">
        <is>
          <t>7b42d94a6e3b3736ab4db5ae47c940bf18477ccf760351940acbcebe312ec016</t>
        </is>
      </c>
    </row>
    <row r="2162">
      <c r="A2162" t="inlineStr">
        <is>
          <t>附表9</t>
        </is>
      </c>
      <c r="B2162" t="inlineStr">
        <is>
          <t>V52</t>
        </is>
      </c>
      <c r="C2162" t="inlineStr">
        <is>
          <t>'='附表9'!I40</t>
        </is>
      </c>
      <c r="D2162" t="inlineStr">
        <is>
          <t>59d0c097a26af21558a261094e5e644631f71a516d36e1bb3b713a0077ed5b1c</t>
        </is>
      </c>
    </row>
    <row r="2163">
      <c r="A2163" t="inlineStr">
        <is>
          <t>附表9</t>
        </is>
      </c>
      <c r="B2163" t="inlineStr">
        <is>
          <t>W52</t>
        </is>
      </c>
      <c r="C2163" t="inlineStr">
        <is>
          <t>'='附表9'!I41</t>
        </is>
      </c>
      <c r="D2163" t="inlineStr">
        <is>
          <t>6dd252d92b99e23659ebcc3180d68196a899dc998b815323b9adbcc24d06c071</t>
        </is>
      </c>
    </row>
    <row r="2164">
      <c r="A2164" t="inlineStr">
        <is>
          <t>附表9</t>
        </is>
      </c>
      <c r="B2164" t="inlineStr">
        <is>
          <t>X52</t>
        </is>
      </c>
      <c r="C2164" t="inlineStr">
        <is>
          <t>'='附表9'!I42</t>
        </is>
      </c>
      <c r="D2164" t="inlineStr">
        <is>
          <t>9191e0b840e4200b325664d27120ae77f6efcb25dc87dde9311a08b141170b8c</t>
        </is>
      </c>
    </row>
    <row r="2165">
      <c r="A2165" t="inlineStr">
        <is>
          <t>附表9</t>
        </is>
      </c>
      <c r="B2165" t="inlineStr">
        <is>
          <t>Y52</t>
        </is>
      </c>
      <c r="C2165" t="inlineStr">
        <is>
          <t>'='附表9'!I43</t>
        </is>
      </c>
      <c r="D2165" t="inlineStr">
        <is>
          <t>0aa102e41c4dd0a5b3d6970e064c8ab99f5f5ff4e1d77b95d0cd1b1a075c381f</t>
        </is>
      </c>
    </row>
    <row r="2166">
      <c r="A2166" t="inlineStr">
        <is>
          <t>附表9</t>
        </is>
      </c>
      <c r="B2166" t="inlineStr">
        <is>
          <t>Z52</t>
        </is>
      </c>
      <c r="C2166" t="inlineStr">
        <is>
          <t>'='附表9'!I44</t>
        </is>
      </c>
      <c r="D2166" t="inlineStr">
        <is>
          <t>f940dfbb70d1e84bfa02449c8f4d2c577874433a02eaf85cbb24e51f856206ab</t>
        </is>
      </c>
    </row>
    <row r="2167">
      <c r="A2167" t="inlineStr">
        <is>
          <t>附表9</t>
        </is>
      </c>
      <c r="B2167" t="inlineStr">
        <is>
          <t>B54</t>
        </is>
      </c>
      <c r="C2167" t="inlineStr">
        <is>
          <t>'='附表9'!G20</t>
        </is>
      </c>
      <c r="D2167" t="inlineStr">
        <is>
          <t>19bdfa44a5f792ba783a2df65e96a5a35ee8794962071c8d2556316e9f4485d6</t>
        </is>
      </c>
    </row>
    <row r="2168">
      <c r="A2168" t="inlineStr">
        <is>
          <t>附表9</t>
        </is>
      </c>
      <c r="B2168" t="inlineStr">
        <is>
          <t>C54</t>
        </is>
      </c>
      <c r="C2168" t="inlineStr">
        <is>
          <t>'='附表9'!G21</t>
        </is>
      </c>
      <c r="D2168" t="inlineStr">
        <is>
          <t>fb3eb4b0e03fa3b6fb330a87df6b10398fb280fc6d84b72528cd3e1438c405ec</t>
        </is>
      </c>
    </row>
    <row r="2169">
      <c r="A2169" t="inlineStr">
        <is>
          <t>附表9</t>
        </is>
      </c>
      <c r="B2169" t="inlineStr">
        <is>
          <t>D54</t>
        </is>
      </c>
      <c r="C2169" t="inlineStr">
        <is>
          <t>'='附表9'!G22</t>
        </is>
      </c>
      <c r="D2169" t="inlineStr">
        <is>
          <t>727649d6f71de590d73e66e7b588b26ac631bf39153fe19b000258b6f0885447</t>
        </is>
      </c>
    </row>
    <row r="2170">
      <c r="A2170" t="inlineStr">
        <is>
          <t>附表9</t>
        </is>
      </c>
      <c r="B2170" t="inlineStr">
        <is>
          <t>E54</t>
        </is>
      </c>
      <c r="C2170" t="inlineStr">
        <is>
          <t>'='附表9'!G23</t>
        </is>
      </c>
      <c r="D2170" t="inlineStr">
        <is>
          <t>2a4db04d5be36cb3b6d3fbf6c0608c6f9b6d14235ea6f87d517638ff0b496e25</t>
        </is>
      </c>
    </row>
    <row r="2171">
      <c r="A2171" t="inlineStr">
        <is>
          <t>附表9</t>
        </is>
      </c>
      <c r="B2171" t="inlineStr">
        <is>
          <t>F54</t>
        </is>
      </c>
      <c r="C2171" t="inlineStr">
        <is>
          <t>'='附表9'!G24</t>
        </is>
      </c>
      <c r="D2171" t="inlineStr">
        <is>
          <t>2500ce1c002fd9fdee6fd6d1b0538c53a49fb1c7c471a8f7d050114ba076d189</t>
        </is>
      </c>
    </row>
    <row r="2172">
      <c r="A2172" t="inlineStr">
        <is>
          <t>附表9</t>
        </is>
      </c>
      <c r="B2172" t="inlineStr">
        <is>
          <t>G54</t>
        </is>
      </c>
      <c r="C2172" t="inlineStr">
        <is>
          <t>'='附表9'!G25</t>
        </is>
      </c>
      <c r="D2172" t="inlineStr">
        <is>
          <t>ff716306aafe1bd322e11a6a21d7b9b54689ac8e59e5dadd9b7eda9720bbbf91</t>
        </is>
      </c>
    </row>
    <row r="2173">
      <c r="A2173" t="inlineStr">
        <is>
          <t>附表9</t>
        </is>
      </c>
      <c r="B2173" t="inlineStr">
        <is>
          <t>H54</t>
        </is>
      </c>
      <c r="C2173" t="inlineStr">
        <is>
          <t>'='附表9'!G26</t>
        </is>
      </c>
      <c r="D2173" t="inlineStr">
        <is>
          <t>6c5d27b1db5b15616fdefeb4c82fe02c1704437f0f436d03684a138c0815ce7e</t>
        </is>
      </c>
    </row>
    <row r="2174">
      <c r="A2174" t="inlineStr">
        <is>
          <t>附表9</t>
        </is>
      </c>
      <c r="B2174" t="inlineStr">
        <is>
          <t>I54</t>
        </is>
      </c>
      <c r="C2174" t="inlineStr">
        <is>
          <t>'='附表9'!G27</t>
        </is>
      </c>
      <c r="D2174" t="inlineStr">
        <is>
          <t>5130163e30778c7d5c53c4e7773f029a0ad51917b7e9f7e6624672da189fe152</t>
        </is>
      </c>
    </row>
    <row r="2175">
      <c r="A2175" t="inlineStr">
        <is>
          <t>附表9</t>
        </is>
      </c>
      <c r="B2175" t="inlineStr">
        <is>
          <t>J54</t>
        </is>
      </c>
      <c r="C2175" t="inlineStr">
        <is>
          <t>'='附表9'!G28</t>
        </is>
      </c>
      <c r="D2175" t="inlineStr">
        <is>
          <t>ae8c986ebff512a975be420c578dbd95dc164ae5dc8e7a58422e079414ac35b1</t>
        </is>
      </c>
    </row>
    <row r="2176">
      <c r="A2176" t="inlineStr">
        <is>
          <t>附表9</t>
        </is>
      </c>
      <c r="B2176" t="inlineStr">
        <is>
          <t>K54</t>
        </is>
      </c>
      <c r="C2176" t="inlineStr">
        <is>
          <t>'='附表9'!G29</t>
        </is>
      </c>
      <c r="D2176" t="inlineStr">
        <is>
          <t>464633453c52c0a7432723e2f7d566491464219ffca4a66afe28ea0b403409ff</t>
        </is>
      </c>
    </row>
    <row r="2177">
      <c r="A2177" t="inlineStr">
        <is>
          <t>附表9</t>
        </is>
      </c>
      <c r="B2177" t="inlineStr">
        <is>
          <t>L54</t>
        </is>
      </c>
      <c r="C2177" t="inlineStr">
        <is>
          <t>'='附表9'!G30</t>
        </is>
      </c>
      <c r="D2177" t="inlineStr">
        <is>
          <t>a5c7a5c16a42c1b4a2569e24872696769890250778d96a39e4f639df36b07fff</t>
        </is>
      </c>
    </row>
    <row r="2178">
      <c r="A2178" t="inlineStr">
        <is>
          <t>附表9</t>
        </is>
      </c>
      <c r="B2178" t="inlineStr">
        <is>
          <t>M54</t>
        </is>
      </c>
      <c r="C2178" t="inlineStr">
        <is>
          <t>'='附表9'!G31</t>
        </is>
      </c>
      <c r="D2178" t="inlineStr">
        <is>
          <t>4f4f3ac24e47a54a023080f8f863fea860aa78732f987b9a6084b792188ecbea</t>
        </is>
      </c>
    </row>
    <row r="2179">
      <c r="A2179" t="inlineStr">
        <is>
          <t>附表9</t>
        </is>
      </c>
      <c r="B2179" t="inlineStr">
        <is>
          <t>N54</t>
        </is>
      </c>
      <c r="C2179" t="inlineStr">
        <is>
          <t>'='附表9'!G32</t>
        </is>
      </c>
      <c r="D2179" t="inlineStr">
        <is>
          <t>630241363f50421effaff2394ddb95e49ae3c29a81925bf0e8330d7a63c7bf9a</t>
        </is>
      </c>
    </row>
    <row r="2180">
      <c r="A2180" t="inlineStr">
        <is>
          <t>附表9</t>
        </is>
      </c>
      <c r="B2180" t="inlineStr">
        <is>
          <t>O54</t>
        </is>
      </c>
      <c r="C2180" t="inlineStr">
        <is>
          <t>'='附表9'!G33</t>
        </is>
      </c>
      <c r="D2180" t="inlineStr">
        <is>
          <t>33574f2061e03e00f5080d48c6c7661527a80d931f0202bef2b0de9262ecc05e</t>
        </is>
      </c>
    </row>
    <row r="2181">
      <c r="A2181" t="inlineStr">
        <is>
          <t>附表9</t>
        </is>
      </c>
      <c r="B2181" t="inlineStr">
        <is>
          <t>P54</t>
        </is>
      </c>
      <c r="C2181" t="inlineStr">
        <is>
          <t>'='附表9'!G34</t>
        </is>
      </c>
      <c r="D2181" t="inlineStr">
        <is>
          <t>ce43f7baf918d50a8515ad10206f20e594feda32605d87036381e991aa541d76</t>
        </is>
      </c>
    </row>
    <row r="2182">
      <c r="A2182" t="inlineStr">
        <is>
          <t>附表9</t>
        </is>
      </c>
      <c r="B2182" t="inlineStr">
        <is>
          <t>Q54</t>
        </is>
      </c>
      <c r="C2182" t="inlineStr">
        <is>
          <t>'='附表9'!G35</t>
        </is>
      </c>
      <c r="D2182" t="inlineStr">
        <is>
          <t>3939826fdf4f5fabe25c255601010f33fb83c625e0144103ee536db41015a3b2</t>
        </is>
      </c>
    </row>
    <row r="2183">
      <c r="A2183" t="inlineStr">
        <is>
          <t>附表9</t>
        </is>
      </c>
      <c r="B2183" t="inlineStr">
        <is>
          <t>R54</t>
        </is>
      </c>
      <c r="C2183" t="inlineStr">
        <is>
          <t>'='附表9'!G36</t>
        </is>
      </c>
      <c r="D2183" t="inlineStr">
        <is>
          <t>f378a51ca3e9490c9445f536f2ce28ce4014fc284765df7b09e0f40402e7b3fa</t>
        </is>
      </c>
    </row>
    <row r="2184">
      <c r="A2184" t="inlineStr">
        <is>
          <t>附表9</t>
        </is>
      </c>
      <c r="B2184" t="inlineStr">
        <is>
          <t>S54</t>
        </is>
      </c>
      <c r="C2184" t="inlineStr">
        <is>
          <t>'='附表9'!G37</t>
        </is>
      </c>
      <c r="D2184" t="inlineStr">
        <is>
          <t>62ee88119b55d3958e8e0791319ee8e74576524b136a1ce6eb14177dc8b13816</t>
        </is>
      </c>
    </row>
    <row r="2185">
      <c r="A2185" t="inlineStr">
        <is>
          <t>附表9</t>
        </is>
      </c>
      <c r="B2185" t="inlineStr">
        <is>
          <t>T54</t>
        </is>
      </c>
      <c r="C2185" t="inlineStr">
        <is>
          <t>'='附表9'!G38</t>
        </is>
      </c>
      <c r="D2185" t="inlineStr">
        <is>
          <t>6b628b9167b2237ab0564dfaa801424939ed684dd8f8ff80a9bb8b40bbd9f065</t>
        </is>
      </c>
    </row>
    <row r="2186">
      <c r="A2186" t="inlineStr">
        <is>
          <t>附表9</t>
        </is>
      </c>
      <c r="B2186" t="inlineStr">
        <is>
          <t>U54</t>
        </is>
      </c>
      <c r="C2186" t="inlineStr">
        <is>
          <t>'='附表9'!G39</t>
        </is>
      </c>
      <c r="D2186" t="inlineStr">
        <is>
          <t>c0da70a177480c84fb9a0dd428396bd2e6c34496532c6809c1afe070bebac6e6</t>
        </is>
      </c>
    </row>
    <row r="2187">
      <c r="A2187" t="inlineStr">
        <is>
          <t>附表9</t>
        </is>
      </c>
      <c r="B2187" t="inlineStr">
        <is>
          <t>V54</t>
        </is>
      </c>
      <c r="C2187" t="inlineStr">
        <is>
          <t>'='附表9'!G40</t>
        </is>
      </c>
      <c r="D2187" t="inlineStr">
        <is>
          <t>ffd2e00ced216f0c2aef5aa7a32b4762827fa4084ea521a1d8fa0b3fcb666a2f</t>
        </is>
      </c>
    </row>
    <row r="2188">
      <c r="A2188" t="inlineStr">
        <is>
          <t>附表9</t>
        </is>
      </c>
      <c r="B2188" t="inlineStr">
        <is>
          <t>W54</t>
        </is>
      </c>
      <c r="C2188" t="inlineStr">
        <is>
          <t>'='附表9'!G41</t>
        </is>
      </c>
      <c r="D2188" t="inlineStr">
        <is>
          <t>bba01f52d2a190ebc0d0d33d5c0f41d55700a8ffa1fc60ad35dd2778c3c1592e</t>
        </is>
      </c>
    </row>
    <row r="2189">
      <c r="A2189" t="inlineStr">
        <is>
          <t>附表9</t>
        </is>
      </c>
      <c r="B2189" t="inlineStr">
        <is>
          <t>X54</t>
        </is>
      </c>
      <c r="C2189" t="inlineStr">
        <is>
          <t>'='附表9'!G42</t>
        </is>
      </c>
      <c r="D2189" t="inlineStr">
        <is>
          <t>04057de257a89083596181eb36e25c47aa140581630e48b33de8f7e77f08b9d5</t>
        </is>
      </c>
    </row>
    <row r="2190">
      <c r="A2190" t="inlineStr">
        <is>
          <t>附表9</t>
        </is>
      </c>
      <c r="B2190" t="inlineStr">
        <is>
          <t>Y54</t>
        </is>
      </c>
      <c r="C2190" t="inlineStr">
        <is>
          <t>'='附表9'!G43</t>
        </is>
      </c>
      <c r="D2190" t="inlineStr">
        <is>
          <t>b0de52cc8bfa55094069e1e93753c3f7b9a6c7c5bcf3167cd1edcc5ac08a7370</t>
        </is>
      </c>
    </row>
    <row r="2191">
      <c r="A2191" t="inlineStr">
        <is>
          <t>附表9</t>
        </is>
      </c>
      <c r="B2191" t="inlineStr">
        <is>
          <t>Z54</t>
        </is>
      </c>
      <c r="C2191" t="inlineStr">
        <is>
          <t>'='附表9'!G44</t>
        </is>
      </c>
      <c r="D2191" t="inlineStr">
        <is>
          <t>18df8da7651fa32db21b4b38cf136b83eb4313af1efe7754b8a68142239b7dad</t>
        </is>
      </c>
    </row>
    <row r="2192">
      <c r="A2192" t="inlineStr">
        <is>
          <t>附表9</t>
        </is>
      </c>
      <c r="B2192" t="inlineStr">
        <is>
          <t>B55</t>
        </is>
      </c>
      <c r="C2192" t="inlineStr">
        <is>
          <t>'='附表9'!H20</t>
        </is>
      </c>
      <c r="D2192" t="inlineStr">
        <is>
          <t>76c2c8235fc32c57e541bfda555c8cdd58ba4eb19cb0d734f5208d0412f58be5</t>
        </is>
      </c>
    </row>
    <row r="2193">
      <c r="A2193" t="inlineStr">
        <is>
          <t>附表9</t>
        </is>
      </c>
      <c r="B2193" t="inlineStr">
        <is>
          <t>C55</t>
        </is>
      </c>
      <c r="C2193" t="inlineStr">
        <is>
          <t>'='附表9'!H21</t>
        </is>
      </c>
      <c r="D2193" t="inlineStr">
        <is>
          <t>643039a84e7b2892a9cb48065e68d8efe8a24ad959b90797631697e020cef744</t>
        </is>
      </c>
    </row>
    <row r="2194">
      <c r="A2194" t="inlineStr">
        <is>
          <t>附表9</t>
        </is>
      </c>
      <c r="B2194" t="inlineStr">
        <is>
          <t>D55</t>
        </is>
      </c>
      <c r="C2194" t="inlineStr">
        <is>
          <t>'='附表9'!H22</t>
        </is>
      </c>
      <c r="D2194" t="inlineStr">
        <is>
          <t>80e2097f9205fd5fce637676d4716b9f9a115ebd7aa9484bc093d48821dfc8d3</t>
        </is>
      </c>
    </row>
    <row r="2195">
      <c r="A2195" t="inlineStr">
        <is>
          <t>附表9</t>
        </is>
      </c>
      <c r="B2195" t="inlineStr">
        <is>
          <t>E55</t>
        </is>
      </c>
      <c r="C2195" t="inlineStr">
        <is>
          <t>'='附表9'!H23</t>
        </is>
      </c>
      <c r="D2195" t="inlineStr">
        <is>
          <t>8a9b3540df0ab59a3d32bf9a4c69eaf39cfd3f04f73f72beaf18fb630540d7ca</t>
        </is>
      </c>
    </row>
    <row r="2196">
      <c r="A2196" t="inlineStr">
        <is>
          <t>附表9</t>
        </is>
      </c>
      <c r="B2196" t="inlineStr">
        <is>
          <t>F55</t>
        </is>
      </c>
      <c r="C2196" t="inlineStr">
        <is>
          <t>'='附表9'!H24</t>
        </is>
      </c>
      <c r="D2196" t="inlineStr">
        <is>
          <t>c26237c0c5ebfe82597217de88237885bfa8f2a61b4c14a8c4eeacb492a42e36</t>
        </is>
      </c>
    </row>
    <row r="2197">
      <c r="A2197" t="inlineStr">
        <is>
          <t>附表9</t>
        </is>
      </c>
      <c r="B2197" t="inlineStr">
        <is>
          <t>G55</t>
        </is>
      </c>
      <c r="C2197" t="inlineStr">
        <is>
          <t>'='附表9'!H25</t>
        </is>
      </c>
      <c r="D2197" t="inlineStr">
        <is>
          <t>f703737c370f19506bd46c1899bdf0c32612604b28ea30c786ede6e8c7110df5</t>
        </is>
      </c>
    </row>
    <row r="2198">
      <c r="A2198" t="inlineStr">
        <is>
          <t>附表9</t>
        </is>
      </c>
      <c r="B2198" t="inlineStr">
        <is>
          <t>H55</t>
        </is>
      </c>
      <c r="C2198" t="inlineStr">
        <is>
          <t>'='附表9'!H26</t>
        </is>
      </c>
      <c r="D2198" t="inlineStr">
        <is>
          <t>b4f1b2a00ee7a61fe0f6a915a456b753aa2df1685fc294f7aac043c78d9359df</t>
        </is>
      </c>
    </row>
    <row r="2199">
      <c r="A2199" t="inlineStr">
        <is>
          <t>附表9</t>
        </is>
      </c>
      <c r="B2199" t="inlineStr">
        <is>
          <t>I55</t>
        </is>
      </c>
      <c r="C2199" t="inlineStr">
        <is>
          <t>'='附表9'!H27</t>
        </is>
      </c>
      <c r="D2199" t="inlineStr">
        <is>
          <t>212fb9b7efe75678041bca97eeb0ed138f08a8777720ca7fb9772a77b332b9a7</t>
        </is>
      </c>
    </row>
    <row r="2200">
      <c r="A2200" t="inlineStr">
        <is>
          <t>附表9</t>
        </is>
      </c>
      <c r="B2200" t="inlineStr">
        <is>
          <t>J55</t>
        </is>
      </c>
      <c r="C2200" t="inlineStr">
        <is>
          <t>'='附表9'!H28</t>
        </is>
      </c>
      <c r="D2200" t="inlineStr">
        <is>
          <t>2cb478b85ffac6d83fcbdb4a30302fc20741fb902188492827c3cca030d73ac2</t>
        </is>
      </c>
    </row>
    <row r="2201">
      <c r="A2201" t="inlineStr">
        <is>
          <t>附表9</t>
        </is>
      </c>
      <c r="B2201" t="inlineStr">
        <is>
          <t>K55</t>
        </is>
      </c>
      <c r="C2201" t="inlineStr">
        <is>
          <t>'='附表9'!H29</t>
        </is>
      </c>
      <c r="D2201" t="inlineStr">
        <is>
          <t>81e39cab90b459eb497a2f29191733acb720f1e1b5193f6a069d130956715f7e</t>
        </is>
      </c>
    </row>
    <row r="2202">
      <c r="A2202" t="inlineStr">
        <is>
          <t>附表9</t>
        </is>
      </c>
      <c r="B2202" t="inlineStr">
        <is>
          <t>L55</t>
        </is>
      </c>
      <c r="C2202" t="inlineStr">
        <is>
          <t>'='附表9'!H30</t>
        </is>
      </c>
      <c r="D2202" t="inlineStr">
        <is>
          <t>c69162170f62a410979e258a8802c070cfe65e03258b4a42268d2bbc56ebed32</t>
        </is>
      </c>
    </row>
    <row r="2203">
      <c r="A2203" t="inlineStr">
        <is>
          <t>附表9</t>
        </is>
      </c>
      <c r="B2203" t="inlineStr">
        <is>
          <t>M55</t>
        </is>
      </c>
      <c r="C2203" t="inlineStr">
        <is>
          <t>'='附表9'!H31</t>
        </is>
      </c>
      <c r="D2203" t="inlineStr">
        <is>
          <t>6fbba5ec8cf4f46df815ea63fdc8ce7951cccb2538333c51337c021dc272e4a5</t>
        </is>
      </c>
    </row>
    <row r="2204">
      <c r="A2204" t="inlineStr">
        <is>
          <t>附表9</t>
        </is>
      </c>
      <c r="B2204" t="inlineStr">
        <is>
          <t>N55</t>
        </is>
      </c>
      <c r="C2204" t="inlineStr">
        <is>
          <t>'='附表9'!H32</t>
        </is>
      </c>
      <c r="D2204" t="inlineStr">
        <is>
          <t>267561fcb09dfcb9f1b89c1a498353c8eaed1023bb85d0a8cb980b60559d1f8b</t>
        </is>
      </c>
    </row>
    <row r="2205">
      <c r="A2205" t="inlineStr">
        <is>
          <t>附表9</t>
        </is>
      </c>
      <c r="B2205" t="inlineStr">
        <is>
          <t>O55</t>
        </is>
      </c>
      <c r="C2205" t="inlineStr">
        <is>
          <t>'='附表9'!H33</t>
        </is>
      </c>
      <c r="D2205" t="inlineStr">
        <is>
          <t>c743e2994e01c87ef8f2451946b121bdaca449f6509f6fb91d3da0c00c1c73e9</t>
        </is>
      </c>
    </row>
    <row r="2206">
      <c r="A2206" t="inlineStr">
        <is>
          <t>附表9</t>
        </is>
      </c>
      <c r="B2206" t="inlineStr">
        <is>
          <t>P55</t>
        </is>
      </c>
      <c r="C2206" t="inlineStr">
        <is>
          <t>'='附表9'!H34</t>
        </is>
      </c>
      <c r="D2206" t="inlineStr">
        <is>
          <t>45c4cd6a5018be06f5bd81e79fc3cf9a597f5014a9e7bc362ade74146b913128</t>
        </is>
      </c>
    </row>
    <row r="2207">
      <c r="A2207" t="inlineStr">
        <is>
          <t>附表9</t>
        </is>
      </c>
      <c r="B2207" t="inlineStr">
        <is>
          <t>Q55</t>
        </is>
      </c>
      <c r="C2207" t="inlineStr">
        <is>
          <t>'='附表9'!H35</t>
        </is>
      </c>
      <c r="D2207" t="inlineStr">
        <is>
          <t>52800877b6db4d34e6b40eff4d1fa7115ad6df2c62f7b391599f5f99ca839a17</t>
        </is>
      </c>
    </row>
    <row r="2208">
      <c r="A2208" t="inlineStr">
        <is>
          <t>附表9</t>
        </is>
      </c>
      <c r="B2208" t="inlineStr">
        <is>
          <t>R55</t>
        </is>
      </c>
      <c r="C2208" t="inlineStr">
        <is>
          <t>'='附表9'!H36</t>
        </is>
      </c>
      <c r="D2208" t="inlineStr">
        <is>
          <t>e7df9d27e46ab62572f1165ca929fc86976859aef866af0bceaf7ccd7b0eecc7</t>
        </is>
      </c>
    </row>
    <row r="2209">
      <c r="A2209" t="inlineStr">
        <is>
          <t>附表9</t>
        </is>
      </c>
      <c r="B2209" t="inlineStr">
        <is>
          <t>S55</t>
        </is>
      </c>
      <c r="C2209" t="inlineStr">
        <is>
          <t>'='附表9'!H37</t>
        </is>
      </c>
      <c r="D2209" t="inlineStr">
        <is>
          <t>a16799362829958ade5d5b14d5824ff5c5f09ac5f0272a29b4d2fb4949737693</t>
        </is>
      </c>
    </row>
    <row r="2210">
      <c r="A2210" t="inlineStr">
        <is>
          <t>附表9</t>
        </is>
      </c>
      <c r="B2210" t="inlineStr">
        <is>
          <t>T55</t>
        </is>
      </c>
      <c r="C2210" t="inlineStr">
        <is>
          <t>'='附表9'!H38</t>
        </is>
      </c>
      <c r="D2210" t="inlineStr">
        <is>
          <t>d90f90de95536875cf7a34a3d878e4adde3e603c7dcccbf7beec144555e9ff05</t>
        </is>
      </c>
    </row>
    <row r="2211">
      <c r="A2211" t="inlineStr">
        <is>
          <t>附表9</t>
        </is>
      </c>
      <c r="B2211" t="inlineStr">
        <is>
          <t>U55</t>
        </is>
      </c>
      <c r="C2211" t="inlineStr">
        <is>
          <t>'='附表9'!H39</t>
        </is>
      </c>
      <c r="D2211" t="inlineStr">
        <is>
          <t>af5cbb30e43218dfc8b7e94433aff32cd51c90dc4661d0ff51762e2ec229411a</t>
        </is>
      </c>
    </row>
    <row r="2212">
      <c r="A2212" t="inlineStr">
        <is>
          <t>附表9</t>
        </is>
      </c>
      <c r="B2212" t="inlineStr">
        <is>
          <t>V55</t>
        </is>
      </c>
      <c r="C2212" t="inlineStr">
        <is>
          <t>'='附表9'!H40</t>
        </is>
      </c>
      <c r="D2212" t="inlineStr">
        <is>
          <t>d80b3763105ce524cf73fefc4708557a36693b77e1f99774a08c06390ea2c614</t>
        </is>
      </c>
    </row>
    <row r="2213">
      <c r="A2213" t="inlineStr">
        <is>
          <t>附表9</t>
        </is>
      </c>
      <c r="B2213" t="inlineStr">
        <is>
          <t>W55</t>
        </is>
      </c>
      <c r="C2213" t="inlineStr">
        <is>
          <t>'='附表9'!H41</t>
        </is>
      </c>
      <c r="D2213" t="inlineStr">
        <is>
          <t>6ae13fcf4ac914167c36bd98886096d77bc61e6a091804764fbf33a89739c8a8</t>
        </is>
      </c>
    </row>
    <row r="2214">
      <c r="A2214" t="inlineStr">
        <is>
          <t>附表9</t>
        </is>
      </c>
      <c r="B2214" t="inlineStr">
        <is>
          <t>X55</t>
        </is>
      </c>
      <c r="C2214" t="inlineStr">
        <is>
          <t>'='附表9'!H42</t>
        </is>
      </c>
      <c r="D2214" t="inlineStr">
        <is>
          <t>dd48a5ba64c1ac690b2757095dc45d8cd5223463e1670d1ac8c14601ada211eb</t>
        </is>
      </c>
    </row>
    <row r="2215">
      <c r="A2215" t="inlineStr">
        <is>
          <t>附表9</t>
        </is>
      </c>
      <c r="B2215" t="inlineStr">
        <is>
          <t>Y55</t>
        </is>
      </c>
      <c r="C2215" t="inlineStr">
        <is>
          <t>'='附表9'!H43</t>
        </is>
      </c>
      <c r="D2215" t="inlineStr">
        <is>
          <t>1cf5bc7d43b512a56d309aa3884137ca54b4b1399a54980f3daa28a81d7cf08e</t>
        </is>
      </c>
    </row>
    <row r="2216">
      <c r="A2216" t="inlineStr">
        <is>
          <t>附表9</t>
        </is>
      </c>
      <c r="B2216" t="inlineStr">
        <is>
          <t>Z55</t>
        </is>
      </c>
      <c r="C2216" t="inlineStr">
        <is>
          <t>'='附表9'!H44</t>
        </is>
      </c>
      <c r="D2216" t="inlineStr">
        <is>
          <t>f5db7ca9d1b0b885e714c88cc06e89bff3107283938861645c31c5f8875770f6</t>
        </is>
      </c>
    </row>
    <row r="2217">
      <c r="A2217" t="inlineStr">
        <is>
          <t>附表9</t>
        </is>
      </c>
      <c r="B2217" t="inlineStr">
        <is>
          <t>B56</t>
        </is>
      </c>
      <c r="C2217" t="inlineStr">
        <is>
          <t>'='附表9'!D20</t>
        </is>
      </c>
      <c r="D2217" t="inlineStr">
        <is>
          <t>1f5c52ee3a930e1ad82214ab3bb76d88a4c3165a9e4e1bd665a5089300acb23d</t>
        </is>
      </c>
    </row>
    <row r="2218">
      <c r="A2218" t="inlineStr">
        <is>
          <t>附表9</t>
        </is>
      </c>
      <c r="B2218" t="inlineStr">
        <is>
          <t>C56</t>
        </is>
      </c>
      <c r="C2218" t="inlineStr">
        <is>
          <t>'='附表9'!D21</t>
        </is>
      </c>
      <c r="D2218" t="inlineStr">
        <is>
          <t>ef950810698b38c30d21e40728ec5a75602174827bfb41c349e876fdbb9d67a2</t>
        </is>
      </c>
    </row>
    <row r="2219">
      <c r="A2219" t="inlineStr">
        <is>
          <t>附表9</t>
        </is>
      </c>
      <c r="B2219" t="inlineStr">
        <is>
          <t>D56</t>
        </is>
      </c>
      <c r="C2219" t="inlineStr">
        <is>
          <t>'='附表9'!D22</t>
        </is>
      </c>
      <c r="D2219" t="inlineStr">
        <is>
          <t>b34961830fdc6c8a80e38f35aee95298bfb044b7f03366e2cba783900aa0dd37</t>
        </is>
      </c>
    </row>
    <row r="2220">
      <c r="A2220" t="inlineStr">
        <is>
          <t>附表9</t>
        </is>
      </c>
      <c r="B2220" t="inlineStr">
        <is>
          <t>E56</t>
        </is>
      </c>
      <c r="C2220" t="inlineStr">
        <is>
          <t>'='附表9'!D23</t>
        </is>
      </c>
      <c r="D2220" t="inlineStr">
        <is>
          <t>453cecfb37bf3426b820633fbc2dea4334debd757dff998c29ac19e49325394e</t>
        </is>
      </c>
    </row>
    <row r="2221">
      <c r="A2221" t="inlineStr">
        <is>
          <t>附表9</t>
        </is>
      </c>
      <c r="B2221" t="inlineStr">
        <is>
          <t>F56</t>
        </is>
      </c>
      <c r="C2221" t="inlineStr">
        <is>
          <t>'='附表9'!D24</t>
        </is>
      </c>
      <c r="D2221" t="inlineStr">
        <is>
          <t>8453277a65b9dfd1e8cecd8633e4e923bd0d4632d5741d3969860b9bbc0514a3</t>
        </is>
      </c>
    </row>
    <row r="2222">
      <c r="A2222" t="inlineStr">
        <is>
          <t>附表9</t>
        </is>
      </c>
      <c r="B2222" t="inlineStr">
        <is>
          <t>G56</t>
        </is>
      </c>
      <c r="C2222" t="inlineStr">
        <is>
          <t>'='附表9'!D25</t>
        </is>
      </c>
      <c r="D2222" t="inlineStr">
        <is>
          <t>e73bfbed2843ac7bf54dffb60161e93308c95ed669fb85493e7d504c1682cc2c</t>
        </is>
      </c>
    </row>
    <row r="2223">
      <c r="A2223" t="inlineStr">
        <is>
          <t>附表9</t>
        </is>
      </c>
      <c r="B2223" t="inlineStr">
        <is>
          <t>H56</t>
        </is>
      </c>
      <c r="C2223" t="inlineStr">
        <is>
          <t>'='附表9'!D26</t>
        </is>
      </c>
      <c r="D2223" t="inlineStr">
        <is>
          <t>929a9d6e123c4440949b3c67bda6b3e8a7f4b13ec6c974286ec627b66a7d6860</t>
        </is>
      </c>
    </row>
    <row r="2224">
      <c r="A2224" t="inlineStr">
        <is>
          <t>附表9</t>
        </is>
      </c>
      <c r="B2224" t="inlineStr">
        <is>
          <t>I56</t>
        </is>
      </c>
      <c r="C2224" t="inlineStr">
        <is>
          <t>'='附表9'!D27</t>
        </is>
      </c>
      <c r="D2224" t="inlineStr">
        <is>
          <t>4a7ef1c6e5b2ad935969eb75fbcd3294613c79e67fa952be60182534e54fab5a</t>
        </is>
      </c>
    </row>
    <row r="2225">
      <c r="A2225" t="inlineStr">
        <is>
          <t>附表9</t>
        </is>
      </c>
      <c r="B2225" t="inlineStr">
        <is>
          <t>J56</t>
        </is>
      </c>
      <c r="C2225" t="inlineStr">
        <is>
          <t>'='附表9'!D28</t>
        </is>
      </c>
      <c r="D2225" t="inlineStr">
        <is>
          <t>d1fa3c37310694478db80bccb9b3e1973e50ecb436222574bc4446161279d15a</t>
        </is>
      </c>
    </row>
    <row r="2226">
      <c r="A2226" t="inlineStr">
        <is>
          <t>附表9</t>
        </is>
      </c>
      <c r="B2226" t="inlineStr">
        <is>
          <t>K56</t>
        </is>
      </c>
      <c r="C2226" t="inlineStr">
        <is>
          <t>'='附表9'!D29</t>
        </is>
      </c>
      <c r="D2226" t="inlineStr">
        <is>
          <t>48a1dc2ae5f07305da515198ab3ca4bbfa2dba5789e9c721db901a5106f7d185</t>
        </is>
      </c>
    </row>
    <row r="2227">
      <c r="A2227" t="inlineStr">
        <is>
          <t>附表9</t>
        </is>
      </c>
      <c r="B2227" t="inlineStr">
        <is>
          <t>L56</t>
        </is>
      </c>
      <c r="C2227" t="inlineStr">
        <is>
          <t>'='附表9'!D30</t>
        </is>
      </c>
      <c r="D2227" t="inlineStr">
        <is>
          <t>43ff93b43418f0aa269020950d9c57a5a42ba45357ad9c4f005d4b67cd1c0ba9</t>
        </is>
      </c>
    </row>
    <row r="2228">
      <c r="A2228" t="inlineStr">
        <is>
          <t>附表9</t>
        </is>
      </c>
      <c r="B2228" t="inlineStr">
        <is>
          <t>M56</t>
        </is>
      </c>
      <c r="C2228" t="inlineStr">
        <is>
          <t>'='附表9'!D31</t>
        </is>
      </c>
      <c r="D2228" t="inlineStr">
        <is>
          <t>a4d1ed9e9408d37c1924dd803e658d5714304e32756ae213d48029d864b16647</t>
        </is>
      </c>
    </row>
    <row r="2229">
      <c r="A2229" t="inlineStr">
        <is>
          <t>附表9</t>
        </is>
      </c>
      <c r="B2229" t="inlineStr">
        <is>
          <t>N56</t>
        </is>
      </c>
      <c r="C2229" t="inlineStr">
        <is>
          <t>'='附表9'!D32</t>
        </is>
      </c>
      <c r="D2229" t="inlineStr">
        <is>
          <t>2288d53876b24780d8873325a4118d0b9f4aaf042140c6ff25403da1f12039e4</t>
        </is>
      </c>
    </row>
    <row r="2230">
      <c r="A2230" t="inlineStr">
        <is>
          <t>附表9</t>
        </is>
      </c>
      <c r="B2230" t="inlineStr">
        <is>
          <t>O56</t>
        </is>
      </c>
      <c r="C2230" t="inlineStr">
        <is>
          <t>'='附表9'!D33</t>
        </is>
      </c>
      <c r="D2230" t="inlineStr">
        <is>
          <t>2331491ffdf1b2261633222a1651b566d167a21159ebdbf187bb3338c241fc36</t>
        </is>
      </c>
    </row>
    <row r="2231">
      <c r="A2231" t="inlineStr">
        <is>
          <t>附表9</t>
        </is>
      </c>
      <c r="B2231" t="inlineStr">
        <is>
          <t>P56</t>
        </is>
      </c>
      <c r="C2231" t="inlineStr">
        <is>
          <t>'='附表9'!D34</t>
        </is>
      </c>
      <c r="D2231" t="inlineStr">
        <is>
          <t>b01623d3129b534bad1e807b0e627d6cb82f79c38cf93aed1b258283d53ca4e1</t>
        </is>
      </c>
    </row>
    <row r="2232">
      <c r="A2232" t="inlineStr">
        <is>
          <t>附表9</t>
        </is>
      </c>
      <c r="B2232" t="inlineStr">
        <is>
          <t>Q56</t>
        </is>
      </c>
      <c r="C2232" t="inlineStr">
        <is>
          <t>'='附表9'!D35</t>
        </is>
      </c>
      <c r="D2232" t="inlineStr">
        <is>
          <t>5710619613759f96cdd72b1a7c5eec7ee114f457dcb540176e573c8118b13f3a</t>
        </is>
      </c>
    </row>
    <row r="2233">
      <c r="A2233" t="inlineStr">
        <is>
          <t>附表9</t>
        </is>
      </c>
      <c r="B2233" t="inlineStr">
        <is>
          <t>R56</t>
        </is>
      </c>
      <c r="C2233" t="inlineStr">
        <is>
          <t>'='附表9'!D36</t>
        </is>
      </c>
      <c r="D2233" t="inlineStr">
        <is>
          <t>8ec4008df7679301f77f4aa475f47e0f3ab5eb6e7aa6c0c8f84dca91103c01bd</t>
        </is>
      </c>
    </row>
    <row r="2234">
      <c r="A2234" t="inlineStr">
        <is>
          <t>附表9</t>
        </is>
      </c>
      <c r="B2234" t="inlineStr">
        <is>
          <t>S56</t>
        </is>
      </c>
      <c r="C2234" t="inlineStr">
        <is>
          <t>'='附表9'!D37</t>
        </is>
      </c>
      <c r="D2234" t="inlineStr">
        <is>
          <t>aae6628d74a392508ca3c5b0c5073b44b3b1b741e52468a1366e6f8a4c4bcc9b</t>
        </is>
      </c>
    </row>
    <row r="2235">
      <c r="A2235" t="inlineStr">
        <is>
          <t>附表9</t>
        </is>
      </c>
      <c r="B2235" t="inlineStr">
        <is>
          <t>T56</t>
        </is>
      </c>
      <c r="C2235" t="inlineStr">
        <is>
          <t>'='附表9'!D38</t>
        </is>
      </c>
      <c r="D2235" t="inlineStr">
        <is>
          <t>6e8f0d03aa5ef30f232827a2de786e5d4ff98993a406336335ee4a8792722172</t>
        </is>
      </c>
    </row>
    <row r="2236">
      <c r="A2236" t="inlineStr">
        <is>
          <t>附表9</t>
        </is>
      </c>
      <c r="B2236" t="inlineStr">
        <is>
          <t>U56</t>
        </is>
      </c>
      <c r="C2236" t="inlineStr">
        <is>
          <t>'='附表9'!D39</t>
        </is>
      </c>
      <c r="D2236" t="inlineStr">
        <is>
          <t>c6542e490bb3ed87435fbe7b9573238eda4f6c7f10c7d788911b63eff0b14b9c</t>
        </is>
      </c>
    </row>
    <row r="2237">
      <c r="A2237" t="inlineStr">
        <is>
          <t>附表9</t>
        </is>
      </c>
      <c r="B2237" t="inlineStr">
        <is>
          <t>V56</t>
        </is>
      </c>
      <c r="C2237" t="inlineStr">
        <is>
          <t>'='附表9'!D40</t>
        </is>
      </c>
      <c r="D2237" t="inlineStr">
        <is>
          <t>f97255b3090a3662ed8e1f87f84fe78d4a047d34bf34272a9626afbe4baf3065</t>
        </is>
      </c>
    </row>
    <row r="2238">
      <c r="A2238" t="inlineStr">
        <is>
          <t>附表9</t>
        </is>
      </c>
      <c r="B2238" t="inlineStr">
        <is>
          <t>W56</t>
        </is>
      </c>
      <c r="C2238" t="inlineStr">
        <is>
          <t>'='附表9'!D41</t>
        </is>
      </c>
      <c r="D2238" t="inlineStr">
        <is>
          <t>c41832bc022806b5f4cd0a6667db0a8258077a79559366f4319f41564a95017c</t>
        </is>
      </c>
    </row>
    <row r="2239">
      <c r="A2239" t="inlineStr">
        <is>
          <t>附表9</t>
        </is>
      </c>
      <c r="B2239" t="inlineStr">
        <is>
          <t>X56</t>
        </is>
      </c>
      <c r="C2239" t="inlineStr">
        <is>
          <t>'='附表9'!D42</t>
        </is>
      </c>
      <c r="D2239" t="inlineStr">
        <is>
          <t>cb15937f1602de834c119d085c5dd9efdcd68c7b9665a2dd6388906470d7d955</t>
        </is>
      </c>
    </row>
    <row r="2240">
      <c r="A2240" t="inlineStr">
        <is>
          <t>附表9</t>
        </is>
      </c>
      <c r="B2240" t="inlineStr">
        <is>
          <t>Y56</t>
        </is>
      </c>
      <c r="C2240" t="inlineStr">
        <is>
          <t>'='附表9'!D43</t>
        </is>
      </c>
      <c r="D2240" t="inlineStr">
        <is>
          <t>38e4d9c62217d6772d3ccc5ce1608ee85b6cdaac4b95d0a5b1c58812db8a347d</t>
        </is>
      </c>
    </row>
    <row r="2241">
      <c r="A2241" t="inlineStr">
        <is>
          <t>附表9</t>
        </is>
      </c>
      <c r="B2241" t="inlineStr">
        <is>
          <t>Z56</t>
        </is>
      </c>
      <c r="C2241" t="inlineStr">
        <is>
          <t>'='附表9'!D44</t>
        </is>
      </c>
      <c r="D2241" t="inlineStr">
        <is>
          <t>f773df2619e4b7931b96e91e7dd6d97c07051f71b5872d1a09831bc82d5fea51</t>
        </is>
      </c>
    </row>
    <row r="2242">
      <c r="A2242" t="inlineStr">
        <is>
          <t>附表9</t>
        </is>
      </c>
      <c r="B2242" t="inlineStr">
        <is>
          <t>B57</t>
        </is>
      </c>
      <c r="C2242" t="inlineStr">
        <is>
          <t>'='附表9'!E20</t>
        </is>
      </c>
      <c r="D2242" t="inlineStr">
        <is>
          <t>7bd4967744b01b49659c4c3432da99ac48f22c289ec04b18ea8ff74cf9728394</t>
        </is>
      </c>
    </row>
    <row r="2243">
      <c r="A2243" t="inlineStr">
        <is>
          <t>附表9</t>
        </is>
      </c>
      <c r="B2243" t="inlineStr">
        <is>
          <t>C57</t>
        </is>
      </c>
      <c r="C2243" t="inlineStr">
        <is>
          <t>'='附表9'!E21</t>
        </is>
      </c>
      <c r="D2243" t="inlineStr">
        <is>
          <t>835a1bffc6afa191714f886d4290b0d950f5d24dbed364bdf0042a4ff4489e7f</t>
        </is>
      </c>
    </row>
    <row r="2244">
      <c r="A2244" t="inlineStr">
        <is>
          <t>附表9</t>
        </is>
      </c>
      <c r="B2244" t="inlineStr">
        <is>
          <t>D57</t>
        </is>
      </c>
      <c r="C2244" t="inlineStr">
        <is>
          <t>'='附表9'!E22</t>
        </is>
      </c>
      <c r="D2244" t="inlineStr">
        <is>
          <t>8c364ebef45fd109cf6c46827e6b18fab40fc0cc674d77b41ff2eec3d61eee08</t>
        </is>
      </c>
    </row>
    <row r="2245">
      <c r="A2245" t="inlineStr">
        <is>
          <t>附表9</t>
        </is>
      </c>
      <c r="B2245" t="inlineStr">
        <is>
          <t>E57</t>
        </is>
      </c>
      <c r="C2245" t="inlineStr">
        <is>
          <t>'='附表9'!E23</t>
        </is>
      </c>
      <c r="D2245" t="inlineStr">
        <is>
          <t>75037be84ddbaa2f3c33a23404fc45bb50bb19032d9b8f959a46fd4c1b1ac40e</t>
        </is>
      </c>
    </row>
    <row r="2246">
      <c r="A2246" t="inlineStr">
        <is>
          <t>附表9</t>
        </is>
      </c>
      <c r="B2246" t="inlineStr">
        <is>
          <t>F57</t>
        </is>
      </c>
      <c r="C2246" t="inlineStr">
        <is>
          <t>'='附表9'!E24</t>
        </is>
      </c>
      <c r="D2246" t="inlineStr">
        <is>
          <t>0dc8066c86ad5f430c18cad2e6f4bfb9206659bcd2ec698502f5c3ddbe159053</t>
        </is>
      </c>
    </row>
    <row r="2247">
      <c r="A2247" t="inlineStr">
        <is>
          <t>附表9</t>
        </is>
      </c>
      <c r="B2247" t="inlineStr">
        <is>
          <t>G57</t>
        </is>
      </c>
      <c r="C2247" t="inlineStr">
        <is>
          <t>'='附表9'!E25</t>
        </is>
      </c>
      <c r="D2247" t="inlineStr">
        <is>
          <t>4500a40f7b111e3bfdca8dedfdc633eae6c381f0903546be5db7486a099ce260</t>
        </is>
      </c>
    </row>
    <row r="2248">
      <c r="A2248" t="inlineStr">
        <is>
          <t>附表9</t>
        </is>
      </c>
      <c r="B2248" t="inlineStr">
        <is>
          <t>H57</t>
        </is>
      </c>
      <c r="C2248" t="inlineStr">
        <is>
          <t>'='附表9'!E26</t>
        </is>
      </c>
      <c r="D2248" t="inlineStr">
        <is>
          <t>d4a368b665021248b0063f67359a6d79ac3d46e1d13c98dd8937088c6f89b6ec</t>
        </is>
      </c>
    </row>
    <row r="2249">
      <c r="A2249" t="inlineStr">
        <is>
          <t>附表9</t>
        </is>
      </c>
      <c r="B2249" t="inlineStr">
        <is>
          <t>I57</t>
        </is>
      </c>
      <c r="C2249" t="inlineStr">
        <is>
          <t>'='附表9'!E27</t>
        </is>
      </c>
      <c r="D2249" t="inlineStr">
        <is>
          <t>5f7b59c682f0f8cabedf8f91716f46e0f14a5eeead66ee9fb89aa978c18a730f</t>
        </is>
      </c>
    </row>
    <row r="2250">
      <c r="A2250" t="inlineStr">
        <is>
          <t>附表9</t>
        </is>
      </c>
      <c r="B2250" t="inlineStr">
        <is>
          <t>J57</t>
        </is>
      </c>
      <c r="C2250" t="inlineStr">
        <is>
          <t>'='附表9'!E28</t>
        </is>
      </c>
      <c r="D2250" t="inlineStr">
        <is>
          <t>51210fbd64600bcfc884003d1a6301f06550b967c20689ac34e6f6cbe5ced3d8</t>
        </is>
      </c>
    </row>
    <row r="2251">
      <c r="A2251" t="inlineStr">
        <is>
          <t>附表9</t>
        </is>
      </c>
      <c r="B2251" t="inlineStr">
        <is>
          <t>K57</t>
        </is>
      </c>
      <c r="C2251" t="inlineStr">
        <is>
          <t>'='附表9'!E29</t>
        </is>
      </c>
      <c r="D2251" t="inlineStr">
        <is>
          <t>9f107c38ef069df0d3aa4e32728cd4a44aa79dcb78492f216fb399df26c5face</t>
        </is>
      </c>
    </row>
    <row r="2252">
      <c r="A2252" t="inlineStr">
        <is>
          <t>附表9</t>
        </is>
      </c>
      <c r="B2252" t="inlineStr">
        <is>
          <t>L57</t>
        </is>
      </c>
      <c r="C2252" t="inlineStr">
        <is>
          <t>'='附表9'!E30</t>
        </is>
      </c>
      <c r="D2252" t="inlineStr">
        <is>
          <t>170a3f2be1a1f0df13b7653eb366f462d55ae47db3fa1982700d91f7b21b4802</t>
        </is>
      </c>
    </row>
    <row r="2253">
      <c r="A2253" t="inlineStr">
        <is>
          <t>附表9</t>
        </is>
      </c>
      <c r="B2253" t="inlineStr">
        <is>
          <t>M57</t>
        </is>
      </c>
      <c r="C2253" t="inlineStr">
        <is>
          <t>'='附表9'!E31</t>
        </is>
      </c>
      <c r="D2253" t="inlineStr">
        <is>
          <t>fc86518b392b458e896c7eb18fb25a3ba7bce52bd5f27a187f72d3fa085dbd75</t>
        </is>
      </c>
    </row>
    <row r="2254">
      <c r="A2254" t="inlineStr">
        <is>
          <t>附表9</t>
        </is>
      </c>
      <c r="B2254" t="inlineStr">
        <is>
          <t>N57</t>
        </is>
      </c>
      <c r="C2254" t="inlineStr">
        <is>
          <t>'='附表9'!E32</t>
        </is>
      </c>
      <c r="D2254" t="inlineStr">
        <is>
          <t>12dd77b77a6632937fdfdcf65ecf51f0cfe2b45da4996bbfd7eeafcad66f0da5</t>
        </is>
      </c>
    </row>
    <row r="2255">
      <c r="A2255" t="inlineStr">
        <is>
          <t>附表9</t>
        </is>
      </c>
      <c r="B2255" t="inlineStr">
        <is>
          <t>O57</t>
        </is>
      </c>
      <c r="C2255" t="inlineStr">
        <is>
          <t>'='附表9'!E33</t>
        </is>
      </c>
      <c r="D2255" t="inlineStr">
        <is>
          <t>d5ad574f5a95b3aa451df3a87f212c65d9b36c4a3b1410e591166e2fc875880a</t>
        </is>
      </c>
    </row>
    <row r="2256">
      <c r="A2256" t="inlineStr">
        <is>
          <t>附表9</t>
        </is>
      </c>
      <c r="B2256" t="inlineStr">
        <is>
          <t>P57</t>
        </is>
      </c>
      <c r="C2256" t="inlineStr">
        <is>
          <t>'='附表9'!E34</t>
        </is>
      </c>
      <c r="D2256" t="inlineStr">
        <is>
          <t>90f3b46785f705efbb08dc2e531c51a87307adb482c566f7db0020c664bc784d</t>
        </is>
      </c>
    </row>
    <row r="2257">
      <c r="A2257" t="inlineStr">
        <is>
          <t>附表9</t>
        </is>
      </c>
      <c r="B2257" t="inlineStr">
        <is>
          <t>Q57</t>
        </is>
      </c>
      <c r="C2257" t="inlineStr">
        <is>
          <t>'='附表9'!E35</t>
        </is>
      </c>
      <c r="D2257" t="inlineStr">
        <is>
          <t>8b25f3b2f4fa3d3ff7d8c4c0fc4bc09fbb6acdd8d6b391cfd045318e263e5039</t>
        </is>
      </c>
    </row>
    <row r="2258">
      <c r="A2258" t="inlineStr">
        <is>
          <t>附表9</t>
        </is>
      </c>
      <c r="B2258" t="inlineStr">
        <is>
          <t>R57</t>
        </is>
      </c>
      <c r="C2258" t="inlineStr">
        <is>
          <t>'='附表9'!E36</t>
        </is>
      </c>
      <c r="D2258" t="inlineStr">
        <is>
          <t>53805cff98c5ece63e54c63cb1f3ed14b26df8018307591d7c2ec4d8184c826a</t>
        </is>
      </c>
    </row>
    <row r="2259">
      <c r="A2259" t="inlineStr">
        <is>
          <t>附表9</t>
        </is>
      </c>
      <c r="B2259" t="inlineStr">
        <is>
          <t>S57</t>
        </is>
      </c>
      <c r="C2259" t="inlineStr">
        <is>
          <t>'='附表9'!E37</t>
        </is>
      </c>
      <c r="D2259" t="inlineStr">
        <is>
          <t>00c7a3e0f1dcf94ab089ae931828d75ad03fee7def60ffcbc2385d32593fbb66</t>
        </is>
      </c>
    </row>
    <row r="2260">
      <c r="A2260" t="inlineStr">
        <is>
          <t>附表9</t>
        </is>
      </c>
      <c r="B2260" t="inlineStr">
        <is>
          <t>T57</t>
        </is>
      </c>
      <c r="C2260" t="inlineStr">
        <is>
          <t>'='附表9'!E38</t>
        </is>
      </c>
      <c r="D2260" t="inlineStr">
        <is>
          <t>a99ff709a25bf3209a5642a828ab6dbb68ec62108c3b5906930707925217c902</t>
        </is>
      </c>
    </row>
    <row r="2261">
      <c r="A2261" t="inlineStr">
        <is>
          <t>附表9</t>
        </is>
      </c>
      <c r="B2261" t="inlineStr">
        <is>
          <t>U57</t>
        </is>
      </c>
      <c r="C2261" t="inlineStr">
        <is>
          <t>'='附表9'!E39</t>
        </is>
      </c>
      <c r="D2261" t="inlineStr">
        <is>
          <t>4ab903e4cd2824eb03048ab84eb05d30e99616290d64078e3d09b4e29fe3cb55</t>
        </is>
      </c>
    </row>
    <row r="2262">
      <c r="A2262" t="inlineStr">
        <is>
          <t>附表9</t>
        </is>
      </c>
      <c r="B2262" t="inlineStr">
        <is>
          <t>V57</t>
        </is>
      </c>
      <c r="C2262" t="inlineStr">
        <is>
          <t>'='附表9'!E40</t>
        </is>
      </c>
      <c r="D2262" t="inlineStr">
        <is>
          <t>52e5939cd64d11e48f1eadd58e543107c90cd6a8d9b2235ac4c0952c64799200</t>
        </is>
      </c>
    </row>
    <row r="2263">
      <c r="A2263" t="inlineStr">
        <is>
          <t>附表9</t>
        </is>
      </c>
      <c r="B2263" t="inlineStr">
        <is>
          <t>W57</t>
        </is>
      </c>
      <c r="C2263" t="inlineStr">
        <is>
          <t>'='附表9'!E41</t>
        </is>
      </c>
      <c r="D2263" t="inlineStr">
        <is>
          <t>73caaeba0625179c50b1b88266dcee317b0a3e040ee296dd6bd97e637394fc9d</t>
        </is>
      </c>
    </row>
    <row r="2264">
      <c r="A2264" t="inlineStr">
        <is>
          <t>附表9</t>
        </is>
      </c>
      <c r="B2264" t="inlineStr">
        <is>
          <t>X57</t>
        </is>
      </c>
      <c r="C2264" t="inlineStr">
        <is>
          <t>'='附表9'!E42</t>
        </is>
      </c>
      <c r="D2264" t="inlineStr">
        <is>
          <t>10160f212dffaa2d4801d609dfc4b15c87be60fa6c522024e80e8bfd2f886087</t>
        </is>
      </c>
    </row>
    <row r="2265">
      <c r="A2265" t="inlineStr">
        <is>
          <t>附表9</t>
        </is>
      </c>
      <c r="B2265" t="inlineStr">
        <is>
          <t>Y57</t>
        </is>
      </c>
      <c r="C2265" t="inlineStr">
        <is>
          <t>'='附表9'!E43</t>
        </is>
      </c>
      <c r="D2265" t="inlineStr">
        <is>
          <t>86eb381aca67fa5b419844e55c9741450581aa3778fb1678123cc6288ed9fdfe</t>
        </is>
      </c>
    </row>
    <row r="2266">
      <c r="A2266" t="inlineStr">
        <is>
          <t>附表9</t>
        </is>
      </c>
      <c r="B2266" t="inlineStr">
        <is>
          <t>Z57</t>
        </is>
      </c>
      <c r="C2266" t="inlineStr">
        <is>
          <t>'='附表9'!E44</t>
        </is>
      </c>
      <c r="D2266" t="inlineStr">
        <is>
          <t>8508d13902eec65ce369dcad0fce9ff81becd4115467ba9dc0e7945570c8726d</t>
        </is>
      </c>
    </row>
    <row r="2267">
      <c r="A2267" t="inlineStr">
        <is>
          <t>附表9</t>
        </is>
      </c>
      <c r="B2267" t="inlineStr">
        <is>
          <t>B58</t>
        </is>
      </c>
      <c r="C2267" t="inlineStr">
        <is>
          <t>'='附表9'!F20</t>
        </is>
      </c>
      <c r="D2267" t="inlineStr">
        <is>
          <t>ecddb9ce025c20445e61a0a9375d7111ede1d4767544233052484fe70914ce7c</t>
        </is>
      </c>
    </row>
    <row r="2268">
      <c r="A2268" t="inlineStr">
        <is>
          <t>附表9</t>
        </is>
      </c>
      <c r="B2268" t="inlineStr">
        <is>
          <t>C58</t>
        </is>
      </c>
      <c r="C2268" t="inlineStr">
        <is>
          <t>'='附表9'!F21</t>
        </is>
      </c>
      <c r="D2268" t="inlineStr">
        <is>
          <t>5ab9b53de0f7153baf1039a0f869910ed3f5a326f630729565da61dc286eb826</t>
        </is>
      </c>
    </row>
    <row r="2269">
      <c r="A2269" t="inlineStr">
        <is>
          <t>附表9</t>
        </is>
      </c>
      <c r="B2269" t="inlineStr">
        <is>
          <t>D58</t>
        </is>
      </c>
      <c r="C2269" t="inlineStr">
        <is>
          <t>'='附表9'!F22</t>
        </is>
      </c>
      <c r="D2269" t="inlineStr">
        <is>
          <t>1195216f6fb9e291f7c26017a24778fb79d6bf69ea55eb177e6b1574995349d3</t>
        </is>
      </c>
    </row>
    <row r="2270">
      <c r="A2270" t="inlineStr">
        <is>
          <t>附表9</t>
        </is>
      </c>
      <c r="B2270" t="inlineStr">
        <is>
          <t>E58</t>
        </is>
      </c>
      <c r="C2270" t="inlineStr">
        <is>
          <t>'='附表9'!F23</t>
        </is>
      </c>
      <c r="D2270" t="inlineStr">
        <is>
          <t>7bd32b65965c60e1c0fe850fc802bea0ff9670785a853f18876ba0ee6f640558</t>
        </is>
      </c>
    </row>
    <row r="2271">
      <c r="A2271" t="inlineStr">
        <is>
          <t>附表9</t>
        </is>
      </c>
      <c r="B2271" t="inlineStr">
        <is>
          <t>F58</t>
        </is>
      </c>
      <c r="C2271" t="inlineStr">
        <is>
          <t>'='附表9'!F24</t>
        </is>
      </c>
      <c r="D2271" t="inlineStr">
        <is>
          <t>4df644113cc17413917aa31b88a1bf6c1ac3140dcb1575a31481789b8db2f5e4</t>
        </is>
      </c>
    </row>
    <row r="2272">
      <c r="A2272" t="inlineStr">
        <is>
          <t>附表9</t>
        </is>
      </c>
      <c r="B2272" t="inlineStr">
        <is>
          <t>G58</t>
        </is>
      </c>
      <c r="C2272" t="inlineStr">
        <is>
          <t>'='附表9'!F25</t>
        </is>
      </c>
      <c r="D2272" t="inlineStr">
        <is>
          <t>332be2be60020a718cf991cf51796d8a33236d35ab39bbfecd7af1fbf7f67ca6</t>
        </is>
      </c>
    </row>
    <row r="2273">
      <c r="A2273" t="inlineStr">
        <is>
          <t>附表9</t>
        </is>
      </c>
      <c r="B2273" t="inlineStr">
        <is>
          <t>H58</t>
        </is>
      </c>
      <c r="C2273" t="inlineStr">
        <is>
          <t>'='附表9'!F26</t>
        </is>
      </c>
      <c r="D2273" t="inlineStr">
        <is>
          <t>d59f535b45bd9720968b1796e1ef84abccf5aa0b5e2869ee1754f34d21f93785</t>
        </is>
      </c>
    </row>
    <row r="2274">
      <c r="A2274" t="inlineStr">
        <is>
          <t>附表9</t>
        </is>
      </c>
      <c r="B2274" t="inlineStr">
        <is>
          <t>I58</t>
        </is>
      </c>
      <c r="C2274" t="inlineStr">
        <is>
          <t>'='附表9'!F27</t>
        </is>
      </c>
      <c r="D2274" t="inlineStr">
        <is>
          <t>1dbee2f1bfd90593623ad34afea8b4d07a2afe2f9aa1b9bfcd52230675f0d4ac</t>
        </is>
      </c>
    </row>
    <row r="2275">
      <c r="A2275" t="inlineStr">
        <is>
          <t>附表9</t>
        </is>
      </c>
      <c r="B2275" t="inlineStr">
        <is>
          <t>J58</t>
        </is>
      </c>
      <c r="C2275" t="inlineStr">
        <is>
          <t>'='附表9'!F28</t>
        </is>
      </c>
      <c r="D2275" t="inlineStr">
        <is>
          <t>e07a7d3e3cd804adaee55a7557ef9696b7b25caa3ffe3362f461c6909551b2df</t>
        </is>
      </c>
    </row>
    <row r="2276">
      <c r="A2276" t="inlineStr">
        <is>
          <t>附表9</t>
        </is>
      </c>
      <c r="B2276" t="inlineStr">
        <is>
          <t>K58</t>
        </is>
      </c>
      <c r="C2276" t="inlineStr">
        <is>
          <t>'='附表9'!F29</t>
        </is>
      </c>
      <c r="D2276" t="inlineStr">
        <is>
          <t>20c062ffc025f67f6120ba6267e1a1c001a3f9748df0301b759dabaa5df6dd74</t>
        </is>
      </c>
    </row>
    <row r="2277">
      <c r="A2277" t="inlineStr">
        <is>
          <t>附表9</t>
        </is>
      </c>
      <c r="B2277" t="inlineStr">
        <is>
          <t>L58</t>
        </is>
      </c>
      <c r="C2277" t="inlineStr">
        <is>
          <t>'='附表9'!F30</t>
        </is>
      </c>
      <c r="D2277" t="inlineStr">
        <is>
          <t>9176e9ef93d3c8090018ab2f13b02170fd4983aa15dc4292d5f72bb2c7d8cc6c</t>
        </is>
      </c>
    </row>
    <row r="2278">
      <c r="A2278" t="inlineStr">
        <is>
          <t>附表9</t>
        </is>
      </c>
      <c r="B2278" t="inlineStr">
        <is>
          <t>M58</t>
        </is>
      </c>
      <c r="C2278" t="inlineStr">
        <is>
          <t>'='附表9'!F31</t>
        </is>
      </c>
      <c r="D2278" t="inlineStr">
        <is>
          <t>58ca095ae05a39db29e0fc80ad26bdc25d15016ade0af68b3dfd1bfd65320e09</t>
        </is>
      </c>
    </row>
    <row r="2279">
      <c r="A2279" t="inlineStr">
        <is>
          <t>附表9</t>
        </is>
      </c>
      <c r="B2279" t="inlineStr">
        <is>
          <t>N58</t>
        </is>
      </c>
      <c r="C2279" t="inlineStr">
        <is>
          <t>'='附表9'!F32</t>
        </is>
      </c>
      <c r="D2279" t="inlineStr">
        <is>
          <t>5b977fd26e10e8cbf8885b928883b4d4237ccc9603ae54f814a60ecc2bcd26a5</t>
        </is>
      </c>
    </row>
    <row r="2280">
      <c r="A2280" t="inlineStr">
        <is>
          <t>附表9</t>
        </is>
      </c>
      <c r="B2280" t="inlineStr">
        <is>
          <t>O58</t>
        </is>
      </c>
      <c r="C2280" t="inlineStr">
        <is>
          <t>'='附表9'!F33</t>
        </is>
      </c>
      <c r="D2280" t="inlineStr">
        <is>
          <t>4b147bf207bb655a9a3ae5ced04706dfb0a22313c52d082c21cacb0511f35b32</t>
        </is>
      </c>
    </row>
    <row r="2281">
      <c r="A2281" t="inlineStr">
        <is>
          <t>附表9</t>
        </is>
      </c>
      <c r="B2281" t="inlineStr">
        <is>
          <t>P58</t>
        </is>
      </c>
      <c r="C2281" t="inlineStr">
        <is>
          <t>'='附表9'!F34</t>
        </is>
      </c>
      <c r="D2281" t="inlineStr">
        <is>
          <t>fdde084081cef6c7227eb57df97012327aea11f6ead3dbee1d7aedaebc43e925</t>
        </is>
      </c>
    </row>
    <row r="2282">
      <c r="A2282" t="inlineStr">
        <is>
          <t>附表9</t>
        </is>
      </c>
      <c r="B2282" t="inlineStr">
        <is>
          <t>Q58</t>
        </is>
      </c>
      <c r="C2282" t="inlineStr">
        <is>
          <t>'='附表9'!F35</t>
        </is>
      </c>
      <c r="D2282" t="inlineStr">
        <is>
          <t>2710577786ae146cb2b147eafe3f3f6d9adef7ca7438f9481fd53a4f5830043c</t>
        </is>
      </c>
    </row>
    <row r="2283">
      <c r="A2283" t="inlineStr">
        <is>
          <t>附表9</t>
        </is>
      </c>
      <c r="B2283" t="inlineStr">
        <is>
          <t>R58</t>
        </is>
      </c>
      <c r="C2283" t="inlineStr">
        <is>
          <t>'='附表9'!F36</t>
        </is>
      </c>
      <c r="D2283" t="inlineStr">
        <is>
          <t>b91d806e2aaa031f8dc65fc3861ed8b2da8118a4aa6e532195ff39197d20d596</t>
        </is>
      </c>
    </row>
    <row r="2284">
      <c r="A2284" t="inlineStr">
        <is>
          <t>附表9</t>
        </is>
      </c>
      <c r="B2284" t="inlineStr">
        <is>
          <t>S58</t>
        </is>
      </c>
      <c r="C2284" t="inlineStr">
        <is>
          <t>'='附表9'!F37</t>
        </is>
      </c>
      <c r="D2284" t="inlineStr">
        <is>
          <t>94d6ffec5d868b1b1b7ea46dfdcc47bce1a9536c1a0c801db70e8fbb331b06df</t>
        </is>
      </c>
    </row>
    <row r="2285">
      <c r="A2285" t="inlineStr">
        <is>
          <t>附表9</t>
        </is>
      </c>
      <c r="B2285" t="inlineStr">
        <is>
          <t>T58</t>
        </is>
      </c>
      <c r="C2285" t="inlineStr">
        <is>
          <t>'='附表9'!F38</t>
        </is>
      </c>
      <c r="D2285" t="inlineStr">
        <is>
          <t>4883566084e6952a416a251d489a5d78b0c79a73ac1b47d57f808ca93c7f7296</t>
        </is>
      </c>
    </row>
    <row r="2286">
      <c r="A2286" t="inlineStr">
        <is>
          <t>附表9</t>
        </is>
      </c>
      <c r="B2286" t="inlineStr">
        <is>
          <t>U58</t>
        </is>
      </c>
      <c r="C2286" t="inlineStr">
        <is>
          <t>'='附表9'!F39</t>
        </is>
      </c>
      <c r="D2286" t="inlineStr">
        <is>
          <t>3773b5c8ea3ed8f1c3d2b6e191c4551930afec71d82cf9a290ef869884280d5b</t>
        </is>
      </c>
    </row>
    <row r="2287">
      <c r="A2287" t="inlineStr">
        <is>
          <t>附表9</t>
        </is>
      </c>
      <c r="B2287" t="inlineStr">
        <is>
          <t>V58</t>
        </is>
      </c>
      <c r="C2287" t="inlineStr">
        <is>
          <t>'='附表9'!F40</t>
        </is>
      </c>
      <c r="D2287" t="inlineStr">
        <is>
          <t>8696af89baa9eb31a034f41d2ded2dbf3cbb1efe2fa9eb112f816a915c58326a</t>
        </is>
      </c>
    </row>
    <row r="2288">
      <c r="A2288" t="inlineStr">
        <is>
          <t>附表9</t>
        </is>
      </c>
      <c r="B2288" t="inlineStr">
        <is>
          <t>W58</t>
        </is>
      </c>
      <c r="C2288" t="inlineStr">
        <is>
          <t>'='附表9'!F41</t>
        </is>
      </c>
      <c r="D2288" t="inlineStr">
        <is>
          <t>e73b12145e5aed0dfa92c073ae4f3fcfeb24f31efc9708a1bbf7234af4906926</t>
        </is>
      </c>
    </row>
    <row r="2289">
      <c r="A2289" t="inlineStr">
        <is>
          <t>附表9</t>
        </is>
      </c>
      <c r="B2289" t="inlineStr">
        <is>
          <t>X58</t>
        </is>
      </c>
      <c r="C2289" t="inlineStr">
        <is>
          <t>'='附表9'!F42</t>
        </is>
      </c>
      <c r="D2289" t="inlineStr">
        <is>
          <t>c7c72e1759c5f07f692fa02ce849829421886cadd13e540c10a00fe827317f3d</t>
        </is>
      </c>
    </row>
    <row r="2290">
      <c r="A2290" t="inlineStr">
        <is>
          <t>附表9</t>
        </is>
      </c>
      <c r="B2290" t="inlineStr">
        <is>
          <t>Y58</t>
        </is>
      </c>
      <c r="C2290" t="inlineStr">
        <is>
          <t>'='附表9'!F43</t>
        </is>
      </c>
      <c r="D2290" t="inlineStr">
        <is>
          <t>8c88882b82ddd6db733a4dd1819f2ed79abfe3d795860e8f322cf85bfe8b37ac</t>
        </is>
      </c>
    </row>
    <row r="2291">
      <c r="A2291" t="inlineStr">
        <is>
          <t>附表9</t>
        </is>
      </c>
      <c r="B2291" t="inlineStr">
        <is>
          <t>Z58</t>
        </is>
      </c>
      <c r="C2291" t="inlineStr">
        <is>
          <t>'='附表9'!F44</t>
        </is>
      </c>
      <c r="D2291" t="inlineStr">
        <is>
          <t>e8ae3d7b1058a2906c557f4dba436a9080403ec49c44d8073f9a8da731a0e974</t>
        </is>
      </c>
    </row>
    <row r="2292">
      <c r="A2292" t="inlineStr">
        <is>
          <t>附表9</t>
        </is>
      </c>
      <c r="B2292" t="inlineStr">
        <is>
          <t>B60</t>
        </is>
      </c>
      <c r="C2292" t="inlineStr">
        <is>
          <t>'='附表9'!J20</t>
        </is>
      </c>
      <c r="D2292" t="inlineStr">
        <is>
          <t>ffea8c04855fe2818291dc8a24084c20b109376d9e99d2d8ba78175fbd142f4f</t>
        </is>
      </c>
    </row>
    <row r="2293">
      <c r="A2293" t="inlineStr">
        <is>
          <t>附表9</t>
        </is>
      </c>
      <c r="B2293" t="inlineStr">
        <is>
          <t>C60</t>
        </is>
      </c>
      <c r="C2293" t="inlineStr">
        <is>
          <t>'='附表9'!J21</t>
        </is>
      </c>
      <c r="D2293" t="inlineStr">
        <is>
          <t>a529dc6740da0a751c20c87b3debdbfeee218109f03ed9692192c888a3725742</t>
        </is>
      </c>
    </row>
    <row r="2294">
      <c r="A2294" t="inlineStr">
        <is>
          <t>附表9</t>
        </is>
      </c>
      <c r="B2294" t="inlineStr">
        <is>
          <t>D60</t>
        </is>
      </c>
      <c r="C2294" t="inlineStr">
        <is>
          <t>'='附表9'!J22</t>
        </is>
      </c>
      <c r="D2294" t="inlineStr">
        <is>
          <t>bd1bab619ae3eb4ad9927537098fca3ae33670f0724dd7659e9ea6b56994080e</t>
        </is>
      </c>
    </row>
    <row r="2295">
      <c r="A2295" t="inlineStr">
        <is>
          <t>附表9</t>
        </is>
      </c>
      <c r="B2295" t="inlineStr">
        <is>
          <t>E60</t>
        </is>
      </c>
      <c r="C2295" t="inlineStr">
        <is>
          <t>'='附表9'!J23</t>
        </is>
      </c>
      <c r="D2295" t="inlineStr">
        <is>
          <t>0d0f9bbfb82f50f466725339a67746d115f8481c86472a41fc851dc6cdeb1391</t>
        </is>
      </c>
    </row>
    <row r="2296">
      <c r="A2296" t="inlineStr">
        <is>
          <t>附表9</t>
        </is>
      </c>
      <c r="B2296" t="inlineStr">
        <is>
          <t>F60</t>
        </is>
      </c>
      <c r="C2296" t="inlineStr">
        <is>
          <t>'='附表9'!J24</t>
        </is>
      </c>
      <c r="D2296" t="inlineStr">
        <is>
          <t>bb6197ac3a4aa72dede1fd854b65f7a54d56ca069a494ed0f7f0ceaffa5eb4eb</t>
        </is>
      </c>
    </row>
    <row r="2297">
      <c r="A2297" t="inlineStr">
        <is>
          <t>附表9</t>
        </is>
      </c>
      <c r="B2297" t="inlineStr">
        <is>
          <t>G60</t>
        </is>
      </c>
      <c r="C2297" t="inlineStr">
        <is>
          <t>'='附表9'!J25</t>
        </is>
      </c>
      <c r="D2297" t="inlineStr">
        <is>
          <t>60680f9baf40030e2713aa1eedeca633453940eb28ba29c62b2ee1baa994bbca</t>
        </is>
      </c>
    </row>
    <row r="2298">
      <c r="A2298" t="inlineStr">
        <is>
          <t>附表9</t>
        </is>
      </c>
      <c r="B2298" t="inlineStr">
        <is>
          <t>H60</t>
        </is>
      </c>
      <c r="C2298" t="inlineStr">
        <is>
          <t>'='附表9'!J26</t>
        </is>
      </c>
      <c r="D2298" t="inlineStr">
        <is>
          <t>b3354bf94b2bfa3d5a275e64a55e279dcb9c0f91e60f3f0ae96bbf0ede3eca96</t>
        </is>
      </c>
    </row>
    <row r="2299">
      <c r="A2299" t="inlineStr">
        <is>
          <t>附表9</t>
        </is>
      </c>
      <c r="B2299" t="inlineStr">
        <is>
          <t>I60</t>
        </is>
      </c>
      <c r="C2299" t="inlineStr">
        <is>
          <t>'='附表9'!J27</t>
        </is>
      </c>
      <c r="D2299" t="inlineStr">
        <is>
          <t>fba6cf6a57d0c21012c485b81d1da3362114e38fd5e0eb8a9d6c40d7d68c4a11</t>
        </is>
      </c>
    </row>
    <row r="2300">
      <c r="A2300" t="inlineStr">
        <is>
          <t>附表9</t>
        </is>
      </c>
      <c r="B2300" t="inlineStr">
        <is>
          <t>J60</t>
        </is>
      </c>
      <c r="C2300" t="inlineStr">
        <is>
          <t>'='附表9'!J28</t>
        </is>
      </c>
      <c r="D2300" t="inlineStr">
        <is>
          <t>ceab876e6b3663cb0626f4f52dae72d3ab06ab1e27ab264f7081597c23310331</t>
        </is>
      </c>
    </row>
    <row r="2301">
      <c r="A2301" t="inlineStr">
        <is>
          <t>附表9</t>
        </is>
      </c>
      <c r="B2301" t="inlineStr">
        <is>
          <t>K60</t>
        </is>
      </c>
      <c r="C2301" t="inlineStr">
        <is>
          <t>'='附表9'!J29</t>
        </is>
      </c>
      <c r="D2301" t="inlineStr">
        <is>
          <t>ed624740a1613ae0999e798fb76d74c735ff2521096ae8ac563d481293a8bf89</t>
        </is>
      </c>
    </row>
    <row r="2302">
      <c r="A2302" t="inlineStr">
        <is>
          <t>附表9</t>
        </is>
      </c>
      <c r="B2302" t="inlineStr">
        <is>
          <t>L60</t>
        </is>
      </c>
      <c r="C2302" t="inlineStr">
        <is>
          <t>'='附表9'!J30</t>
        </is>
      </c>
      <c r="D2302" t="inlineStr">
        <is>
          <t>ebe19dba537d240416b18d23d9390736040f61c61ab28000b3c9052a9cd3b238</t>
        </is>
      </c>
    </row>
    <row r="2303">
      <c r="A2303" t="inlineStr">
        <is>
          <t>附表9</t>
        </is>
      </c>
      <c r="B2303" t="inlineStr">
        <is>
          <t>M60</t>
        </is>
      </c>
      <c r="C2303" t="inlineStr">
        <is>
          <t>'='附表9'!J31</t>
        </is>
      </c>
      <c r="D2303" t="inlineStr">
        <is>
          <t>f32bf395f436374800237582ea9a62bb50086dd0e152b98b12e282558d54f001</t>
        </is>
      </c>
    </row>
    <row r="2304">
      <c r="A2304" t="inlineStr">
        <is>
          <t>附表9</t>
        </is>
      </c>
      <c r="B2304" t="inlineStr">
        <is>
          <t>N60</t>
        </is>
      </c>
      <c r="C2304" t="inlineStr">
        <is>
          <t>'='附表9'!J32</t>
        </is>
      </c>
      <c r="D2304" t="inlineStr">
        <is>
          <t>b777a812bed8139792d83da1c50157e6067899e0f6fd938729bb48ce0b9bae52</t>
        </is>
      </c>
    </row>
    <row r="2305">
      <c r="A2305" t="inlineStr">
        <is>
          <t>附表9</t>
        </is>
      </c>
      <c r="B2305" t="inlineStr">
        <is>
          <t>O60</t>
        </is>
      </c>
      <c r="C2305" t="inlineStr">
        <is>
          <t>'='附表9'!J33</t>
        </is>
      </c>
      <c r="D2305" t="inlineStr">
        <is>
          <t>d5aa502a8dc4785ce0eda8dfee51e6a1fa02b52fa76bb91af81798273a6f905a</t>
        </is>
      </c>
    </row>
    <row r="2306">
      <c r="A2306" t="inlineStr">
        <is>
          <t>附表9</t>
        </is>
      </c>
      <c r="B2306" t="inlineStr">
        <is>
          <t>P60</t>
        </is>
      </c>
      <c r="C2306" t="inlineStr">
        <is>
          <t>'='附表9'!J34</t>
        </is>
      </c>
      <c r="D2306" t="inlineStr">
        <is>
          <t>9bccd310bac2375e367ae18472b49ed2f925e409af5b3c1e2a760f3366163d65</t>
        </is>
      </c>
    </row>
    <row r="2307">
      <c r="A2307" t="inlineStr">
        <is>
          <t>附表9</t>
        </is>
      </c>
      <c r="B2307" t="inlineStr">
        <is>
          <t>Q60</t>
        </is>
      </c>
      <c r="C2307" t="inlineStr">
        <is>
          <t>'='附表9'!J35</t>
        </is>
      </c>
      <c r="D2307" t="inlineStr">
        <is>
          <t>091d75e395633279a8976227f2dbac936416a6abbca613a0f2a3bd30de243206</t>
        </is>
      </c>
    </row>
    <row r="2308">
      <c r="A2308" t="inlineStr">
        <is>
          <t>附表9</t>
        </is>
      </c>
      <c r="B2308" t="inlineStr">
        <is>
          <t>R60</t>
        </is>
      </c>
      <c r="C2308" t="inlineStr">
        <is>
          <t>'='附表9'!J36</t>
        </is>
      </c>
      <c r="D2308" t="inlineStr">
        <is>
          <t>5a73ba5d6ee5fe943bd8949a02b18af59c44c528ad4286c13fdfd816b5745c42</t>
        </is>
      </c>
    </row>
    <row r="2309">
      <c r="A2309" t="inlineStr">
        <is>
          <t>附表9</t>
        </is>
      </c>
      <c r="B2309" t="inlineStr">
        <is>
          <t>S60</t>
        </is>
      </c>
      <c r="C2309" t="inlineStr">
        <is>
          <t>'='附表9'!J37</t>
        </is>
      </c>
      <c r="D2309" t="inlineStr">
        <is>
          <t>801b7b69fc3a8d232d3bb9dbc1292d853085ccee05872b7be7d7626e4a0560bf</t>
        </is>
      </c>
    </row>
    <row r="2310">
      <c r="A2310" t="inlineStr">
        <is>
          <t>附表9</t>
        </is>
      </c>
      <c r="B2310" t="inlineStr">
        <is>
          <t>T60</t>
        </is>
      </c>
      <c r="C2310" t="inlineStr">
        <is>
          <t>'='附表9'!J38</t>
        </is>
      </c>
      <c r="D2310" t="inlineStr">
        <is>
          <t>88a13820fdbe3be95cf1a19e0d413cbbc417f1414083b94785c439b43533d2c2</t>
        </is>
      </c>
    </row>
    <row r="2311">
      <c r="A2311" t="inlineStr">
        <is>
          <t>附表9</t>
        </is>
      </c>
      <c r="B2311" t="inlineStr">
        <is>
          <t>U60</t>
        </is>
      </c>
      <c r="C2311" t="inlineStr">
        <is>
          <t>'='附表9'!J39</t>
        </is>
      </c>
      <c r="D2311" t="inlineStr">
        <is>
          <t>e13cac1631f249d8b69de69d99863f77251d71075f1731f764696ee97865d175</t>
        </is>
      </c>
    </row>
    <row r="2312">
      <c r="A2312" t="inlineStr">
        <is>
          <t>附表9</t>
        </is>
      </c>
      <c r="B2312" t="inlineStr">
        <is>
          <t>V60</t>
        </is>
      </c>
      <c r="C2312" t="inlineStr">
        <is>
          <t>'='附表9'!J40</t>
        </is>
      </c>
      <c r="D2312" t="inlineStr">
        <is>
          <t>8318ed4f2796049053b4160ca186653cc55cdc19e44439571207153414bf007a</t>
        </is>
      </c>
    </row>
    <row r="2313">
      <c r="A2313" t="inlineStr">
        <is>
          <t>附表9</t>
        </is>
      </c>
      <c r="B2313" t="inlineStr">
        <is>
          <t>W60</t>
        </is>
      </c>
      <c r="C2313" t="inlineStr">
        <is>
          <t>'='附表9'!J41</t>
        </is>
      </c>
      <c r="D2313" t="inlineStr">
        <is>
          <t>06e39d7387b89a5cf4038d533820b817ed2ff4c5b05d45efd066b53efb07b2ba</t>
        </is>
      </c>
    </row>
    <row r="2314">
      <c r="A2314" t="inlineStr">
        <is>
          <t>附表9</t>
        </is>
      </c>
      <c r="B2314" t="inlineStr">
        <is>
          <t>X60</t>
        </is>
      </c>
      <c r="C2314" t="inlineStr">
        <is>
          <t>'='附表9'!J42</t>
        </is>
      </c>
      <c r="D2314" t="inlineStr">
        <is>
          <t>0aed8b6466dc760c7a289ef9b062e3d277d5b67e7dc85dc003bdd35248f66003</t>
        </is>
      </c>
    </row>
    <row r="2315">
      <c r="A2315" t="inlineStr">
        <is>
          <t>附表9</t>
        </is>
      </c>
      <c r="B2315" t="inlineStr">
        <is>
          <t>Y60</t>
        </is>
      </c>
      <c r="C2315" t="inlineStr">
        <is>
          <t>'='附表9'!J43</t>
        </is>
      </c>
      <c r="D2315" t="inlineStr">
        <is>
          <t>11825db43cc0f80f56085c0415cc57b1246c136b2ade72e2255a3789e235f81c</t>
        </is>
      </c>
    </row>
    <row r="2316">
      <c r="A2316" t="inlineStr">
        <is>
          <t>附表9</t>
        </is>
      </c>
      <c r="B2316" t="inlineStr">
        <is>
          <t>Z60</t>
        </is>
      </c>
      <c r="C2316" t="inlineStr">
        <is>
          <t>'='附表9'!J44</t>
        </is>
      </c>
      <c r="D2316" t="inlineStr">
        <is>
          <t>fd763903b3faf2b3ac40b0ed950b23f235b82ef3ee6c572dbf44eb0c2441a695</t>
        </is>
      </c>
    </row>
    <row r="2317">
      <c r="A2317" t="inlineStr">
        <is>
          <t>附表9</t>
        </is>
      </c>
      <c r="B2317" t="inlineStr">
        <is>
          <t>B61</t>
        </is>
      </c>
      <c r="C2317" t="inlineStr">
        <is>
          <t>'='附表9'!K20</t>
        </is>
      </c>
      <c r="D2317" t="inlineStr">
        <is>
          <t>328ca39fe436296e4a8128cbca75c890f0a58a7a1fee130c803133a3a47202a2</t>
        </is>
      </c>
    </row>
    <row r="2318">
      <c r="A2318" t="inlineStr">
        <is>
          <t>附表9</t>
        </is>
      </c>
      <c r="B2318" t="inlineStr">
        <is>
          <t>C61</t>
        </is>
      </c>
      <c r="C2318" t="inlineStr">
        <is>
          <t>'='附表9'!K21</t>
        </is>
      </c>
      <c r="D2318" t="inlineStr">
        <is>
          <t>ea0294931367b26b541755eb0f8056c9506b5d3f354e148557790a08bf090078</t>
        </is>
      </c>
    </row>
    <row r="2319">
      <c r="A2319" t="inlineStr">
        <is>
          <t>附表9</t>
        </is>
      </c>
      <c r="B2319" t="inlineStr">
        <is>
          <t>D61</t>
        </is>
      </c>
      <c r="C2319" t="inlineStr">
        <is>
          <t>'='附表9'!K22</t>
        </is>
      </c>
      <c r="D2319" t="inlineStr">
        <is>
          <t>ea83c47fc17bb976a50090ad59b756464dd1546f0fb26878f711a520a3ea8b12</t>
        </is>
      </c>
    </row>
    <row r="2320">
      <c r="A2320" t="inlineStr">
        <is>
          <t>附表9</t>
        </is>
      </c>
      <c r="B2320" t="inlineStr">
        <is>
          <t>E61</t>
        </is>
      </c>
      <c r="C2320" t="inlineStr">
        <is>
          <t>'='附表9'!K23</t>
        </is>
      </c>
      <c r="D2320" t="inlineStr">
        <is>
          <t>662183ef80f6f31337eb50d7ca5d1708f6b3621141b93abc1cfef529154ef663</t>
        </is>
      </c>
    </row>
    <row r="2321">
      <c r="A2321" t="inlineStr">
        <is>
          <t>附表9</t>
        </is>
      </c>
      <c r="B2321" t="inlineStr">
        <is>
          <t>F61</t>
        </is>
      </c>
      <c r="C2321" t="inlineStr">
        <is>
          <t>'='附表9'!K24</t>
        </is>
      </c>
      <c r="D2321" t="inlineStr">
        <is>
          <t>42bfa9cdae891bbc8ad8e65dc58402206cfc3e564791249657053d1e3dc380bf</t>
        </is>
      </c>
    </row>
    <row r="2322">
      <c r="A2322" t="inlineStr">
        <is>
          <t>附表9</t>
        </is>
      </c>
      <c r="B2322" t="inlineStr">
        <is>
          <t>G61</t>
        </is>
      </c>
      <c r="C2322" t="inlineStr">
        <is>
          <t>'='附表9'!K25</t>
        </is>
      </c>
      <c r="D2322" t="inlineStr">
        <is>
          <t>f289abe6863a49c997ea37f3519598de1fd41208e5cbdafe26cbcb92b8f52854</t>
        </is>
      </c>
    </row>
    <row r="2323">
      <c r="A2323" t="inlineStr">
        <is>
          <t>附表9</t>
        </is>
      </c>
      <c r="B2323" t="inlineStr">
        <is>
          <t>H61</t>
        </is>
      </c>
      <c r="C2323" t="inlineStr">
        <is>
          <t>'='附表9'!K26</t>
        </is>
      </c>
      <c r="D2323" t="inlineStr">
        <is>
          <t>79a815a20c96b4ac68b5c5c572b14c3581080d07b01eb8a33ee9e11a700a9a43</t>
        </is>
      </c>
    </row>
    <row r="2324">
      <c r="A2324" t="inlineStr">
        <is>
          <t>附表9</t>
        </is>
      </c>
      <c r="B2324" t="inlineStr">
        <is>
          <t>I61</t>
        </is>
      </c>
      <c r="C2324" t="inlineStr">
        <is>
          <t>'='附表9'!K27</t>
        </is>
      </c>
      <c r="D2324" t="inlineStr">
        <is>
          <t>3028a3bdceee74dbf05b6317a559258016fe1d1bf95d9d7d47043fc9d205d4ab</t>
        </is>
      </c>
    </row>
    <row r="2325">
      <c r="A2325" t="inlineStr">
        <is>
          <t>附表9</t>
        </is>
      </c>
      <c r="B2325" t="inlineStr">
        <is>
          <t>J61</t>
        </is>
      </c>
      <c r="C2325" t="inlineStr">
        <is>
          <t>'='附表9'!K28</t>
        </is>
      </c>
      <c r="D2325" t="inlineStr">
        <is>
          <t>15b9748743cd3e98b26c225fc64a66f2d053229ae6ee1625a54e363c6dba1a87</t>
        </is>
      </c>
    </row>
    <row r="2326">
      <c r="A2326" t="inlineStr">
        <is>
          <t>附表9</t>
        </is>
      </c>
      <c r="B2326" t="inlineStr">
        <is>
          <t>K61</t>
        </is>
      </c>
      <c r="C2326" t="inlineStr">
        <is>
          <t>'='附表9'!K29</t>
        </is>
      </c>
      <c r="D2326" t="inlineStr">
        <is>
          <t>d4adc2b6afad5949c1064bb8edef2234a321525da6cf8db7d6bce5e838393b98</t>
        </is>
      </c>
    </row>
    <row r="2327">
      <c r="A2327" t="inlineStr">
        <is>
          <t>附表9</t>
        </is>
      </c>
      <c r="B2327" t="inlineStr">
        <is>
          <t>L61</t>
        </is>
      </c>
      <c r="C2327" t="inlineStr">
        <is>
          <t>'='附表9'!K30</t>
        </is>
      </c>
      <c r="D2327" t="inlineStr">
        <is>
          <t>8486d98eef0f9145cb126789ed8b6bdc45df780bcd83b6c4e5a14137e269168f</t>
        </is>
      </c>
    </row>
    <row r="2328">
      <c r="A2328" t="inlineStr">
        <is>
          <t>附表9</t>
        </is>
      </c>
      <c r="B2328" t="inlineStr">
        <is>
          <t>M61</t>
        </is>
      </c>
      <c r="C2328" t="inlineStr">
        <is>
          <t>'='附表9'!K31</t>
        </is>
      </c>
      <c r="D2328" t="inlineStr">
        <is>
          <t>cce2f91f4a24fc229c6b7131a0061b14facbef0f792b26649b26dc4f14fb0030</t>
        </is>
      </c>
    </row>
    <row r="2329">
      <c r="A2329" t="inlineStr">
        <is>
          <t>附表9</t>
        </is>
      </c>
      <c r="B2329" t="inlineStr">
        <is>
          <t>N61</t>
        </is>
      </c>
      <c r="C2329" t="inlineStr">
        <is>
          <t>'='附表9'!K32</t>
        </is>
      </c>
      <c r="D2329" t="inlineStr">
        <is>
          <t>4a1b6ba93552f48cf9d6b944f0d7622a55bf1adde11b18ce3ab39118ad4d0daa</t>
        </is>
      </c>
    </row>
    <row r="2330">
      <c r="A2330" t="inlineStr">
        <is>
          <t>附表9</t>
        </is>
      </c>
      <c r="B2330" t="inlineStr">
        <is>
          <t>O61</t>
        </is>
      </c>
      <c r="C2330" t="inlineStr">
        <is>
          <t>'='附表9'!K33</t>
        </is>
      </c>
      <c r="D2330" t="inlineStr">
        <is>
          <t>2d131e4cce87f21f2cd283e51665922c24fe4122f81da7423f06edf286c53fd8</t>
        </is>
      </c>
    </row>
    <row r="2331">
      <c r="A2331" t="inlineStr">
        <is>
          <t>附表9</t>
        </is>
      </c>
      <c r="B2331" t="inlineStr">
        <is>
          <t>P61</t>
        </is>
      </c>
      <c r="C2331" t="inlineStr">
        <is>
          <t>'='附表9'!K34</t>
        </is>
      </c>
      <c r="D2331" t="inlineStr">
        <is>
          <t>f134d88572951fcd926afbf14a6eddbea48d1ae8bdfd6016303b99ea79bd1c71</t>
        </is>
      </c>
    </row>
    <row r="2332">
      <c r="A2332" t="inlineStr">
        <is>
          <t>附表9</t>
        </is>
      </c>
      <c r="B2332" t="inlineStr">
        <is>
          <t>Q61</t>
        </is>
      </c>
      <c r="C2332" t="inlineStr">
        <is>
          <t>'='附表9'!K35</t>
        </is>
      </c>
      <c r="D2332" t="inlineStr">
        <is>
          <t>c568cd8eadd5d1e71d15aa282b882444b7b3255dc342d4dbd14658972f478296</t>
        </is>
      </c>
    </row>
    <row r="2333">
      <c r="A2333" t="inlineStr">
        <is>
          <t>附表9</t>
        </is>
      </c>
      <c r="B2333" t="inlineStr">
        <is>
          <t>R61</t>
        </is>
      </c>
      <c r="C2333" t="inlineStr">
        <is>
          <t>'='附表9'!K36</t>
        </is>
      </c>
      <c r="D2333" t="inlineStr">
        <is>
          <t>41efe1f4d3399ecb4d4d10e55817f9f4e81035182fd8ae86af922d716cc7f965</t>
        </is>
      </c>
    </row>
    <row r="2334">
      <c r="A2334" t="inlineStr">
        <is>
          <t>附表9</t>
        </is>
      </c>
      <c r="B2334" t="inlineStr">
        <is>
          <t>S61</t>
        </is>
      </c>
      <c r="C2334" t="inlineStr">
        <is>
          <t>'='附表9'!K37</t>
        </is>
      </c>
      <c r="D2334" t="inlineStr">
        <is>
          <t>bd7273b60e29d7c56db3864457d5d0edcd4d06cff9f6f18a06f1670d971b2f81</t>
        </is>
      </c>
    </row>
    <row r="2335">
      <c r="A2335" t="inlineStr">
        <is>
          <t>附表9</t>
        </is>
      </c>
      <c r="B2335" t="inlineStr">
        <is>
          <t>T61</t>
        </is>
      </c>
      <c r="C2335" t="inlineStr">
        <is>
          <t>'='附表9'!K38</t>
        </is>
      </c>
      <c r="D2335" t="inlineStr">
        <is>
          <t>cae1c46a9a530decfc1518e83076d37c56ff1b04ee80b6a2c9c33a296ae15433</t>
        </is>
      </c>
    </row>
    <row r="2336">
      <c r="A2336" t="inlineStr">
        <is>
          <t>附表9</t>
        </is>
      </c>
      <c r="B2336" t="inlineStr">
        <is>
          <t>U61</t>
        </is>
      </c>
      <c r="C2336" t="inlineStr">
        <is>
          <t>'='附表9'!K39</t>
        </is>
      </c>
      <c r="D2336" t="inlineStr">
        <is>
          <t>deb2843ccb7e25d5c22319d4e6cbcc9b2da901c095c668ac61e303e43f0f4f3c</t>
        </is>
      </c>
    </row>
    <row r="2337">
      <c r="A2337" t="inlineStr">
        <is>
          <t>附表9</t>
        </is>
      </c>
      <c r="B2337" t="inlineStr">
        <is>
          <t>V61</t>
        </is>
      </c>
      <c r="C2337" t="inlineStr">
        <is>
          <t>'='附表9'!K40</t>
        </is>
      </c>
      <c r="D2337" t="inlineStr">
        <is>
          <t>bd1472d859a5cadb365b163df831a447c0fd28cc82cd9b20c7f6e1549e1dc912</t>
        </is>
      </c>
    </row>
    <row r="2338">
      <c r="A2338" t="inlineStr">
        <is>
          <t>附表9</t>
        </is>
      </c>
      <c r="B2338" t="inlineStr">
        <is>
          <t>W61</t>
        </is>
      </c>
      <c r="C2338" t="inlineStr">
        <is>
          <t>'='附表9'!K41</t>
        </is>
      </c>
      <c r="D2338" t="inlineStr">
        <is>
          <t>c84bcebdf0ea299500f8813725869d26cf2e99f5061bbfb400889585959b12f4</t>
        </is>
      </c>
    </row>
    <row r="2339">
      <c r="A2339" t="inlineStr">
        <is>
          <t>附表9</t>
        </is>
      </c>
      <c r="B2339" t="inlineStr">
        <is>
          <t>X61</t>
        </is>
      </c>
      <c r="C2339" t="inlineStr">
        <is>
          <t>'='附表9'!K42</t>
        </is>
      </c>
      <c r="D2339" t="inlineStr">
        <is>
          <t>95bbea49eaf1d286927fdd470ac567218a1c66e66ae7f83b5df5cac580dc9032</t>
        </is>
      </c>
    </row>
    <row r="2340">
      <c r="A2340" t="inlineStr">
        <is>
          <t>附表9</t>
        </is>
      </c>
      <c r="B2340" t="inlineStr">
        <is>
          <t>Y61</t>
        </is>
      </c>
      <c r="C2340" t="inlineStr">
        <is>
          <t>'='附表9'!K43</t>
        </is>
      </c>
      <c r="D2340" t="inlineStr">
        <is>
          <t>5bfff3ebac8980f26e01ea26fc4c677acc29f4ea3d6e9dcfacf80d4123d6d7e2</t>
        </is>
      </c>
    </row>
    <row r="2341">
      <c r="A2341" t="inlineStr">
        <is>
          <t>附表9</t>
        </is>
      </c>
      <c r="B2341" t="inlineStr">
        <is>
          <t>Z61</t>
        </is>
      </c>
      <c r="C2341" t="inlineStr">
        <is>
          <t>'='附表9'!K44</t>
        </is>
      </c>
      <c r="D2341" t="inlineStr">
        <is>
          <t>1cc205338d5219462de7f45c83fd0bc133576058cb18ea1a6391cba5eebe4d08</t>
        </is>
      </c>
    </row>
    <row r="2342">
      <c r="A2342" t="inlineStr">
        <is>
          <t>附表9</t>
        </is>
      </c>
      <c r="B2342" t="inlineStr">
        <is>
          <t>B62</t>
        </is>
      </c>
      <c r="C2342" t="inlineStr">
        <is>
          <t>'='附表1'!J4</t>
        </is>
      </c>
      <c r="D2342" t="inlineStr">
        <is>
          <t>db396c3d07a9391ec3638d3e4afb22c417e87b0dba67099357132d099c44d455</t>
        </is>
      </c>
    </row>
    <row r="2343">
      <c r="A2343" t="inlineStr">
        <is>
          <t>附表9</t>
        </is>
      </c>
      <c r="B2343" t="inlineStr">
        <is>
          <t>B63</t>
        </is>
      </c>
      <c r="C2343" t="inlineStr">
        <is>
          <t>'='附表3'!B4</t>
        </is>
      </c>
      <c r="D2343" t="inlineStr">
        <is>
          <t>72db971452a6813faf06d9af8420dd9bcdc7b2ac1eb1186518bfeddfc213ec42</t>
        </is>
      </c>
    </row>
    <row r="2344">
      <c r="A2344" t="inlineStr">
        <is>
          <t>附表9</t>
        </is>
      </c>
      <c r="B2344" t="inlineStr">
        <is>
          <t>B64</t>
        </is>
      </c>
      <c r="C2344" t="inlineStr">
        <is>
          <t>'='附表5'!A16</t>
        </is>
      </c>
      <c r="D2344" t="inlineStr">
        <is>
          <t>9e86d3f6dc5eef08931a266e3af2300dab7e04c81b34c405975043cc7b67e9fc</t>
        </is>
      </c>
    </row>
    <row r="2345">
      <c r="A2345" t="inlineStr">
        <is>
          <t>附表9</t>
        </is>
      </c>
      <c r="B2345" t="inlineStr">
        <is>
          <t>B65</t>
        </is>
      </c>
      <c r="C2345" t="inlineStr">
        <is>
          <t>'='附表6'!A16</t>
        </is>
      </c>
      <c r="D2345" t="inlineStr">
        <is>
          <t>e9224cbc17779d2d0759671efd869586f98efc1a61ce19a04a9aac1d75372c12</t>
        </is>
      </c>
    </row>
    <row r="2346">
      <c r="A2346" t="inlineStr">
        <is>
          <t>附表9</t>
        </is>
      </c>
      <c r="B2346" t="inlineStr">
        <is>
          <t>B66</t>
        </is>
      </c>
      <c r="C2346" t="inlineStr">
        <is>
          <t>'='附表6-2'!A8</t>
        </is>
      </c>
      <c r="D2346" t="inlineStr">
        <is>
          <t>8f152fa170dc255184f4fc88ab5e55746015528984a700084027d0f536f1b704</t>
        </is>
      </c>
    </row>
    <row r="2347">
      <c r="A2347" t="inlineStr">
        <is>
          <t>附表9</t>
        </is>
      </c>
      <c r="B2347" t="inlineStr">
        <is>
          <t>B67</t>
        </is>
      </c>
      <c r="C2347" t="inlineStr">
        <is>
          <t>'='附表7'!A24</t>
        </is>
      </c>
      <c r="D2347" t="inlineStr">
        <is>
          <t>ecfefd52652937e65fa09e5dc425cdb638e5920040a37d7c550b9d5a722a481f</t>
        </is>
      </c>
    </row>
    <row r="2348">
      <c r="A2348" t="inlineStr">
        <is>
          <t>附表10</t>
        </is>
      </c>
      <c r="B2348" t="inlineStr">
        <is>
          <t>C4</t>
        </is>
      </c>
      <c r="C2348" t="inlineStr">
        <is>
          <t>'=SUM(D4,E4,F4,G4,H4,I4,J4,K4,L4,M4,N4,O4,P4,Q4,R4,S4,T4,U4,V4,W4,X4,Y4,Z4,AA4,AB4)</t>
        </is>
      </c>
      <c r="D2348" t="inlineStr">
        <is>
          <t>6dd7dfe84b892cc575e9e99927b1ac5b1da527492955526819d86b0736b11f52</t>
        </is>
      </c>
    </row>
    <row r="2349">
      <c r="A2349" t="inlineStr">
        <is>
          <t>附表10</t>
        </is>
      </c>
      <c r="B2349" t="inlineStr">
        <is>
          <t>D4</t>
        </is>
      </c>
      <c r="C2349" t="inlineStr">
        <is>
          <t>'=J20</t>
        </is>
      </c>
      <c r="D2349" t="inlineStr">
        <is>
          <t>ce326553232543c58402909112989a7450e5128ee8a983be3a599c016c02db3c</t>
        </is>
      </c>
    </row>
    <row r="2350">
      <c r="A2350" t="inlineStr">
        <is>
          <t>附表10</t>
        </is>
      </c>
      <c r="B2350" t="inlineStr">
        <is>
          <t>E4</t>
        </is>
      </c>
      <c r="C2350" t="inlineStr">
        <is>
          <t>'=J21</t>
        </is>
      </c>
      <c r="D2350" t="inlineStr">
        <is>
          <t>844703c84490259cc8c02a311e8a686e33974de72ed6bebc30360184cfc219f3</t>
        </is>
      </c>
    </row>
    <row r="2351">
      <c r="A2351" t="inlineStr">
        <is>
          <t>附表10</t>
        </is>
      </c>
      <c r="B2351" t="inlineStr">
        <is>
          <t>F4</t>
        </is>
      </c>
      <c r="C2351" t="inlineStr">
        <is>
          <t>'=J22</t>
        </is>
      </c>
      <c r="D2351" t="inlineStr">
        <is>
          <t>be881d0dcdc55481bd2a8727bb6cd2e69d9a5a107e3540915a815a1525b44259</t>
        </is>
      </c>
    </row>
    <row r="2352">
      <c r="A2352" t="inlineStr">
        <is>
          <t>附表10</t>
        </is>
      </c>
      <c r="B2352" t="inlineStr">
        <is>
          <t>G4</t>
        </is>
      </c>
      <c r="C2352" t="inlineStr">
        <is>
          <t>'=J23</t>
        </is>
      </c>
      <c r="D2352" t="inlineStr">
        <is>
          <t>6ed30c88475d4e9d2a1e265e53d9467c32ed110d89f5f771847e73b66a131d3c</t>
        </is>
      </c>
    </row>
    <row r="2353">
      <c r="A2353" t="inlineStr">
        <is>
          <t>附表10</t>
        </is>
      </c>
      <c r="B2353" t="inlineStr">
        <is>
          <t>H4</t>
        </is>
      </c>
      <c r="C2353" t="inlineStr">
        <is>
          <t>'=J24</t>
        </is>
      </c>
      <c r="D2353" t="inlineStr">
        <is>
          <t>8159f3346bd64ed0a0803803be40318973397c0ab3c36273d4b0978b7a01d010</t>
        </is>
      </c>
    </row>
    <row r="2354">
      <c r="A2354" t="inlineStr">
        <is>
          <t>附表10</t>
        </is>
      </c>
      <c r="B2354" t="inlineStr">
        <is>
          <t>I4</t>
        </is>
      </c>
      <c r="C2354" t="inlineStr">
        <is>
          <t>'=J25</t>
        </is>
      </c>
      <c r="D2354" t="inlineStr">
        <is>
          <t>8c29d2eae5713f571782f0b765731a16a575d120bc2cec87983f09769818618a</t>
        </is>
      </c>
    </row>
    <row r="2355">
      <c r="A2355" t="inlineStr">
        <is>
          <t>附表10</t>
        </is>
      </c>
      <c r="B2355" t="inlineStr">
        <is>
          <t>J4</t>
        </is>
      </c>
      <c r="C2355" t="inlineStr">
        <is>
          <t>'=J26</t>
        </is>
      </c>
      <c r="D2355" t="inlineStr">
        <is>
          <t>70d30c256e5bb44b25126bd8c8fdb9b3ce3225568d5d7ce5853f705897a129b0</t>
        </is>
      </c>
    </row>
    <row r="2356">
      <c r="A2356" t="inlineStr">
        <is>
          <t>附表10</t>
        </is>
      </c>
      <c r="B2356" t="inlineStr">
        <is>
          <t>K4</t>
        </is>
      </c>
      <c r="C2356" t="inlineStr">
        <is>
          <t>'=J27</t>
        </is>
      </c>
      <c r="D2356" t="inlineStr">
        <is>
          <t>32c0ca9426e2a877fc4f7639d5f3d33da4ecc8fd6ba5266f163bd89860045e2a</t>
        </is>
      </c>
    </row>
    <row r="2357">
      <c r="A2357" t="inlineStr">
        <is>
          <t>附表10</t>
        </is>
      </c>
      <c r="B2357" t="inlineStr">
        <is>
          <t>L4</t>
        </is>
      </c>
      <c r="C2357" t="inlineStr">
        <is>
          <t>'=J28</t>
        </is>
      </c>
      <c r="D2357" t="inlineStr">
        <is>
          <t>e5d0d9380122e0fcbe98ae8a14e465269ff3c8c066984d4ff3abb66274122c44</t>
        </is>
      </c>
    </row>
    <row r="2358">
      <c r="A2358" t="inlineStr">
        <is>
          <t>附表10</t>
        </is>
      </c>
      <c r="B2358" t="inlineStr">
        <is>
          <t>M4</t>
        </is>
      </c>
      <c r="C2358" t="inlineStr">
        <is>
          <t>'=J29</t>
        </is>
      </c>
      <c r="D2358" t="inlineStr">
        <is>
          <t>ce1e8fdac9e53ba560ed1ac79e3d38bbb220acb5e6599d169605e34cb87eb10f</t>
        </is>
      </c>
    </row>
    <row r="2359">
      <c r="A2359" t="inlineStr">
        <is>
          <t>附表10</t>
        </is>
      </c>
      <c r="B2359" t="inlineStr">
        <is>
          <t>N4</t>
        </is>
      </c>
      <c r="C2359" t="inlineStr">
        <is>
          <t>'=J30</t>
        </is>
      </c>
      <c r="D2359" t="inlineStr">
        <is>
          <t>c1f27019806f74a264bfcffc32b05d2b889d3d530972092e104cec6284307a62</t>
        </is>
      </c>
    </row>
    <row r="2360">
      <c r="A2360" t="inlineStr">
        <is>
          <t>附表10</t>
        </is>
      </c>
      <c r="B2360" t="inlineStr">
        <is>
          <t>O4</t>
        </is>
      </c>
      <c r="C2360" t="inlineStr">
        <is>
          <t>'=J31</t>
        </is>
      </c>
      <c r="D2360" t="inlineStr">
        <is>
          <t>2b51c78c6eac0624f42c5a9c86bfb80e997f36dc07d4daa66b51589fb1ecb270</t>
        </is>
      </c>
    </row>
    <row r="2361">
      <c r="A2361" t="inlineStr">
        <is>
          <t>附表10</t>
        </is>
      </c>
      <c r="B2361" t="inlineStr">
        <is>
          <t>P4</t>
        </is>
      </c>
      <c r="C2361" t="inlineStr">
        <is>
          <t>'=J32</t>
        </is>
      </c>
      <c r="D2361" t="inlineStr">
        <is>
          <t>d26969d7e96b0d056b822c6c8fa8a7dccdca6b3b8f121972895c4c310da04427</t>
        </is>
      </c>
    </row>
    <row r="2362">
      <c r="A2362" t="inlineStr">
        <is>
          <t>附表10</t>
        </is>
      </c>
      <c r="B2362" t="inlineStr">
        <is>
          <t>Q4</t>
        </is>
      </c>
      <c r="C2362" t="inlineStr">
        <is>
          <t>'=J33</t>
        </is>
      </c>
      <c r="D2362" t="inlineStr">
        <is>
          <t>744d791483ec101b9f1f36d4ede68c1016bd783e183c74f3eeb19bced937be42</t>
        </is>
      </c>
    </row>
    <row r="2363">
      <c r="A2363" t="inlineStr">
        <is>
          <t>附表10</t>
        </is>
      </c>
      <c r="B2363" t="inlineStr">
        <is>
          <t>R4</t>
        </is>
      </c>
      <c r="C2363" t="inlineStr">
        <is>
          <t>'=J34</t>
        </is>
      </c>
      <c r="D2363" t="inlineStr">
        <is>
          <t>8c3fb0e9d412ce45f1fdcc0313fda541c1f1b1498ddae1ce476e897da1535d2e</t>
        </is>
      </c>
    </row>
    <row r="2364">
      <c r="A2364" t="inlineStr">
        <is>
          <t>附表10</t>
        </is>
      </c>
      <c r="B2364" t="inlineStr">
        <is>
          <t>S4</t>
        </is>
      </c>
      <c r="C2364" t="inlineStr">
        <is>
          <t>'=J35</t>
        </is>
      </c>
      <c r="D2364" t="inlineStr">
        <is>
          <t>38693d58d56cf00a8420d79fa6202863e6e6174d6e12d41526dd945d8ff26685</t>
        </is>
      </c>
    </row>
    <row r="2365">
      <c r="A2365" t="inlineStr">
        <is>
          <t>附表10</t>
        </is>
      </c>
      <c r="B2365" t="inlineStr">
        <is>
          <t>T4</t>
        </is>
      </c>
      <c r="C2365" t="inlineStr">
        <is>
          <t>'=J36</t>
        </is>
      </c>
      <c r="D2365" t="inlineStr">
        <is>
          <t>a2e0c8b8ed78f6a384c8c7dba028fed6d67c755c77c6f4f5047f9821cbdb2f4b</t>
        </is>
      </c>
    </row>
    <row r="2366">
      <c r="A2366" t="inlineStr">
        <is>
          <t>附表10</t>
        </is>
      </c>
      <c r="B2366" t="inlineStr">
        <is>
          <t>U4</t>
        </is>
      </c>
      <c r="C2366" t="inlineStr">
        <is>
          <t>'=J37</t>
        </is>
      </c>
      <c r="D2366" t="inlineStr">
        <is>
          <t>bd096b20155e6f80537ceeadb169e37c27cbe7d2859cd0ab9ed35d3dfd1d4770</t>
        </is>
      </c>
    </row>
    <row r="2367">
      <c r="A2367" t="inlineStr">
        <is>
          <t>附表10</t>
        </is>
      </c>
      <c r="B2367" t="inlineStr">
        <is>
          <t>V4</t>
        </is>
      </c>
      <c r="C2367" t="inlineStr">
        <is>
          <t>'=J38</t>
        </is>
      </c>
      <c r="D2367" t="inlineStr">
        <is>
          <t>4c86fe101c0269540d3412c98b8abdf0d4c2bd8161d297aae06980c6b3639e95</t>
        </is>
      </c>
    </row>
    <row r="2368">
      <c r="A2368" t="inlineStr">
        <is>
          <t>附表10</t>
        </is>
      </c>
      <c r="B2368" t="inlineStr">
        <is>
          <t>W4</t>
        </is>
      </c>
      <c r="C2368" t="inlineStr">
        <is>
          <t>'=J39</t>
        </is>
      </c>
      <c r="D2368" t="inlineStr">
        <is>
          <t>417b70d283caca2159de162eabbd9698ec9e35b035edcbcac175b517bfc4ef45</t>
        </is>
      </c>
    </row>
    <row r="2369">
      <c r="A2369" t="inlineStr">
        <is>
          <t>附表10</t>
        </is>
      </c>
      <c r="B2369" t="inlineStr">
        <is>
          <t>X4</t>
        </is>
      </c>
      <c r="C2369" t="inlineStr">
        <is>
          <t>'=J40</t>
        </is>
      </c>
      <c r="D2369" t="inlineStr">
        <is>
          <t>1721b4922b4e8ef27c6ec4013f7134c276ba21059b75b0ca83feea42b50dd70f</t>
        </is>
      </c>
    </row>
    <row r="2370">
      <c r="A2370" t="inlineStr">
        <is>
          <t>附表10</t>
        </is>
      </c>
      <c r="B2370" t="inlineStr">
        <is>
          <t>Y4</t>
        </is>
      </c>
      <c r="C2370" t="inlineStr">
        <is>
          <t>'=J41</t>
        </is>
      </c>
      <c r="D2370" t="inlineStr">
        <is>
          <t>41675498ea4d80d40bc00a4ad055d0dbb8e36fdb43eb8b6a677006e6244bc033</t>
        </is>
      </c>
    </row>
    <row r="2371">
      <c r="A2371" t="inlineStr">
        <is>
          <t>附表10</t>
        </is>
      </c>
      <c r="B2371" t="inlineStr">
        <is>
          <t>Z4</t>
        </is>
      </c>
      <c r="C2371" t="inlineStr">
        <is>
          <t>'=J42</t>
        </is>
      </c>
      <c r="D2371" t="inlineStr">
        <is>
          <t>8477c29a997dade8871ae4b4cbd3db88436610ecb1efddf544dfbad5c148f2da</t>
        </is>
      </c>
    </row>
    <row r="2372">
      <c r="A2372" t="inlineStr">
        <is>
          <t>附表10</t>
        </is>
      </c>
      <c r="B2372" t="inlineStr">
        <is>
          <t>AA4</t>
        </is>
      </c>
      <c r="C2372" t="inlineStr">
        <is>
          <t>'=J43</t>
        </is>
      </c>
      <c r="D2372" t="inlineStr">
        <is>
          <t>de6d2b58a83f3cca29c6d6b64122a56221e2ac86f56609790d9246116a45073e</t>
        </is>
      </c>
    </row>
    <row r="2373">
      <c r="A2373" t="inlineStr">
        <is>
          <t>附表10</t>
        </is>
      </c>
      <c r="B2373" t="inlineStr">
        <is>
          <t>AB4</t>
        </is>
      </c>
      <c r="C2373" t="inlineStr">
        <is>
          <t>'=J44</t>
        </is>
      </c>
      <c r="D2373" t="inlineStr">
        <is>
          <t>e2e645e782e1bbf0653dd2dfd649d9396f38f94c63ae7f05499d25f49e0b1f85</t>
        </is>
      </c>
    </row>
    <row r="2374">
      <c r="A2374" t="inlineStr">
        <is>
          <t>附表10</t>
        </is>
      </c>
      <c r="B2374" t="inlineStr">
        <is>
          <t>C5</t>
        </is>
      </c>
      <c r="C2374" t="inlineStr">
        <is>
          <t>'=SUM(D5,E5,F5,G5,H5,I5,J5,K5,L5,M5,N5,O5,P5,Q5,R5,S5,T5,U5,V5,W5,X5,Y5,Z5,AA5,AB5)</t>
        </is>
      </c>
      <c r="D2374" t="inlineStr">
        <is>
          <t>ed96be7d21c0f6eb3acc1005c060e80e4e5fbbfdf5bd9699bf5f19a2a769e07c</t>
        </is>
      </c>
    </row>
    <row r="2375">
      <c r="A2375" t="inlineStr">
        <is>
          <t>附表10</t>
        </is>
      </c>
      <c r="B2375" t="inlineStr">
        <is>
          <t>D5</t>
        </is>
      </c>
      <c r="C2375" t="inlineStr">
        <is>
          <t>'=D20</t>
        </is>
      </c>
      <c r="D2375" t="inlineStr">
        <is>
          <t>a7ebc1ac7c294fd511bf92a9846923716743862e317dbab420a3fdd6ad55d715</t>
        </is>
      </c>
    </row>
    <row r="2376">
      <c r="A2376" t="inlineStr">
        <is>
          <t>附表10</t>
        </is>
      </c>
      <c r="B2376" t="inlineStr">
        <is>
          <t>E5</t>
        </is>
      </c>
      <c r="C2376" t="inlineStr">
        <is>
          <t>'=D21</t>
        </is>
      </c>
      <c r="D2376" t="inlineStr">
        <is>
          <t>dd2c0535b2cc2d2c7d9a728a52b268e4ca6d8357c7d40bb9a11e60dd7b2b3342</t>
        </is>
      </c>
    </row>
    <row r="2377">
      <c r="A2377" t="inlineStr">
        <is>
          <t>附表10</t>
        </is>
      </c>
      <c r="B2377" t="inlineStr">
        <is>
          <t>F5</t>
        </is>
      </c>
      <c r="C2377" t="inlineStr">
        <is>
          <t>'=D22</t>
        </is>
      </c>
      <c r="D2377" t="inlineStr">
        <is>
          <t>fd81278826c022b876b4fa0e13b8bcc9fd3f5fd12822f1296ad925b9ba200de0</t>
        </is>
      </c>
    </row>
    <row r="2378">
      <c r="A2378" t="inlineStr">
        <is>
          <t>附表10</t>
        </is>
      </c>
      <c r="B2378" t="inlineStr">
        <is>
          <t>G5</t>
        </is>
      </c>
      <c r="C2378" t="inlineStr">
        <is>
          <t>'=D23</t>
        </is>
      </c>
      <c r="D2378" t="inlineStr">
        <is>
          <t>4e3edd7bef1ccd13bc3da04ebe6e214d591e81eba0f2923cbea5f9cbf520563b</t>
        </is>
      </c>
    </row>
    <row r="2379">
      <c r="A2379" t="inlineStr">
        <is>
          <t>附表10</t>
        </is>
      </c>
      <c r="B2379" t="inlineStr">
        <is>
          <t>H5</t>
        </is>
      </c>
      <c r="C2379" t="inlineStr">
        <is>
          <t>'=D24</t>
        </is>
      </c>
      <c r="D2379" t="inlineStr">
        <is>
          <t>83962ae917357542afddcffd7deabde725a4dc0147ac1cc8f05b62607d7c05c5</t>
        </is>
      </c>
    </row>
    <row r="2380">
      <c r="A2380" t="inlineStr">
        <is>
          <t>附表10</t>
        </is>
      </c>
      <c r="B2380" t="inlineStr">
        <is>
          <t>I5</t>
        </is>
      </c>
      <c r="C2380" t="inlineStr">
        <is>
          <t>'=D25</t>
        </is>
      </c>
      <c r="D2380" t="inlineStr">
        <is>
          <t>70a86fa2f4144bbf9e0d7d6fdb3c866ef1c49841783d113dcff9dfa0c1880a90</t>
        </is>
      </c>
    </row>
    <row r="2381">
      <c r="A2381" t="inlineStr">
        <is>
          <t>附表10</t>
        </is>
      </c>
      <c r="B2381" t="inlineStr">
        <is>
          <t>J5</t>
        </is>
      </c>
      <c r="C2381" t="inlineStr">
        <is>
          <t>'=D26</t>
        </is>
      </c>
      <c r="D2381" t="inlineStr">
        <is>
          <t>9a55e00dd06b8284dbb16ea2569f22d39b44edb2192d639b187b5213751b9ac0</t>
        </is>
      </c>
    </row>
    <row r="2382">
      <c r="A2382" t="inlineStr">
        <is>
          <t>附表10</t>
        </is>
      </c>
      <c r="B2382" t="inlineStr">
        <is>
          <t>K5</t>
        </is>
      </c>
      <c r="C2382" t="inlineStr">
        <is>
          <t>'=D27</t>
        </is>
      </c>
      <c r="D2382" t="inlineStr">
        <is>
          <t>7b6527143aed96de549d67657faef4d6a5d8a376b29e6cb60dc8c87b9f5be9c8</t>
        </is>
      </c>
    </row>
    <row r="2383">
      <c r="A2383" t="inlineStr">
        <is>
          <t>附表10</t>
        </is>
      </c>
      <c r="B2383" t="inlineStr">
        <is>
          <t>L5</t>
        </is>
      </c>
      <c r="C2383" t="inlineStr">
        <is>
          <t>'=D28</t>
        </is>
      </c>
      <c r="D2383" t="inlineStr">
        <is>
          <t>f4a4e5645f63873576816d4418f3286215cdde8a791baaf3df4123f32366f5eb</t>
        </is>
      </c>
    </row>
    <row r="2384">
      <c r="A2384" t="inlineStr">
        <is>
          <t>附表10</t>
        </is>
      </c>
      <c r="B2384" t="inlineStr">
        <is>
          <t>M5</t>
        </is>
      </c>
      <c r="C2384" t="inlineStr">
        <is>
          <t>'=D29</t>
        </is>
      </c>
      <c r="D2384" t="inlineStr">
        <is>
          <t>0808dcd0831c3bb83c02fd37f813019f5a5996b7601f2d2e23c52a8d9253fcdf</t>
        </is>
      </c>
    </row>
    <row r="2385">
      <c r="A2385" t="inlineStr">
        <is>
          <t>附表10</t>
        </is>
      </c>
      <c r="B2385" t="inlineStr">
        <is>
          <t>N5</t>
        </is>
      </c>
      <c r="C2385" t="inlineStr">
        <is>
          <t>'=D30</t>
        </is>
      </c>
      <c r="D2385" t="inlineStr">
        <is>
          <t>d136345226829fe529f1ceefb48854ff74a102a1e4ad1374f6303396e0ac70b1</t>
        </is>
      </c>
    </row>
    <row r="2386">
      <c r="A2386" t="inlineStr">
        <is>
          <t>附表10</t>
        </is>
      </c>
      <c r="B2386" t="inlineStr">
        <is>
          <t>O5</t>
        </is>
      </c>
      <c r="C2386" t="inlineStr">
        <is>
          <t>'=D31</t>
        </is>
      </c>
      <c r="D2386" t="inlineStr">
        <is>
          <t>8456b36e3ecf4270892831a6a677ca706dc24b4ec9dcefd41118cad6c8ae8b50</t>
        </is>
      </c>
    </row>
    <row r="2387">
      <c r="A2387" t="inlineStr">
        <is>
          <t>附表10</t>
        </is>
      </c>
      <c r="B2387" t="inlineStr">
        <is>
          <t>P5</t>
        </is>
      </c>
      <c r="C2387" t="inlineStr">
        <is>
          <t>'=D32</t>
        </is>
      </c>
      <c r="D2387" t="inlineStr">
        <is>
          <t>eb8d486dbf1c5bc57f13658d2c864a1bd90fa4789992bc0d4206672c02dd4eff</t>
        </is>
      </c>
    </row>
    <row r="2388">
      <c r="A2388" t="inlineStr">
        <is>
          <t>附表10</t>
        </is>
      </c>
      <c r="B2388" t="inlineStr">
        <is>
          <t>Q5</t>
        </is>
      </c>
      <c r="C2388" t="inlineStr">
        <is>
          <t>'=D33</t>
        </is>
      </c>
      <c r="D2388" t="inlineStr">
        <is>
          <t>36b97dde108fc21156ffadd4bda9311e922f29e1bd8ca690a03b0d99fcb86b7f</t>
        </is>
      </c>
    </row>
    <row r="2389">
      <c r="A2389" t="inlineStr">
        <is>
          <t>附表10</t>
        </is>
      </c>
      <c r="B2389" t="inlineStr">
        <is>
          <t>R5</t>
        </is>
      </c>
      <c r="C2389" t="inlineStr">
        <is>
          <t>'=D34</t>
        </is>
      </c>
      <c r="D2389" t="inlineStr">
        <is>
          <t>14f4f9a4e44905b9a54b85c7feedeb755fbb94bb9811aece074fb7a3bb82c794</t>
        </is>
      </c>
    </row>
    <row r="2390">
      <c r="A2390" t="inlineStr">
        <is>
          <t>附表10</t>
        </is>
      </c>
      <c r="B2390" t="inlineStr">
        <is>
          <t>S5</t>
        </is>
      </c>
      <c r="C2390" t="inlineStr">
        <is>
          <t>'=D35</t>
        </is>
      </c>
      <c r="D2390" t="inlineStr">
        <is>
          <t>061b9da6bafb189119df040a91999b4e63c268fbf54028c6ebc8178ff9b1c933</t>
        </is>
      </c>
    </row>
    <row r="2391">
      <c r="A2391" t="inlineStr">
        <is>
          <t>附表10</t>
        </is>
      </c>
      <c r="B2391" t="inlineStr">
        <is>
          <t>T5</t>
        </is>
      </c>
      <c r="C2391" t="inlineStr">
        <is>
          <t>'=D36</t>
        </is>
      </c>
      <c r="D2391" t="inlineStr">
        <is>
          <t>0f70a0ac970e0b5bac66ad6a0e0adc1e66c10fd6598d7365e33935bd8afd0a63</t>
        </is>
      </c>
    </row>
    <row r="2392">
      <c r="A2392" t="inlineStr">
        <is>
          <t>附表10</t>
        </is>
      </c>
      <c r="B2392" t="inlineStr">
        <is>
          <t>U5</t>
        </is>
      </c>
      <c r="C2392" t="inlineStr">
        <is>
          <t>'=D37</t>
        </is>
      </c>
      <c r="D2392" t="inlineStr">
        <is>
          <t>47c7fb0f84f46abd2ca4db9521bd4305ab778559467aed297d394377e0c31af2</t>
        </is>
      </c>
    </row>
    <row r="2393">
      <c r="A2393" t="inlineStr">
        <is>
          <t>附表10</t>
        </is>
      </c>
      <c r="B2393" t="inlineStr">
        <is>
          <t>V5</t>
        </is>
      </c>
      <c r="C2393" t="inlineStr">
        <is>
          <t>'=D38</t>
        </is>
      </c>
      <c r="D2393" t="inlineStr">
        <is>
          <t>0ac6a12313792022d5e80900bab4bd5a412ec4c84dcd84d5ebd9e24154e50020</t>
        </is>
      </c>
    </row>
    <row r="2394">
      <c r="A2394" t="inlineStr">
        <is>
          <t>附表10</t>
        </is>
      </c>
      <c r="B2394" t="inlineStr">
        <is>
          <t>W5</t>
        </is>
      </c>
      <c r="C2394" t="inlineStr">
        <is>
          <t>'=D39</t>
        </is>
      </c>
      <c r="D2394" t="inlineStr">
        <is>
          <t>d0cce5b94402a737a8297dafd93a25542c2b7146703f19228bb6763255f8fcba</t>
        </is>
      </c>
    </row>
    <row r="2395">
      <c r="A2395" t="inlineStr">
        <is>
          <t>附表10</t>
        </is>
      </c>
      <c r="B2395" t="inlineStr">
        <is>
          <t>X5</t>
        </is>
      </c>
      <c r="C2395" t="inlineStr">
        <is>
          <t>'=D40</t>
        </is>
      </c>
      <c r="D2395" t="inlineStr">
        <is>
          <t>67d386fff3d1cfa70ac21dae8db358746f6bc023572da382b6008d5d94d65cca</t>
        </is>
      </c>
    </row>
    <row r="2396">
      <c r="A2396" t="inlineStr">
        <is>
          <t>附表10</t>
        </is>
      </c>
      <c r="B2396" t="inlineStr">
        <is>
          <t>Y5</t>
        </is>
      </c>
      <c r="C2396" t="inlineStr">
        <is>
          <t>'=D41</t>
        </is>
      </c>
      <c r="D2396" t="inlineStr">
        <is>
          <t>5dd0674c5ecde605ee5422d448374967cadaa9b95522ced28b67110188e54366</t>
        </is>
      </c>
    </row>
    <row r="2397">
      <c r="A2397" t="inlineStr">
        <is>
          <t>附表10</t>
        </is>
      </c>
      <c r="B2397" t="inlineStr">
        <is>
          <t>Z5</t>
        </is>
      </c>
      <c r="C2397" t="inlineStr">
        <is>
          <t>'=D42</t>
        </is>
      </c>
      <c r="D2397" t="inlineStr">
        <is>
          <t>9185dfa024900eba9f696cf61eeebce8c618ec56dca65ccee03b4904cd116d6c</t>
        </is>
      </c>
    </row>
    <row r="2398">
      <c r="A2398" t="inlineStr">
        <is>
          <t>附表10</t>
        </is>
      </c>
      <c r="B2398" t="inlineStr">
        <is>
          <t>AA5</t>
        </is>
      </c>
      <c r="C2398" t="inlineStr">
        <is>
          <t>'=D43</t>
        </is>
      </c>
      <c r="D2398" t="inlineStr">
        <is>
          <t>7ebcf6a32fb0c9aa873536521f6bbe2a80bfeed6b70f99cd47cf0a3154a22c99</t>
        </is>
      </c>
    </row>
    <row r="2399">
      <c r="A2399" t="inlineStr">
        <is>
          <t>附表10</t>
        </is>
      </c>
      <c r="B2399" t="inlineStr">
        <is>
          <t>AB5</t>
        </is>
      </c>
      <c r="C2399" t="inlineStr">
        <is>
          <t>'=D44</t>
        </is>
      </c>
      <c r="D2399" t="inlineStr">
        <is>
          <t>54ab58a4a53e0b1dc741b24e8996fea089f749ee68d764e4cde0e2740bd83e8e</t>
        </is>
      </c>
    </row>
    <row r="2400">
      <c r="A2400" t="inlineStr">
        <is>
          <t>附表10</t>
        </is>
      </c>
      <c r="B2400" t="inlineStr">
        <is>
          <t>C6</t>
        </is>
      </c>
      <c r="C2400" t="inlineStr">
        <is>
          <t>'=SUM(D6,E6,F6,G6,H6,I6,J6,K6,L6,M6,N6,O6,P6,Q6,R6,S6,T6,U6,V6,W6,X6,Y6,Z6,AA6,AB6)</t>
        </is>
      </c>
      <c r="D2400" t="inlineStr">
        <is>
          <t>eb03ee6e15fbc6ae3e4f8f3de62cac927f108ffd5964a2a26ae204dd69923ed9</t>
        </is>
      </c>
    </row>
    <row r="2401">
      <c r="A2401" t="inlineStr">
        <is>
          <t>附表10</t>
        </is>
      </c>
      <c r="B2401" t="inlineStr">
        <is>
          <t>D6</t>
        </is>
      </c>
      <c r="C2401" t="inlineStr">
        <is>
          <t>'=E20</t>
        </is>
      </c>
      <c r="D2401" t="inlineStr">
        <is>
          <t>05082b7bd2c44cd5cfb16ada282235d7b09ab7de9c712999913356dc013a2276</t>
        </is>
      </c>
    </row>
    <row r="2402">
      <c r="A2402" t="inlineStr">
        <is>
          <t>附表10</t>
        </is>
      </c>
      <c r="B2402" t="inlineStr">
        <is>
          <t>E6</t>
        </is>
      </c>
      <c r="C2402" t="inlineStr">
        <is>
          <t>'=E21</t>
        </is>
      </c>
      <c r="D2402" t="inlineStr">
        <is>
          <t>cbccd5e5dfa9c73ccf73f4c06e608cccf30117948f5a3a8e0bebd9f87030268b</t>
        </is>
      </c>
    </row>
    <row r="2403">
      <c r="A2403" t="inlineStr">
        <is>
          <t>附表10</t>
        </is>
      </c>
      <c r="B2403" t="inlineStr">
        <is>
          <t>F6</t>
        </is>
      </c>
      <c r="C2403" t="inlineStr">
        <is>
          <t>'=E22</t>
        </is>
      </c>
      <c r="D2403" t="inlineStr">
        <is>
          <t>b3bdd965d81f6295ce34f69cd2229065180d63cf9e8209fe504a1a6b742ca2cc</t>
        </is>
      </c>
    </row>
    <row r="2404">
      <c r="A2404" t="inlineStr">
        <is>
          <t>附表10</t>
        </is>
      </c>
      <c r="B2404" t="inlineStr">
        <is>
          <t>G6</t>
        </is>
      </c>
      <c r="C2404" t="inlineStr">
        <is>
          <t>'=E23</t>
        </is>
      </c>
      <c r="D2404" t="inlineStr">
        <is>
          <t>c3381f8b31a876fe4cdf2e75626f8d1b8fc95ad920bef3b8f94b1508359587c0</t>
        </is>
      </c>
    </row>
    <row r="2405">
      <c r="A2405" t="inlineStr">
        <is>
          <t>附表10</t>
        </is>
      </c>
      <c r="B2405" t="inlineStr">
        <is>
          <t>H6</t>
        </is>
      </c>
      <c r="C2405" t="inlineStr">
        <is>
          <t>'=E24</t>
        </is>
      </c>
      <c r="D2405" t="inlineStr">
        <is>
          <t>ff40c724feadaf7d60cfcbeb2bb4506626a7d1d584e20c3572e046372ca103a0</t>
        </is>
      </c>
    </row>
    <row r="2406">
      <c r="A2406" t="inlineStr">
        <is>
          <t>附表10</t>
        </is>
      </c>
      <c r="B2406" t="inlineStr">
        <is>
          <t>I6</t>
        </is>
      </c>
      <c r="C2406" t="inlineStr">
        <is>
          <t>'=E25</t>
        </is>
      </c>
      <c r="D2406" t="inlineStr">
        <is>
          <t>bee489adc18703ca78293e5fa79dbe2fc039df6f5a0897bd29f2afc1f0f44f4f</t>
        </is>
      </c>
    </row>
    <row r="2407">
      <c r="A2407" t="inlineStr">
        <is>
          <t>附表10</t>
        </is>
      </c>
      <c r="B2407" t="inlineStr">
        <is>
          <t>J6</t>
        </is>
      </c>
      <c r="C2407" t="inlineStr">
        <is>
          <t>'=E26</t>
        </is>
      </c>
      <c r="D2407" t="inlineStr">
        <is>
          <t>d528036d55c16bc8bb929bca4c1c8c7bb5c4220cf8c44f3c65ebdced4feaa2d6</t>
        </is>
      </c>
    </row>
    <row r="2408">
      <c r="A2408" t="inlineStr">
        <is>
          <t>附表10</t>
        </is>
      </c>
      <c r="B2408" t="inlineStr">
        <is>
          <t>K6</t>
        </is>
      </c>
      <c r="C2408" t="inlineStr">
        <is>
          <t>'=E27</t>
        </is>
      </c>
      <c r="D2408" t="inlineStr">
        <is>
          <t>b18c01b39373e16b82f579f4ff9f16b35c9ab8e4983583d5bb6e660a4c67f7ae</t>
        </is>
      </c>
    </row>
    <row r="2409">
      <c r="A2409" t="inlineStr">
        <is>
          <t>附表10</t>
        </is>
      </c>
      <c r="B2409" t="inlineStr">
        <is>
          <t>L6</t>
        </is>
      </c>
      <c r="C2409" t="inlineStr">
        <is>
          <t>'=E28</t>
        </is>
      </c>
      <c r="D2409" t="inlineStr">
        <is>
          <t>7631880322d74cf866bc65bf42898faec259e43e467b54ea5c9af511e68e6fd3</t>
        </is>
      </c>
    </row>
    <row r="2410">
      <c r="A2410" t="inlineStr">
        <is>
          <t>附表10</t>
        </is>
      </c>
      <c r="B2410" t="inlineStr">
        <is>
          <t>M6</t>
        </is>
      </c>
      <c r="C2410" t="inlineStr">
        <is>
          <t>'=E29</t>
        </is>
      </c>
      <c r="D2410" t="inlineStr">
        <is>
          <t>029d731d4663e03c8520795799642b96638809daed8bf0eb23339c0ba23a73f5</t>
        </is>
      </c>
    </row>
    <row r="2411">
      <c r="A2411" t="inlineStr">
        <is>
          <t>附表10</t>
        </is>
      </c>
      <c r="B2411" t="inlineStr">
        <is>
          <t>N6</t>
        </is>
      </c>
      <c r="C2411" t="inlineStr">
        <is>
          <t>'=E30</t>
        </is>
      </c>
      <c r="D2411" t="inlineStr">
        <is>
          <t>f9d1044436f187ad9ffde2b6f00aa4c37acdb8c819ce9bfaa0f9515b303dfff1</t>
        </is>
      </c>
    </row>
    <row r="2412">
      <c r="A2412" t="inlineStr">
        <is>
          <t>附表10</t>
        </is>
      </c>
      <c r="B2412" t="inlineStr">
        <is>
          <t>O6</t>
        </is>
      </c>
      <c r="C2412" t="inlineStr">
        <is>
          <t>'=E31</t>
        </is>
      </c>
      <c r="D2412" t="inlineStr">
        <is>
          <t>ccb0bd9c84094861b829aaaf09075d3c7ff6aafd759aeeb9215e2031d1c57476</t>
        </is>
      </c>
    </row>
    <row r="2413">
      <c r="A2413" t="inlineStr">
        <is>
          <t>附表10</t>
        </is>
      </c>
      <c r="B2413" t="inlineStr">
        <is>
          <t>P6</t>
        </is>
      </c>
      <c r="C2413" t="inlineStr">
        <is>
          <t>'=E32</t>
        </is>
      </c>
      <c r="D2413" t="inlineStr">
        <is>
          <t>5c2a9afdbd4b0ba3b6a28bbaea56a5310c357764c67edcff1106f88069e55777</t>
        </is>
      </c>
    </row>
    <row r="2414">
      <c r="A2414" t="inlineStr">
        <is>
          <t>附表10</t>
        </is>
      </c>
      <c r="B2414" t="inlineStr">
        <is>
          <t>Q6</t>
        </is>
      </c>
      <c r="C2414" t="inlineStr">
        <is>
          <t>'=E33</t>
        </is>
      </c>
      <c r="D2414" t="inlineStr">
        <is>
          <t>8fabd9c5fe8cc507d064eddbc6fe9ea8c6e41213dbb42ffe37a6b88d49f6ab0c</t>
        </is>
      </c>
    </row>
    <row r="2415">
      <c r="A2415" t="inlineStr">
        <is>
          <t>附表10</t>
        </is>
      </c>
      <c r="B2415" t="inlineStr">
        <is>
          <t>R6</t>
        </is>
      </c>
      <c r="C2415" t="inlineStr">
        <is>
          <t>'=E34</t>
        </is>
      </c>
      <c r="D2415" t="inlineStr">
        <is>
          <t>87bbd2477ff72ff7af7fdabda66289421d5f5adebb9dfd3f1d3e7c2dbebbb27a</t>
        </is>
      </c>
    </row>
    <row r="2416">
      <c r="A2416" t="inlineStr">
        <is>
          <t>附表10</t>
        </is>
      </c>
      <c r="B2416" t="inlineStr">
        <is>
          <t>S6</t>
        </is>
      </c>
      <c r="C2416" t="inlineStr">
        <is>
          <t>'=E35</t>
        </is>
      </c>
      <c r="D2416" t="inlineStr">
        <is>
          <t>ee2ff98424ffd4f6db529a5ecb297178271832fdbf4e970635feb7414c8509b0</t>
        </is>
      </c>
    </row>
    <row r="2417">
      <c r="A2417" t="inlineStr">
        <is>
          <t>附表10</t>
        </is>
      </c>
      <c r="B2417" t="inlineStr">
        <is>
          <t>T6</t>
        </is>
      </c>
      <c r="C2417" t="inlineStr">
        <is>
          <t>'=E36</t>
        </is>
      </c>
      <c r="D2417" t="inlineStr">
        <is>
          <t>e03c280f19d18115f9033f7f0461af62082bd0820db7049321cea8a442ff8b7f</t>
        </is>
      </c>
    </row>
    <row r="2418">
      <c r="A2418" t="inlineStr">
        <is>
          <t>附表10</t>
        </is>
      </c>
      <c r="B2418" t="inlineStr">
        <is>
          <t>U6</t>
        </is>
      </c>
      <c r="C2418" t="inlineStr">
        <is>
          <t>'=E37</t>
        </is>
      </c>
      <c r="D2418" t="inlineStr">
        <is>
          <t>449f92e3bbc37b7984e20507510a886f3541bb4216353fee56c0bd03f8422e76</t>
        </is>
      </c>
    </row>
    <row r="2419">
      <c r="A2419" t="inlineStr">
        <is>
          <t>附表10</t>
        </is>
      </c>
      <c r="B2419" t="inlineStr">
        <is>
          <t>V6</t>
        </is>
      </c>
      <c r="C2419" t="inlineStr">
        <is>
          <t>'=E38</t>
        </is>
      </c>
      <c r="D2419" t="inlineStr">
        <is>
          <t>ae14f5f36d788372e885fbd1715a2f03db3885b298775270bfcd1fc38cf6139b</t>
        </is>
      </c>
    </row>
    <row r="2420">
      <c r="A2420" t="inlineStr">
        <is>
          <t>附表10</t>
        </is>
      </c>
      <c r="B2420" t="inlineStr">
        <is>
          <t>W6</t>
        </is>
      </c>
      <c r="C2420" t="inlineStr">
        <is>
          <t>'=E39</t>
        </is>
      </c>
      <c r="D2420" t="inlineStr">
        <is>
          <t>18114e6dbb02cc34e72eddfc241655b4f0225f99f8dea3788846c10a1261c6b1</t>
        </is>
      </c>
    </row>
    <row r="2421">
      <c r="A2421" t="inlineStr">
        <is>
          <t>附表10</t>
        </is>
      </c>
      <c r="B2421" t="inlineStr">
        <is>
          <t>X6</t>
        </is>
      </c>
      <c r="C2421" t="inlineStr">
        <is>
          <t>'=E40</t>
        </is>
      </c>
      <c r="D2421" t="inlineStr">
        <is>
          <t>96ae72a57795c393b59351fa715ceabc9fdfee27ba0ff5aceadb7f9f3fb7033b</t>
        </is>
      </c>
    </row>
    <row r="2422">
      <c r="A2422" t="inlineStr">
        <is>
          <t>附表10</t>
        </is>
      </c>
      <c r="B2422" t="inlineStr">
        <is>
          <t>Y6</t>
        </is>
      </c>
      <c r="C2422" t="inlineStr">
        <is>
          <t>'=E41</t>
        </is>
      </c>
      <c r="D2422" t="inlineStr">
        <is>
          <t>df2be7009a4fee7fbef6f913d108f785409c79bac7afe4773864b50e39757f8a</t>
        </is>
      </c>
    </row>
    <row r="2423">
      <c r="A2423" t="inlineStr">
        <is>
          <t>附表10</t>
        </is>
      </c>
      <c r="B2423" t="inlineStr">
        <is>
          <t>Z6</t>
        </is>
      </c>
      <c r="C2423" t="inlineStr">
        <is>
          <t>'=E42</t>
        </is>
      </c>
      <c r="D2423" t="inlineStr">
        <is>
          <t>ee0a6309448c128077fe11cd3227f58249aa116eb97563f567a515393ec4639d</t>
        </is>
      </c>
    </row>
    <row r="2424">
      <c r="A2424" t="inlineStr">
        <is>
          <t>附表10</t>
        </is>
      </c>
      <c r="B2424" t="inlineStr">
        <is>
          <t>AA6</t>
        </is>
      </c>
      <c r="C2424" t="inlineStr">
        <is>
          <t>'=E43</t>
        </is>
      </c>
      <c r="D2424" t="inlineStr">
        <is>
          <t>12a200ed6ecd5c28cd56afa60c2b95563124792363b42520e05cbdd19036469a</t>
        </is>
      </c>
    </row>
    <row r="2425">
      <c r="A2425" t="inlineStr">
        <is>
          <t>附表10</t>
        </is>
      </c>
      <c r="B2425" t="inlineStr">
        <is>
          <t>AB6</t>
        </is>
      </c>
      <c r="C2425" t="inlineStr">
        <is>
          <t>'=E44</t>
        </is>
      </c>
      <c r="D2425" t="inlineStr">
        <is>
          <t>0f32438aef4cb4f2d74c50cd89be2d577befdc919ddc9b270281e5632c44e49b</t>
        </is>
      </c>
    </row>
    <row r="2426">
      <c r="A2426" t="inlineStr">
        <is>
          <t>附表10</t>
        </is>
      </c>
      <c r="B2426" t="inlineStr">
        <is>
          <t>C7</t>
        </is>
      </c>
      <c r="C2426" t="inlineStr">
        <is>
          <t>'=SUM(D7,E7,F7,G7,H7,I7,J7,K7,L7,M7,N7,O7,P7,Q7,R7,S7,T7,U7,V7,W7,X7,Y7,Z7,AA7,AB7)</t>
        </is>
      </c>
      <c r="D2426" t="inlineStr">
        <is>
          <t>7d16fe78cd14b543c969e8e89fe6a946356c3fa0b84f456b7de88837cd4b61f7</t>
        </is>
      </c>
    </row>
    <row r="2427">
      <c r="A2427" t="inlineStr">
        <is>
          <t>附表10</t>
        </is>
      </c>
      <c r="B2427" t="inlineStr">
        <is>
          <t>D7</t>
        </is>
      </c>
      <c r="C2427" t="inlineStr">
        <is>
          <t>'=F20</t>
        </is>
      </c>
      <c r="D2427" t="inlineStr">
        <is>
          <t>ba897667d8b2299b24cc916cd51848f3d0dcd44eaf1d89de3b9d30ef3dd2bc64</t>
        </is>
      </c>
    </row>
    <row r="2428">
      <c r="A2428" t="inlineStr">
        <is>
          <t>附表10</t>
        </is>
      </c>
      <c r="B2428" t="inlineStr">
        <is>
          <t>E7</t>
        </is>
      </c>
      <c r="C2428" t="inlineStr">
        <is>
          <t>'=F21</t>
        </is>
      </c>
      <c r="D2428" t="inlineStr">
        <is>
          <t>abae687d0c6aafa9da45896720f1599a6ba87485b2c73c39b56040a65a42b2e6</t>
        </is>
      </c>
    </row>
    <row r="2429">
      <c r="A2429" t="inlineStr">
        <is>
          <t>附表10</t>
        </is>
      </c>
      <c r="B2429" t="inlineStr">
        <is>
          <t>F7</t>
        </is>
      </c>
      <c r="C2429" t="inlineStr">
        <is>
          <t>'=F22</t>
        </is>
      </c>
      <c r="D2429" t="inlineStr">
        <is>
          <t>303929953a9a22962770f601fb3e14d2053ccf2723618c7f401cf4b363cb74e6</t>
        </is>
      </c>
    </row>
    <row r="2430">
      <c r="A2430" t="inlineStr">
        <is>
          <t>附表10</t>
        </is>
      </c>
      <c r="B2430" t="inlineStr">
        <is>
          <t>G7</t>
        </is>
      </c>
      <c r="C2430" t="inlineStr">
        <is>
          <t>'=F23</t>
        </is>
      </c>
      <c r="D2430" t="inlineStr">
        <is>
          <t>8464b8eef7c14cb7336a27b4a74f7670338e734c289032fb540bd56103c9aac5</t>
        </is>
      </c>
    </row>
    <row r="2431">
      <c r="A2431" t="inlineStr">
        <is>
          <t>附表10</t>
        </is>
      </c>
      <c r="B2431" t="inlineStr">
        <is>
          <t>H7</t>
        </is>
      </c>
      <c r="C2431" t="inlineStr">
        <is>
          <t>'=F24</t>
        </is>
      </c>
      <c r="D2431" t="inlineStr">
        <is>
          <t>9ed367a5e3825d0f50d44fde06665a27a1a5b1d481a22b68505857131cb7ec82</t>
        </is>
      </c>
    </row>
    <row r="2432">
      <c r="A2432" t="inlineStr">
        <is>
          <t>附表10</t>
        </is>
      </c>
      <c r="B2432" t="inlineStr">
        <is>
          <t>I7</t>
        </is>
      </c>
      <c r="C2432" t="inlineStr">
        <is>
          <t>'=F25</t>
        </is>
      </c>
      <c r="D2432" t="inlineStr">
        <is>
          <t>47314388abee27a224eb6b91587e32b9cbbcdf0f974af9705530b790432232c3</t>
        </is>
      </c>
    </row>
    <row r="2433">
      <c r="A2433" t="inlineStr">
        <is>
          <t>附表10</t>
        </is>
      </c>
      <c r="B2433" t="inlineStr">
        <is>
          <t>J7</t>
        </is>
      </c>
      <c r="C2433" t="inlineStr">
        <is>
          <t>'=F26</t>
        </is>
      </c>
      <c r="D2433" t="inlineStr">
        <is>
          <t>8e8873507784a884e464929f855f269ae86026be510b312d169ad528e85712ab</t>
        </is>
      </c>
    </row>
    <row r="2434">
      <c r="A2434" t="inlineStr">
        <is>
          <t>附表10</t>
        </is>
      </c>
      <c r="B2434" t="inlineStr">
        <is>
          <t>K7</t>
        </is>
      </c>
      <c r="C2434" t="inlineStr">
        <is>
          <t>'=F27</t>
        </is>
      </c>
      <c r="D2434" t="inlineStr">
        <is>
          <t>5954ec758fe3318bf4d7f1f341de39825d6bc4eaa209e3196524590f535316c2</t>
        </is>
      </c>
    </row>
    <row r="2435">
      <c r="A2435" t="inlineStr">
        <is>
          <t>附表10</t>
        </is>
      </c>
      <c r="B2435" t="inlineStr">
        <is>
          <t>L7</t>
        </is>
      </c>
      <c r="C2435" t="inlineStr">
        <is>
          <t>'=F28</t>
        </is>
      </c>
      <c r="D2435" t="inlineStr">
        <is>
          <t>13f4ea59e7fc664f85ea46b2816893f73e36306223e4bdc135741ec0d1fe42b4</t>
        </is>
      </c>
    </row>
    <row r="2436">
      <c r="A2436" t="inlineStr">
        <is>
          <t>附表10</t>
        </is>
      </c>
      <c r="B2436" t="inlineStr">
        <is>
          <t>M7</t>
        </is>
      </c>
      <c r="C2436" t="inlineStr">
        <is>
          <t>'=F29</t>
        </is>
      </c>
      <c r="D2436" t="inlineStr">
        <is>
          <t>890e43661b159feafd46522f2327e365b2920f02cc7fbd207e2e3baa215b9f6d</t>
        </is>
      </c>
    </row>
    <row r="2437">
      <c r="A2437" t="inlineStr">
        <is>
          <t>附表10</t>
        </is>
      </c>
      <c r="B2437" t="inlineStr">
        <is>
          <t>N7</t>
        </is>
      </c>
      <c r="C2437" t="inlineStr">
        <is>
          <t>'=F30</t>
        </is>
      </c>
      <c r="D2437" t="inlineStr">
        <is>
          <t>36a95251f26c1b8da73153b6feb4d5c2fcf0060d1918ed64dc475c458e02475a</t>
        </is>
      </c>
    </row>
    <row r="2438">
      <c r="A2438" t="inlineStr">
        <is>
          <t>附表10</t>
        </is>
      </c>
      <c r="B2438" t="inlineStr">
        <is>
          <t>O7</t>
        </is>
      </c>
      <c r="C2438" t="inlineStr">
        <is>
          <t>'=F31</t>
        </is>
      </c>
      <c r="D2438" t="inlineStr">
        <is>
          <t>20c870fd001d5c247be7b3fc4a289f983c2c2f12246199d92dcc1102b343ca6b</t>
        </is>
      </c>
    </row>
    <row r="2439">
      <c r="A2439" t="inlineStr">
        <is>
          <t>附表10</t>
        </is>
      </c>
      <c r="B2439" t="inlineStr">
        <is>
          <t>P7</t>
        </is>
      </c>
      <c r="C2439" t="inlineStr">
        <is>
          <t>'=F32</t>
        </is>
      </c>
      <c r="D2439" t="inlineStr">
        <is>
          <t>c5ae83bf4079b265fbe8e53096c13e8d016f1c3cff2d7006581c001eb2606b11</t>
        </is>
      </c>
    </row>
    <row r="2440">
      <c r="A2440" t="inlineStr">
        <is>
          <t>附表10</t>
        </is>
      </c>
      <c r="B2440" t="inlineStr">
        <is>
          <t>Q7</t>
        </is>
      </c>
      <c r="C2440" t="inlineStr">
        <is>
          <t>'=F33</t>
        </is>
      </c>
      <c r="D2440" t="inlineStr">
        <is>
          <t>72589d5a055938823a5f2078e039aff33eb904440acbb0faeafe94847d6a4b96</t>
        </is>
      </c>
    </row>
    <row r="2441">
      <c r="A2441" t="inlineStr">
        <is>
          <t>附表10</t>
        </is>
      </c>
      <c r="B2441" t="inlineStr">
        <is>
          <t>R7</t>
        </is>
      </c>
      <c r="C2441" t="inlineStr">
        <is>
          <t>'=F34</t>
        </is>
      </c>
      <c r="D2441" t="inlineStr">
        <is>
          <t>e3c7865be4287277c5f6870291e7b2c5c43544c67056f211dbafbba1dacc87e0</t>
        </is>
      </c>
    </row>
    <row r="2442">
      <c r="A2442" t="inlineStr">
        <is>
          <t>附表10</t>
        </is>
      </c>
      <c r="B2442" t="inlineStr">
        <is>
          <t>S7</t>
        </is>
      </c>
      <c r="C2442" t="inlineStr">
        <is>
          <t>'=F35</t>
        </is>
      </c>
      <c r="D2442" t="inlineStr">
        <is>
          <t>a3c5399eb56df218770a83790a52696db93845721fa43ca553ce45bf51e93f4e</t>
        </is>
      </c>
    </row>
    <row r="2443">
      <c r="A2443" t="inlineStr">
        <is>
          <t>附表10</t>
        </is>
      </c>
      <c r="B2443" t="inlineStr">
        <is>
          <t>T7</t>
        </is>
      </c>
      <c r="C2443" t="inlineStr">
        <is>
          <t>'=F36</t>
        </is>
      </c>
      <c r="D2443" t="inlineStr">
        <is>
          <t>81f7c878de8b0183e578fd1938bf26fd7bdfdc595bd979ce4326cfa1bbe9c46b</t>
        </is>
      </c>
    </row>
    <row r="2444">
      <c r="A2444" t="inlineStr">
        <is>
          <t>附表10</t>
        </is>
      </c>
      <c r="B2444" t="inlineStr">
        <is>
          <t>U7</t>
        </is>
      </c>
      <c r="C2444" t="inlineStr">
        <is>
          <t>'=F37</t>
        </is>
      </c>
      <c r="D2444" t="inlineStr">
        <is>
          <t>d5b9cceb096710596835f0ce8f26a4b71d69869b1ff997a5749fdd39ea712e82</t>
        </is>
      </c>
    </row>
    <row r="2445">
      <c r="A2445" t="inlineStr">
        <is>
          <t>附表10</t>
        </is>
      </c>
      <c r="B2445" t="inlineStr">
        <is>
          <t>V7</t>
        </is>
      </c>
      <c r="C2445" t="inlineStr">
        <is>
          <t>'=F38</t>
        </is>
      </c>
      <c r="D2445" t="inlineStr">
        <is>
          <t>61ccbb4367dfe2753e4c74c260a0782c0ee06d8b8b15ccce22921359181715c1</t>
        </is>
      </c>
    </row>
    <row r="2446">
      <c r="A2446" t="inlineStr">
        <is>
          <t>附表10</t>
        </is>
      </c>
      <c r="B2446" t="inlineStr">
        <is>
          <t>W7</t>
        </is>
      </c>
      <c r="C2446" t="inlineStr">
        <is>
          <t>'=F39</t>
        </is>
      </c>
      <c r="D2446" t="inlineStr">
        <is>
          <t>f87b032df2ba01ff6cef9c2e0ce235b934b6329cc1c727ec535b2c5ef486ca5b</t>
        </is>
      </c>
    </row>
    <row r="2447">
      <c r="A2447" t="inlineStr">
        <is>
          <t>附表10</t>
        </is>
      </c>
      <c r="B2447" t="inlineStr">
        <is>
          <t>X7</t>
        </is>
      </c>
      <c r="C2447" t="inlineStr">
        <is>
          <t>'=F40</t>
        </is>
      </c>
      <c r="D2447" t="inlineStr">
        <is>
          <t>bb257547ac1de27fd36a914e35c364a505db82a16b41a47be7512693776a9dda</t>
        </is>
      </c>
    </row>
    <row r="2448">
      <c r="A2448" t="inlineStr">
        <is>
          <t>附表10</t>
        </is>
      </c>
      <c r="B2448" t="inlineStr">
        <is>
          <t>Y7</t>
        </is>
      </c>
      <c r="C2448" t="inlineStr">
        <is>
          <t>'=F41</t>
        </is>
      </c>
      <c r="D2448" t="inlineStr">
        <is>
          <t>4d660307540f701de87d8b57fb63fe374082bb12e51ce6746ae8780ba6f97e61</t>
        </is>
      </c>
    </row>
    <row r="2449">
      <c r="A2449" t="inlineStr">
        <is>
          <t>附表10</t>
        </is>
      </c>
      <c r="B2449" t="inlineStr">
        <is>
          <t>Z7</t>
        </is>
      </c>
      <c r="C2449" t="inlineStr">
        <is>
          <t>'=F42</t>
        </is>
      </c>
      <c r="D2449" t="inlineStr">
        <is>
          <t>51bcfe715e71a9503b9dc1e8c3324bba547c3ee9795ee36f08b9cec084d868b5</t>
        </is>
      </c>
    </row>
    <row r="2450">
      <c r="A2450" t="inlineStr">
        <is>
          <t>附表10</t>
        </is>
      </c>
      <c r="B2450" t="inlineStr">
        <is>
          <t>AA7</t>
        </is>
      </c>
      <c r="C2450" t="inlineStr">
        <is>
          <t>'=F43</t>
        </is>
      </c>
      <c r="D2450" t="inlineStr">
        <is>
          <t>5ed43acff7d7273cae47d75bb6fda8edf658c209d8c5e3d90f4b377158167227</t>
        </is>
      </c>
    </row>
    <row r="2451">
      <c r="A2451" t="inlineStr">
        <is>
          <t>附表10</t>
        </is>
      </c>
      <c r="B2451" t="inlineStr">
        <is>
          <t>AB7</t>
        </is>
      </c>
      <c r="C2451" t="inlineStr">
        <is>
          <t>'=F44</t>
        </is>
      </c>
      <c r="D2451" t="inlineStr">
        <is>
          <t>f37a1fdd612a2a52de72d96c6f42c874cdce8689c44c742b165e94e19f0498eb</t>
        </is>
      </c>
    </row>
    <row r="2452">
      <c r="A2452" t="inlineStr">
        <is>
          <t>附表10</t>
        </is>
      </c>
      <c r="B2452" t="inlineStr">
        <is>
          <t>C8</t>
        </is>
      </c>
      <c r="C2452" t="inlineStr">
        <is>
          <t>'=SUM(D8,E8,F8,G8,H8,I8,J8,K8,L8,M8,N8,O8,P8,Q8,R8,S8,T8,U8,V8,W8,X8,Y8,Z8,AA8,AB8)</t>
        </is>
      </c>
      <c r="D2452" t="inlineStr">
        <is>
          <t>f02fc0137ebd07f5f5c99ede446c77915ee5bcc9a8109f8de49d8435a9725024</t>
        </is>
      </c>
    </row>
    <row r="2453">
      <c r="A2453" t="inlineStr">
        <is>
          <t>附表10</t>
        </is>
      </c>
      <c r="B2453" t="inlineStr">
        <is>
          <t>D8</t>
        </is>
      </c>
      <c r="C2453" t="inlineStr">
        <is>
          <t>'=K20</t>
        </is>
      </c>
      <c r="D2453" t="inlineStr">
        <is>
          <t>78f3a623b1079cdd5143250f7a4b305b5111ffafcb5ded52d506335d3d4a64a1</t>
        </is>
      </c>
    </row>
    <row r="2454">
      <c r="A2454" t="inlineStr">
        <is>
          <t>附表10</t>
        </is>
      </c>
      <c r="B2454" t="inlineStr">
        <is>
          <t>E8</t>
        </is>
      </c>
      <c r="C2454" t="inlineStr">
        <is>
          <t>'=K21</t>
        </is>
      </c>
      <c r="D2454" t="inlineStr">
        <is>
          <t>a5c0304f7aa38f7df050e0f0833ac839faa1beea597e34c3c0d5497154e4e5cf</t>
        </is>
      </c>
    </row>
    <row r="2455">
      <c r="A2455" t="inlineStr">
        <is>
          <t>附表10</t>
        </is>
      </c>
      <c r="B2455" t="inlineStr">
        <is>
          <t>F8</t>
        </is>
      </c>
      <c r="C2455" t="inlineStr">
        <is>
          <t>'=K22</t>
        </is>
      </c>
      <c r="D2455" t="inlineStr">
        <is>
          <t>d68b5a4a586c8c4838241730b52097511fafbdc90e96921fd4ef8e3843053e59</t>
        </is>
      </c>
    </row>
    <row r="2456">
      <c r="A2456" t="inlineStr">
        <is>
          <t>附表10</t>
        </is>
      </c>
      <c r="B2456" t="inlineStr">
        <is>
          <t>G8</t>
        </is>
      </c>
      <c r="C2456" t="inlineStr">
        <is>
          <t>'=K23</t>
        </is>
      </c>
      <c r="D2456" t="inlineStr">
        <is>
          <t>d124f8e14cc76dfed6aef0bf9bf1af5f0e544089fa719512f75eadff06d15dc8</t>
        </is>
      </c>
    </row>
    <row r="2457">
      <c r="A2457" t="inlineStr">
        <is>
          <t>附表10</t>
        </is>
      </c>
      <c r="B2457" t="inlineStr">
        <is>
          <t>H8</t>
        </is>
      </c>
      <c r="C2457" t="inlineStr">
        <is>
          <t>'=K24</t>
        </is>
      </c>
      <c r="D2457" t="inlineStr">
        <is>
          <t>775879c4589c7d593cbd2657592e0528d96e9567b10f3ad861989de13c1608e9</t>
        </is>
      </c>
    </row>
    <row r="2458">
      <c r="A2458" t="inlineStr">
        <is>
          <t>附表10</t>
        </is>
      </c>
      <c r="B2458" t="inlineStr">
        <is>
          <t>I8</t>
        </is>
      </c>
      <c r="C2458" t="inlineStr">
        <is>
          <t>'=K25</t>
        </is>
      </c>
      <c r="D2458" t="inlineStr">
        <is>
          <t>3369f68eba6ada71a428515ec8d88705e4956814e2937d0766dbb4c354e3a563</t>
        </is>
      </c>
    </row>
    <row r="2459">
      <c r="A2459" t="inlineStr">
        <is>
          <t>附表10</t>
        </is>
      </c>
      <c r="B2459" t="inlineStr">
        <is>
          <t>J8</t>
        </is>
      </c>
      <c r="C2459" t="inlineStr">
        <is>
          <t>'=K26</t>
        </is>
      </c>
      <c r="D2459" t="inlineStr">
        <is>
          <t>13ec867353b61880232b84166dcf246eb511a0cb8a4b61f4b01e22cb4264975a</t>
        </is>
      </c>
    </row>
    <row r="2460">
      <c r="A2460" t="inlineStr">
        <is>
          <t>附表10</t>
        </is>
      </c>
      <c r="B2460" t="inlineStr">
        <is>
          <t>K8</t>
        </is>
      </c>
      <c r="C2460" t="inlineStr">
        <is>
          <t>'=K27</t>
        </is>
      </c>
      <c r="D2460" t="inlineStr">
        <is>
          <t>f3ebe9989e7d5c1c2a41114ba3bd6d8f69252f8aff1aabc599812f45f16e9f80</t>
        </is>
      </c>
    </row>
    <row r="2461">
      <c r="A2461" t="inlineStr">
        <is>
          <t>附表10</t>
        </is>
      </c>
      <c r="B2461" t="inlineStr">
        <is>
          <t>L8</t>
        </is>
      </c>
      <c r="C2461" t="inlineStr">
        <is>
          <t>'=K28</t>
        </is>
      </c>
      <c r="D2461" t="inlineStr">
        <is>
          <t>fad226d82fee8489d2259cfc4aaaa92baa24f4d3ee5b20a2e70676770186715f</t>
        </is>
      </c>
    </row>
    <row r="2462">
      <c r="A2462" t="inlineStr">
        <is>
          <t>附表10</t>
        </is>
      </c>
      <c r="B2462" t="inlineStr">
        <is>
          <t>M8</t>
        </is>
      </c>
      <c r="C2462" t="inlineStr">
        <is>
          <t>'=K29</t>
        </is>
      </c>
      <c r="D2462" t="inlineStr">
        <is>
          <t>3a0ac9ac95e2dd5cdc5f387a59b6cc78ba63e8b0f8bdb6fd4841035dc5eb27d4</t>
        </is>
      </c>
    </row>
    <row r="2463">
      <c r="A2463" t="inlineStr">
        <is>
          <t>附表10</t>
        </is>
      </c>
      <c r="B2463" t="inlineStr">
        <is>
          <t>N8</t>
        </is>
      </c>
      <c r="C2463" t="inlineStr">
        <is>
          <t>'=K30</t>
        </is>
      </c>
      <c r="D2463" t="inlineStr">
        <is>
          <t>ff0fe53662d8df2e47569c9a6b76c6fabb70ece6fcf0304cb19e52f2c4b7cf76</t>
        </is>
      </c>
    </row>
    <row r="2464">
      <c r="A2464" t="inlineStr">
        <is>
          <t>附表10</t>
        </is>
      </c>
      <c r="B2464" t="inlineStr">
        <is>
          <t>O8</t>
        </is>
      </c>
      <c r="C2464" t="inlineStr">
        <is>
          <t>'=K31</t>
        </is>
      </c>
      <c r="D2464" t="inlineStr">
        <is>
          <t>060064846e9d3883f64157ed364c00187aea483c9b7219c28ef680d0c59f5147</t>
        </is>
      </c>
    </row>
    <row r="2465">
      <c r="A2465" t="inlineStr">
        <is>
          <t>附表10</t>
        </is>
      </c>
      <c r="B2465" t="inlineStr">
        <is>
          <t>P8</t>
        </is>
      </c>
      <c r="C2465" t="inlineStr">
        <is>
          <t>'=K32</t>
        </is>
      </c>
      <c r="D2465" t="inlineStr">
        <is>
          <t>0526bb8e548023c914cb8d878c474bc2b5aee30fa47d0a2b96be3218136c407b</t>
        </is>
      </c>
    </row>
    <row r="2466">
      <c r="A2466" t="inlineStr">
        <is>
          <t>附表10</t>
        </is>
      </c>
      <c r="B2466" t="inlineStr">
        <is>
          <t>Q8</t>
        </is>
      </c>
      <c r="C2466" t="inlineStr">
        <is>
          <t>'=K33</t>
        </is>
      </c>
      <c r="D2466" t="inlineStr">
        <is>
          <t>7cce62bc8f25ee8cf7c69c03c9525494a36ea530729cd7334349954e26db73ab</t>
        </is>
      </c>
    </row>
    <row r="2467">
      <c r="A2467" t="inlineStr">
        <is>
          <t>附表10</t>
        </is>
      </c>
      <c r="B2467" t="inlineStr">
        <is>
          <t>R8</t>
        </is>
      </c>
      <c r="C2467" t="inlineStr">
        <is>
          <t>'=K34</t>
        </is>
      </c>
      <c r="D2467" t="inlineStr">
        <is>
          <t>7edf6d9ac3756b81e9f5d9fdbc47dfc9b640dd508579d0e4bd2fd037f252df78</t>
        </is>
      </c>
    </row>
    <row r="2468">
      <c r="A2468" t="inlineStr">
        <is>
          <t>附表10</t>
        </is>
      </c>
      <c r="B2468" t="inlineStr">
        <is>
          <t>S8</t>
        </is>
      </c>
      <c r="C2468" t="inlineStr">
        <is>
          <t>'=K35</t>
        </is>
      </c>
      <c r="D2468" t="inlineStr">
        <is>
          <t>5dc5d907316464d18b3676161c8f897cf2ee12c14e4d777dcda67fa5303ea352</t>
        </is>
      </c>
    </row>
    <row r="2469">
      <c r="A2469" t="inlineStr">
        <is>
          <t>附表10</t>
        </is>
      </c>
      <c r="B2469" t="inlineStr">
        <is>
          <t>T8</t>
        </is>
      </c>
      <c r="C2469" t="inlineStr">
        <is>
          <t>'=K36</t>
        </is>
      </c>
      <c r="D2469" t="inlineStr">
        <is>
          <t>efd5d6d589ae840993186cd7be03a291ea99a538c4abafa75c33cfafba541604</t>
        </is>
      </c>
    </row>
    <row r="2470">
      <c r="A2470" t="inlineStr">
        <is>
          <t>附表10</t>
        </is>
      </c>
      <c r="B2470" t="inlineStr">
        <is>
          <t>U8</t>
        </is>
      </c>
      <c r="C2470" t="inlineStr">
        <is>
          <t>'=K37</t>
        </is>
      </c>
      <c r="D2470" t="inlineStr">
        <is>
          <t>f08636453078be430ff9696030bf47b022abb747ed0300a67d30ba27f59d6e81</t>
        </is>
      </c>
    </row>
    <row r="2471">
      <c r="A2471" t="inlineStr">
        <is>
          <t>附表10</t>
        </is>
      </c>
      <c r="B2471" t="inlineStr">
        <is>
          <t>V8</t>
        </is>
      </c>
      <c r="C2471" t="inlineStr">
        <is>
          <t>'=K38</t>
        </is>
      </c>
      <c r="D2471" t="inlineStr">
        <is>
          <t>522f113f443f797f2f772318b714bf983deb48c41f3a146fd882a4f7f8e9f4ab</t>
        </is>
      </c>
    </row>
    <row r="2472">
      <c r="A2472" t="inlineStr">
        <is>
          <t>附表10</t>
        </is>
      </c>
      <c r="B2472" t="inlineStr">
        <is>
          <t>W8</t>
        </is>
      </c>
      <c r="C2472" t="inlineStr">
        <is>
          <t>'=K39</t>
        </is>
      </c>
      <c r="D2472" t="inlineStr">
        <is>
          <t>8f439fb9a6c1d8b7af61da54619212a4e7688ca72fd4f99b07773c2af582172b</t>
        </is>
      </c>
    </row>
    <row r="2473">
      <c r="A2473" t="inlineStr">
        <is>
          <t>附表10</t>
        </is>
      </c>
      <c r="B2473" t="inlineStr">
        <is>
          <t>X8</t>
        </is>
      </c>
      <c r="C2473" t="inlineStr">
        <is>
          <t>'=K40</t>
        </is>
      </c>
      <c r="D2473" t="inlineStr">
        <is>
          <t>89c2ccba9bf980edc19ac92ac6756fe6e78c5e0d10fd80c966d1ba9259076120</t>
        </is>
      </c>
    </row>
    <row r="2474">
      <c r="A2474" t="inlineStr">
        <is>
          <t>附表10</t>
        </is>
      </c>
      <c r="B2474" t="inlineStr">
        <is>
          <t>Y8</t>
        </is>
      </c>
      <c r="C2474" t="inlineStr">
        <is>
          <t>'=K41</t>
        </is>
      </c>
      <c r="D2474" t="inlineStr">
        <is>
          <t>a86cf3e03a736dda99f248dd68bdd6117c2428f7d1582875ac95df69fd31d377</t>
        </is>
      </c>
    </row>
    <row r="2475">
      <c r="A2475" t="inlineStr">
        <is>
          <t>附表10</t>
        </is>
      </c>
      <c r="B2475" t="inlineStr">
        <is>
          <t>Z8</t>
        </is>
      </c>
      <c r="C2475" t="inlineStr">
        <is>
          <t>'=K42</t>
        </is>
      </c>
      <c r="D2475" t="inlineStr">
        <is>
          <t>41d7cd4ba7604ea76d478c3028c5f84e3baae0898487da87967675bd887b58d7</t>
        </is>
      </c>
    </row>
    <row r="2476">
      <c r="A2476" t="inlineStr">
        <is>
          <t>附表10</t>
        </is>
      </c>
      <c r="B2476" t="inlineStr">
        <is>
          <t>AA8</t>
        </is>
      </c>
      <c r="C2476" t="inlineStr">
        <is>
          <t>'=K43</t>
        </is>
      </c>
      <c r="D2476" t="inlineStr">
        <is>
          <t>9ca858a939df01bc6ed7873978917519f9613af9e4fc8905873967c72e5fb723</t>
        </is>
      </c>
    </row>
    <row r="2477">
      <c r="A2477" t="inlineStr">
        <is>
          <t>附表10</t>
        </is>
      </c>
      <c r="B2477" t="inlineStr">
        <is>
          <t>AB8</t>
        </is>
      </c>
      <c r="C2477" t="inlineStr">
        <is>
          <t>'=K44</t>
        </is>
      </c>
      <c r="D2477" t="inlineStr">
        <is>
          <t>3e5ba3f4156b176b8148bdf783ad12b0f941cadf892bab77806a15878344b0af</t>
        </is>
      </c>
    </row>
    <row r="2478">
      <c r="A2478" t="inlineStr">
        <is>
          <t>附表10</t>
        </is>
      </c>
      <c r="B2478" t="inlineStr">
        <is>
          <t>C9</t>
        </is>
      </c>
      <c r="C2478" t="inlineStr">
        <is>
          <t>'=SUM(D9,E9,F9,G9,H9,I9,J9,K9,L9,M9,N9,O9,P9,Q9,R9,S9,T9,U9,V9,W9,X9,Y9,Z9,AA9,AB9)</t>
        </is>
      </c>
      <c r="D2478" t="inlineStr">
        <is>
          <t>cd93382eb2d4399e8bb4b1c9d7d904fb49023e4395121552bd5e3872755b0c99</t>
        </is>
      </c>
    </row>
    <row r="2479">
      <c r="A2479" t="inlineStr">
        <is>
          <t>附表10</t>
        </is>
      </c>
      <c r="B2479" t="inlineStr">
        <is>
          <t>D9</t>
        </is>
      </c>
      <c r="C2479" t="inlineStr">
        <is>
          <t>'=C20</t>
        </is>
      </c>
      <c r="D2479" t="inlineStr">
        <is>
          <t>3af5621e34aadf68971d356d9efa547567a481ccff556263c8ba281f03bc43a6</t>
        </is>
      </c>
    </row>
    <row r="2480">
      <c r="A2480" t="inlineStr">
        <is>
          <t>附表10</t>
        </is>
      </c>
      <c r="B2480" t="inlineStr">
        <is>
          <t>E9</t>
        </is>
      </c>
      <c r="C2480" t="inlineStr">
        <is>
          <t>'=C21</t>
        </is>
      </c>
      <c r="D2480" t="inlineStr">
        <is>
          <t>193d833d5845b71462b0e6a7b8b7020e53dde9a9ed39e179c34bc0f0adc0b4c9</t>
        </is>
      </c>
    </row>
    <row r="2481">
      <c r="A2481" t="inlineStr">
        <is>
          <t>附表10</t>
        </is>
      </c>
      <c r="B2481" t="inlineStr">
        <is>
          <t>F9</t>
        </is>
      </c>
      <c r="C2481" t="inlineStr">
        <is>
          <t>'=C22</t>
        </is>
      </c>
      <c r="D2481" t="inlineStr">
        <is>
          <t>b54cb7b64dd32ac59e29d233fecbde4cd312e1feece9875bd2e06af3b567e145</t>
        </is>
      </c>
    </row>
    <row r="2482">
      <c r="A2482" t="inlineStr">
        <is>
          <t>附表10</t>
        </is>
      </c>
      <c r="B2482" t="inlineStr">
        <is>
          <t>G9</t>
        </is>
      </c>
      <c r="C2482" t="inlineStr">
        <is>
          <t>'=C23</t>
        </is>
      </c>
      <c r="D2482" t="inlineStr">
        <is>
          <t>5c58f73364d112963d14b8d9d1acc46721d8fcf964f5079173fab94af4c2d65c</t>
        </is>
      </c>
    </row>
    <row r="2483">
      <c r="A2483" t="inlineStr">
        <is>
          <t>附表10</t>
        </is>
      </c>
      <c r="B2483" t="inlineStr">
        <is>
          <t>H9</t>
        </is>
      </c>
      <c r="C2483" t="inlineStr">
        <is>
          <t>'=C24</t>
        </is>
      </c>
      <c r="D2483" t="inlineStr">
        <is>
          <t>43de46d09a807da850b11cf4b9f825e6af7dfa0f1e1d17f3b5132f95ade83149</t>
        </is>
      </c>
    </row>
    <row r="2484">
      <c r="A2484" t="inlineStr">
        <is>
          <t>附表10</t>
        </is>
      </c>
      <c r="B2484" t="inlineStr">
        <is>
          <t>I9</t>
        </is>
      </c>
      <c r="C2484" t="inlineStr">
        <is>
          <t>'=C25</t>
        </is>
      </c>
      <c r="D2484" t="inlineStr">
        <is>
          <t>c3acf3980d9d88544df14844f1b5fd3b75c5cd442835abb01f8b548fe4691fb8</t>
        </is>
      </c>
    </row>
    <row r="2485">
      <c r="A2485" t="inlineStr">
        <is>
          <t>附表10</t>
        </is>
      </c>
      <c r="B2485" t="inlineStr">
        <is>
          <t>J9</t>
        </is>
      </c>
      <c r="C2485" t="inlineStr">
        <is>
          <t>'=C26</t>
        </is>
      </c>
      <c r="D2485" t="inlineStr">
        <is>
          <t>e4753ba3f76f3fc83415ab8d8cdd8a77e5b51ec6d834ff84419687a0d53db51d</t>
        </is>
      </c>
    </row>
    <row r="2486">
      <c r="A2486" t="inlineStr">
        <is>
          <t>附表10</t>
        </is>
      </c>
      <c r="B2486" t="inlineStr">
        <is>
          <t>K9</t>
        </is>
      </c>
      <c r="C2486" t="inlineStr">
        <is>
          <t>'=C27</t>
        </is>
      </c>
      <c r="D2486" t="inlineStr">
        <is>
          <t>ab0890b218feaa9f139fb33cb49c96ae21bf6b19ff47660914d0ddfe03c0c89d</t>
        </is>
      </c>
    </row>
    <row r="2487">
      <c r="A2487" t="inlineStr">
        <is>
          <t>附表10</t>
        </is>
      </c>
      <c r="B2487" t="inlineStr">
        <is>
          <t>L9</t>
        </is>
      </c>
      <c r="C2487" t="inlineStr">
        <is>
          <t>'=C28</t>
        </is>
      </c>
      <c r="D2487" t="inlineStr">
        <is>
          <t>6f165d5c9a22dffda1501afe7729c38a8ed47bbf34119815eb6eb389fc2efa8c</t>
        </is>
      </c>
    </row>
    <row r="2488">
      <c r="A2488" t="inlineStr">
        <is>
          <t>附表10</t>
        </is>
      </c>
      <c r="B2488" t="inlineStr">
        <is>
          <t>M9</t>
        </is>
      </c>
      <c r="C2488" t="inlineStr">
        <is>
          <t>'=C29</t>
        </is>
      </c>
      <c r="D2488" t="inlineStr">
        <is>
          <t>91618ce5f53efbc38bc637dfecc12775fb5be6fac2a45d04b3242b703f91946f</t>
        </is>
      </c>
    </row>
    <row r="2489">
      <c r="A2489" t="inlineStr">
        <is>
          <t>附表10</t>
        </is>
      </c>
      <c r="B2489" t="inlineStr">
        <is>
          <t>N9</t>
        </is>
      </c>
      <c r="C2489" t="inlineStr">
        <is>
          <t>'=C30</t>
        </is>
      </c>
      <c r="D2489" t="inlineStr">
        <is>
          <t>7053b1f84c72798ad508eec0f3c2f765842a6bba85da663101b39bbd58c7eda0</t>
        </is>
      </c>
    </row>
    <row r="2490">
      <c r="A2490" t="inlineStr">
        <is>
          <t>附表10</t>
        </is>
      </c>
      <c r="B2490" t="inlineStr">
        <is>
          <t>O9</t>
        </is>
      </c>
      <c r="C2490" t="inlineStr">
        <is>
          <t>'=C31</t>
        </is>
      </c>
      <c r="D2490" t="inlineStr">
        <is>
          <t>3af8c58aa833fff592c980eedb0711e9c708061c49798f04722298d64d9f80b7</t>
        </is>
      </c>
    </row>
    <row r="2491">
      <c r="A2491" t="inlineStr">
        <is>
          <t>附表10</t>
        </is>
      </c>
      <c r="B2491" t="inlineStr">
        <is>
          <t>P9</t>
        </is>
      </c>
      <c r="C2491" t="inlineStr">
        <is>
          <t>'=C32</t>
        </is>
      </c>
      <c r="D2491" t="inlineStr">
        <is>
          <t>64bed7883bbcb4cee222cf94bd9058653bf9c19cbfad6f7c876d439826db21a7</t>
        </is>
      </c>
    </row>
    <row r="2492">
      <c r="A2492" t="inlineStr">
        <is>
          <t>附表10</t>
        </is>
      </c>
      <c r="B2492" t="inlineStr">
        <is>
          <t>Q9</t>
        </is>
      </c>
      <c r="C2492" t="inlineStr">
        <is>
          <t>'=C33</t>
        </is>
      </c>
      <c r="D2492" t="inlineStr">
        <is>
          <t>107f76788d629db052c128792f733da226e3970752f3807f05fe92d0ba77ffcc</t>
        </is>
      </c>
    </row>
    <row r="2493">
      <c r="A2493" t="inlineStr">
        <is>
          <t>附表10</t>
        </is>
      </c>
      <c r="B2493" t="inlineStr">
        <is>
          <t>R9</t>
        </is>
      </c>
      <c r="C2493" t="inlineStr">
        <is>
          <t>'=C34</t>
        </is>
      </c>
      <c r="D2493" t="inlineStr">
        <is>
          <t>1f7b734b8ef59d0aa0d31dafe489144061301fd53957fd6c4b107290278fb509</t>
        </is>
      </c>
    </row>
    <row r="2494">
      <c r="A2494" t="inlineStr">
        <is>
          <t>附表10</t>
        </is>
      </c>
      <c r="B2494" t="inlineStr">
        <is>
          <t>S9</t>
        </is>
      </c>
      <c r="C2494" t="inlineStr">
        <is>
          <t>'=C35</t>
        </is>
      </c>
      <c r="D2494" t="inlineStr">
        <is>
          <t>d08b330c4cc3b8679105499e6f78c8d8490a7631f3e97f996ad72e72b56b2152</t>
        </is>
      </c>
    </row>
    <row r="2495">
      <c r="A2495" t="inlineStr">
        <is>
          <t>附表10</t>
        </is>
      </c>
      <c r="B2495" t="inlineStr">
        <is>
          <t>T9</t>
        </is>
      </c>
      <c r="C2495" t="inlineStr">
        <is>
          <t>'=C36</t>
        </is>
      </c>
      <c r="D2495" t="inlineStr">
        <is>
          <t>7bb337d05f0c53978d99f25a46a9cd4415d01ec63196efbdb88bdb7922c3991a</t>
        </is>
      </c>
    </row>
    <row r="2496">
      <c r="A2496" t="inlineStr">
        <is>
          <t>附表10</t>
        </is>
      </c>
      <c r="B2496" t="inlineStr">
        <is>
          <t>U9</t>
        </is>
      </c>
      <c r="C2496" t="inlineStr">
        <is>
          <t>'=C37</t>
        </is>
      </c>
      <c r="D2496" t="inlineStr">
        <is>
          <t>71816f9491558462d1cb75a53d9f4300bd7c9a147feb8a7246af285ba0fed056</t>
        </is>
      </c>
    </row>
    <row r="2497">
      <c r="A2497" t="inlineStr">
        <is>
          <t>附表10</t>
        </is>
      </c>
      <c r="B2497" t="inlineStr">
        <is>
          <t>V9</t>
        </is>
      </c>
      <c r="C2497" t="inlineStr">
        <is>
          <t>'=C38</t>
        </is>
      </c>
      <c r="D2497" t="inlineStr">
        <is>
          <t>c7347c5ff799cd95f98d42326b7d9b2d4b8df2874282786aa2fb32e40ed3646d</t>
        </is>
      </c>
    </row>
    <row r="2498">
      <c r="A2498" t="inlineStr">
        <is>
          <t>附表10</t>
        </is>
      </c>
      <c r="B2498" t="inlineStr">
        <is>
          <t>W9</t>
        </is>
      </c>
      <c r="C2498" t="inlineStr">
        <is>
          <t>'=C39</t>
        </is>
      </c>
      <c r="D2498" t="inlineStr">
        <is>
          <t>f53e20e9f2d916f0f1cb90c71e3a5731af3f96f2fdcd50dce970f2816fbf61e1</t>
        </is>
      </c>
    </row>
    <row r="2499">
      <c r="A2499" t="inlineStr">
        <is>
          <t>附表10</t>
        </is>
      </c>
      <c r="B2499" t="inlineStr">
        <is>
          <t>X9</t>
        </is>
      </c>
      <c r="C2499" t="inlineStr">
        <is>
          <t>'=C40</t>
        </is>
      </c>
      <c r="D2499" t="inlineStr">
        <is>
          <t>721e5fcb705d4919ec4c272fe4cebc8d2912b9ff0e793bbdc50c23f2e0b6a352</t>
        </is>
      </c>
    </row>
    <row r="2500">
      <c r="A2500" t="inlineStr">
        <is>
          <t>附表10</t>
        </is>
      </c>
      <c r="B2500" t="inlineStr">
        <is>
          <t>Y9</t>
        </is>
      </c>
      <c r="C2500" t="inlineStr">
        <is>
          <t>'=C41</t>
        </is>
      </c>
      <c r="D2500" t="inlineStr">
        <is>
          <t>ee37432d42122e6ce613c8c5d75f49ebd873d386e05774faaf1a49c5aed8b275</t>
        </is>
      </c>
    </row>
    <row r="2501">
      <c r="A2501" t="inlineStr">
        <is>
          <t>附表10</t>
        </is>
      </c>
      <c r="B2501" t="inlineStr">
        <is>
          <t>Z9</t>
        </is>
      </c>
      <c r="C2501" t="inlineStr">
        <is>
          <t>'=C42</t>
        </is>
      </c>
      <c r="D2501" t="inlineStr">
        <is>
          <t>b28a9da389888874581e0650d6f25054803fc47f18c528979d0419ea2c534107</t>
        </is>
      </c>
    </row>
    <row r="2502">
      <c r="A2502" t="inlineStr">
        <is>
          <t>附表10</t>
        </is>
      </c>
      <c r="B2502" t="inlineStr">
        <is>
          <t>AA9</t>
        </is>
      </c>
      <c r="C2502" t="inlineStr">
        <is>
          <t>'=C43</t>
        </is>
      </c>
      <c r="D2502" t="inlineStr">
        <is>
          <t>26f9dc951b0d5361c07c3ae8cd5c6ac63a3e04d9aa66a40872ad1fa3b289de3e</t>
        </is>
      </c>
    </row>
    <row r="2503">
      <c r="A2503" t="inlineStr">
        <is>
          <t>附表10</t>
        </is>
      </c>
      <c r="B2503" t="inlineStr">
        <is>
          <t>AB9</t>
        </is>
      </c>
      <c r="C2503" t="inlineStr">
        <is>
          <t>'=C44</t>
        </is>
      </c>
      <c r="D2503" t="inlineStr">
        <is>
          <t>7691c1e330ce550e27e0ee31a813daa512bd252da747c67406c6a894ca3d5d01</t>
        </is>
      </c>
    </row>
    <row r="2504">
      <c r="A2504" t="inlineStr">
        <is>
          <t>附表10</t>
        </is>
      </c>
      <c r="B2504" t="inlineStr">
        <is>
          <t>C10</t>
        </is>
      </c>
      <c r="C2504" t="inlineStr">
        <is>
          <t>'=SUM(D10,E10,F10,G10,H10,I10,J10,K10,L10,M10,N10,O10,P10,Q10,R10,S10,T10,U10,V10,W10,X10,Y10,Z10,AA10,AB10)</t>
        </is>
      </c>
      <c r="D2504" t="inlineStr">
        <is>
          <t>c647baec30b1e290d2b8700a5a56febb240c2e0de244e78da8f8761a78374715</t>
        </is>
      </c>
    </row>
    <row r="2505">
      <c r="A2505" t="inlineStr">
        <is>
          <t>附表10</t>
        </is>
      </c>
      <c r="B2505" t="inlineStr">
        <is>
          <t>D10</t>
        </is>
      </c>
      <c r="C2505" t="inlineStr">
        <is>
          <t>'=M20</t>
        </is>
      </c>
      <c r="D2505" t="inlineStr">
        <is>
          <t>039ba62338854a029c4840f4cd5566416e417b799e4f336ce5fc30f9fcf7dbec</t>
        </is>
      </c>
    </row>
    <row r="2506">
      <c r="A2506" t="inlineStr">
        <is>
          <t>附表10</t>
        </is>
      </c>
      <c r="B2506" t="inlineStr">
        <is>
          <t>E10</t>
        </is>
      </c>
      <c r="C2506" t="inlineStr">
        <is>
          <t>'=M21</t>
        </is>
      </c>
      <c r="D2506" t="inlineStr">
        <is>
          <t>0f0fc58a77bb1b12b96e392cc7c960a10ea426550000a6f3adafa9a2dfb5e6d0</t>
        </is>
      </c>
    </row>
    <row r="2507">
      <c r="A2507" t="inlineStr">
        <is>
          <t>附表10</t>
        </is>
      </c>
      <c r="B2507" t="inlineStr">
        <is>
          <t>F10</t>
        </is>
      </c>
      <c r="C2507" t="inlineStr">
        <is>
          <t>'=M22</t>
        </is>
      </c>
      <c r="D2507" t="inlineStr">
        <is>
          <t>b7f5eb7ab87b20e8996f29d6f684b1866e4429e83061c06c25e2d32134737c20</t>
        </is>
      </c>
    </row>
    <row r="2508">
      <c r="A2508" t="inlineStr">
        <is>
          <t>附表10</t>
        </is>
      </c>
      <c r="B2508" t="inlineStr">
        <is>
          <t>G10</t>
        </is>
      </c>
      <c r="C2508" t="inlineStr">
        <is>
          <t>'=M23</t>
        </is>
      </c>
      <c r="D2508" t="inlineStr">
        <is>
          <t>16bf62b66e32f579753f4239d259aedc485f7d194d6d17a7df7ea325678c5323</t>
        </is>
      </c>
    </row>
    <row r="2509">
      <c r="A2509" t="inlineStr">
        <is>
          <t>附表10</t>
        </is>
      </c>
      <c r="B2509" t="inlineStr">
        <is>
          <t>H10</t>
        </is>
      </c>
      <c r="C2509" t="inlineStr">
        <is>
          <t>'=M24</t>
        </is>
      </c>
      <c r="D2509" t="inlineStr">
        <is>
          <t>8bf248bbb54993f5d1ab87884d8085eecae7097fbf5ccc682c573f6816444d0a</t>
        </is>
      </c>
    </row>
    <row r="2510">
      <c r="A2510" t="inlineStr">
        <is>
          <t>附表10</t>
        </is>
      </c>
      <c r="B2510" t="inlineStr">
        <is>
          <t>I10</t>
        </is>
      </c>
      <c r="C2510" t="inlineStr">
        <is>
          <t>'=M25</t>
        </is>
      </c>
      <c r="D2510" t="inlineStr">
        <is>
          <t>4246d42433474cd48f21616b98a4ddf8c06536f9c2fb794f822f3ba9ab8cde9a</t>
        </is>
      </c>
    </row>
    <row r="2511">
      <c r="A2511" t="inlineStr">
        <is>
          <t>附表10</t>
        </is>
      </c>
      <c r="B2511" t="inlineStr">
        <is>
          <t>J10</t>
        </is>
      </c>
      <c r="C2511" t="inlineStr">
        <is>
          <t>'=M26</t>
        </is>
      </c>
      <c r="D2511" t="inlineStr">
        <is>
          <t>0944bb851102a30b65ef6305ebf832afef1781152eeee6990d1224eecbce2fca</t>
        </is>
      </c>
    </row>
    <row r="2512">
      <c r="A2512" t="inlineStr">
        <is>
          <t>附表10</t>
        </is>
      </c>
      <c r="B2512" t="inlineStr">
        <is>
          <t>K10</t>
        </is>
      </c>
      <c r="C2512" t="inlineStr">
        <is>
          <t>'=M27</t>
        </is>
      </c>
      <c r="D2512" t="inlineStr">
        <is>
          <t>0a52e6ac86b1200fb27f1f2c10e4a423f502cbf94bebf35e3d1fec6f31fda433</t>
        </is>
      </c>
    </row>
    <row r="2513">
      <c r="A2513" t="inlineStr">
        <is>
          <t>附表10</t>
        </is>
      </c>
      <c r="B2513" t="inlineStr">
        <is>
          <t>L10</t>
        </is>
      </c>
      <c r="C2513" t="inlineStr">
        <is>
          <t>'=M28</t>
        </is>
      </c>
      <c r="D2513" t="inlineStr">
        <is>
          <t>fc7196b6d419c4b79a5e863cb2636474efe1eab4e13a8a16bc5e06c6e9d99fa3</t>
        </is>
      </c>
    </row>
    <row r="2514">
      <c r="A2514" t="inlineStr">
        <is>
          <t>附表10</t>
        </is>
      </c>
      <c r="B2514" t="inlineStr">
        <is>
          <t>M10</t>
        </is>
      </c>
      <c r="C2514" t="inlineStr">
        <is>
          <t>'=M29</t>
        </is>
      </c>
      <c r="D2514" t="inlineStr">
        <is>
          <t>9cba700b0676871e3ccbdf5ce2a9fb6d2257f035c96eb01588572fa23952dfc4</t>
        </is>
      </c>
    </row>
    <row r="2515">
      <c r="A2515" t="inlineStr">
        <is>
          <t>附表10</t>
        </is>
      </c>
      <c r="B2515" t="inlineStr">
        <is>
          <t>N10</t>
        </is>
      </c>
      <c r="C2515" t="inlineStr">
        <is>
          <t>'=M30</t>
        </is>
      </c>
      <c r="D2515" t="inlineStr">
        <is>
          <t>a42b00a905fb4cfee2a0a45a2b006836a47ed4041749c1bdc71ee585edeb1d58</t>
        </is>
      </c>
    </row>
    <row r="2516">
      <c r="A2516" t="inlineStr">
        <is>
          <t>附表10</t>
        </is>
      </c>
      <c r="B2516" t="inlineStr">
        <is>
          <t>O10</t>
        </is>
      </c>
      <c r="C2516" t="inlineStr">
        <is>
          <t>'=M31</t>
        </is>
      </c>
      <c r="D2516" t="inlineStr">
        <is>
          <t>4da9977465a58e46870d20096b897dd3a0c00dc18ff9ecdb7c2facc65428d317</t>
        </is>
      </c>
    </row>
    <row r="2517">
      <c r="A2517" t="inlineStr">
        <is>
          <t>附表10</t>
        </is>
      </c>
      <c r="B2517" t="inlineStr">
        <is>
          <t>P10</t>
        </is>
      </c>
      <c r="C2517" t="inlineStr">
        <is>
          <t>'=M32</t>
        </is>
      </c>
      <c r="D2517" t="inlineStr">
        <is>
          <t>da8e90c1e3972d7c6fee9f904b5d0a55fd0fe5f635da3d0acc9759d9700bd09b</t>
        </is>
      </c>
    </row>
    <row r="2518">
      <c r="A2518" t="inlineStr">
        <is>
          <t>附表10</t>
        </is>
      </c>
      <c r="B2518" t="inlineStr">
        <is>
          <t>Q10</t>
        </is>
      </c>
      <c r="C2518" t="inlineStr">
        <is>
          <t>'=M33</t>
        </is>
      </c>
      <c r="D2518" t="inlineStr">
        <is>
          <t>88b73fe9dac8f4a86ce4c1d3fc3ef25efb059fd164427870d125f76efdbe8972</t>
        </is>
      </c>
    </row>
    <row r="2519">
      <c r="A2519" t="inlineStr">
        <is>
          <t>附表10</t>
        </is>
      </c>
      <c r="B2519" t="inlineStr">
        <is>
          <t>R10</t>
        </is>
      </c>
      <c r="C2519" t="inlineStr">
        <is>
          <t>'=M34</t>
        </is>
      </c>
      <c r="D2519" t="inlineStr">
        <is>
          <t>60b941f238d96e79fb644811a84b9ffbedb5d80e91989b115749708cc74684dd</t>
        </is>
      </c>
    </row>
    <row r="2520">
      <c r="A2520" t="inlineStr">
        <is>
          <t>附表10</t>
        </is>
      </c>
      <c r="B2520" t="inlineStr">
        <is>
          <t>S10</t>
        </is>
      </c>
      <c r="C2520" t="inlineStr">
        <is>
          <t>'=M35</t>
        </is>
      </c>
      <c r="D2520" t="inlineStr">
        <is>
          <t>0525a182de60bf66ab223535e8d3a1497fe9804fdc72f0143cb75cf8fd466b58</t>
        </is>
      </c>
    </row>
    <row r="2521">
      <c r="A2521" t="inlineStr">
        <is>
          <t>附表10</t>
        </is>
      </c>
      <c r="B2521" t="inlineStr">
        <is>
          <t>T10</t>
        </is>
      </c>
      <c r="C2521" t="inlineStr">
        <is>
          <t>'=M36</t>
        </is>
      </c>
      <c r="D2521" t="inlineStr">
        <is>
          <t>3d52d19ae443304a2053678ea076aa9b990e65ed39f1aa61a3499023e10c62de</t>
        </is>
      </c>
    </row>
    <row r="2522">
      <c r="A2522" t="inlineStr">
        <is>
          <t>附表10</t>
        </is>
      </c>
      <c r="B2522" t="inlineStr">
        <is>
          <t>U10</t>
        </is>
      </c>
      <c r="C2522" t="inlineStr">
        <is>
          <t>'=M37</t>
        </is>
      </c>
      <c r="D2522" t="inlineStr">
        <is>
          <t>d0f19fbb1fa341e775042081a4624e876e9d76c328af49589907d767c78eccf6</t>
        </is>
      </c>
    </row>
    <row r="2523">
      <c r="A2523" t="inlineStr">
        <is>
          <t>附表10</t>
        </is>
      </c>
      <c r="B2523" t="inlineStr">
        <is>
          <t>V10</t>
        </is>
      </c>
      <c r="C2523" t="inlineStr">
        <is>
          <t>'=M38</t>
        </is>
      </c>
      <c r="D2523" t="inlineStr">
        <is>
          <t>e21e3ab0e80272fd1be933fee7d7791dcb358d0e37731468224c554d7537266e</t>
        </is>
      </c>
    </row>
    <row r="2524">
      <c r="A2524" t="inlineStr">
        <is>
          <t>附表10</t>
        </is>
      </c>
      <c r="B2524" t="inlineStr">
        <is>
          <t>W10</t>
        </is>
      </c>
      <c r="C2524" t="inlineStr">
        <is>
          <t>'=M39</t>
        </is>
      </c>
      <c r="D2524" t="inlineStr">
        <is>
          <t>2e9a7877b76aa0669f73b97346ed87748e11395a5d5028e4ea68b1765501ad11</t>
        </is>
      </c>
    </row>
    <row r="2525">
      <c r="A2525" t="inlineStr">
        <is>
          <t>附表10</t>
        </is>
      </c>
      <c r="B2525" t="inlineStr">
        <is>
          <t>X10</t>
        </is>
      </c>
      <c r="C2525" t="inlineStr">
        <is>
          <t>'=M40</t>
        </is>
      </c>
      <c r="D2525" t="inlineStr">
        <is>
          <t>e86c68396c3e6c912a9784dcce56e1de87c8fcd4df408127c8d4540f66d43e36</t>
        </is>
      </c>
    </row>
    <row r="2526">
      <c r="A2526" t="inlineStr">
        <is>
          <t>附表10</t>
        </is>
      </c>
      <c r="B2526" t="inlineStr">
        <is>
          <t>Y10</t>
        </is>
      </c>
      <c r="C2526" t="inlineStr">
        <is>
          <t>'=M41</t>
        </is>
      </c>
      <c r="D2526" t="inlineStr">
        <is>
          <t>df5d04f0ecd45bb804104f60a4bda0de27dcb2ba81ca094086a9a48202ab5d7d</t>
        </is>
      </c>
    </row>
    <row r="2527">
      <c r="A2527" t="inlineStr">
        <is>
          <t>附表10</t>
        </is>
      </c>
      <c r="B2527" t="inlineStr">
        <is>
          <t>Z10</t>
        </is>
      </c>
      <c r="C2527" t="inlineStr">
        <is>
          <t>'=M42</t>
        </is>
      </c>
      <c r="D2527" t="inlineStr">
        <is>
          <t>00a5e42b037daf80a599ad7bd02d7f349e58bcba0cc6ed6cec6bc44fa60747bd</t>
        </is>
      </c>
    </row>
    <row r="2528">
      <c r="A2528" t="inlineStr">
        <is>
          <t>附表10</t>
        </is>
      </c>
      <c r="B2528" t="inlineStr">
        <is>
          <t>AA10</t>
        </is>
      </c>
      <c r="C2528" t="inlineStr">
        <is>
          <t>'=M43</t>
        </is>
      </c>
      <c r="D2528" t="inlineStr">
        <is>
          <t>89ffe7a2c09ecbff53cec911a5438472ec56ffba284bab5c62c81834e6a14695</t>
        </is>
      </c>
    </row>
    <row r="2529">
      <c r="A2529" t="inlineStr">
        <is>
          <t>附表10</t>
        </is>
      </c>
      <c r="B2529" t="inlineStr">
        <is>
          <t>AB10</t>
        </is>
      </c>
      <c r="C2529" t="inlineStr">
        <is>
          <t>'=M44</t>
        </is>
      </c>
      <c r="D2529" t="inlineStr">
        <is>
          <t>54e34958d1825a4ce5f38035d301554475d22e8815bfc7e8678f5ba764de5a2d</t>
        </is>
      </c>
    </row>
    <row r="2530">
      <c r="A2530" t="inlineStr">
        <is>
          <t>附表10</t>
        </is>
      </c>
      <c r="B2530" t="inlineStr">
        <is>
          <t>C11</t>
        </is>
      </c>
      <c r="C2530" t="inlineStr">
        <is>
          <t>'=SUM(D11,E11,F11,G11,H11,I11,J11,K11,L11,M11,N11,O11,P11,Q11,R11,S11,T11,U11,V11,W11,X11,Y11,Z11,AA11,AB11)</t>
        </is>
      </c>
      <c r="D2530" t="inlineStr">
        <is>
          <t>5f76884b48552e8ace114797fc70054a04716a1c7219e6ff643d111d5061bab6</t>
        </is>
      </c>
    </row>
    <row r="2531">
      <c r="A2531" t="inlineStr">
        <is>
          <t>附表10</t>
        </is>
      </c>
      <c r="B2531" t="inlineStr">
        <is>
          <t>D11</t>
        </is>
      </c>
      <c r="C2531" t="inlineStr">
        <is>
          <t>'=N20</t>
        </is>
      </c>
      <c r="D2531" t="inlineStr">
        <is>
          <t>264ef19530b9a30f80ff7164c41a60caef54a24c8f32fee75c85f57883cc63ef</t>
        </is>
      </c>
    </row>
    <row r="2532">
      <c r="A2532" t="inlineStr">
        <is>
          <t>附表10</t>
        </is>
      </c>
      <c r="B2532" t="inlineStr">
        <is>
          <t>E11</t>
        </is>
      </c>
      <c r="C2532" t="inlineStr">
        <is>
          <t>'=N21</t>
        </is>
      </c>
      <c r="D2532" t="inlineStr">
        <is>
          <t>78639931acb381ef609814e99109582b86f9a84fe443a11111edf3790ac65a09</t>
        </is>
      </c>
    </row>
    <row r="2533">
      <c r="A2533" t="inlineStr">
        <is>
          <t>附表10</t>
        </is>
      </c>
      <c r="B2533" t="inlineStr">
        <is>
          <t>F11</t>
        </is>
      </c>
      <c r="C2533" t="inlineStr">
        <is>
          <t>'=N22</t>
        </is>
      </c>
      <c r="D2533" t="inlineStr">
        <is>
          <t>82c6ce5790d96a7f17805a305e800b9375538e9ffdebee5bd9cd7f4926590e92</t>
        </is>
      </c>
    </row>
    <row r="2534">
      <c r="A2534" t="inlineStr">
        <is>
          <t>附表10</t>
        </is>
      </c>
      <c r="B2534" t="inlineStr">
        <is>
          <t>G11</t>
        </is>
      </c>
      <c r="C2534" t="inlineStr">
        <is>
          <t>'=N23</t>
        </is>
      </c>
      <c r="D2534" t="inlineStr">
        <is>
          <t>6ef3f467596e60078e1f423d096618ed7619564b2d29bf0bad15199c7f315a03</t>
        </is>
      </c>
    </row>
    <row r="2535">
      <c r="A2535" t="inlineStr">
        <is>
          <t>附表10</t>
        </is>
      </c>
      <c r="B2535" t="inlineStr">
        <is>
          <t>H11</t>
        </is>
      </c>
      <c r="C2535" t="inlineStr">
        <is>
          <t>'=N24</t>
        </is>
      </c>
      <c r="D2535" t="inlineStr">
        <is>
          <t>f091d1e1292d7919fbfb159f4069dfc084051c13285ecff5d8661e48d9c589da</t>
        </is>
      </c>
    </row>
    <row r="2536">
      <c r="A2536" t="inlineStr">
        <is>
          <t>附表10</t>
        </is>
      </c>
      <c r="B2536" t="inlineStr">
        <is>
          <t>I11</t>
        </is>
      </c>
      <c r="C2536" t="inlineStr">
        <is>
          <t>'=N25</t>
        </is>
      </c>
      <c r="D2536" t="inlineStr">
        <is>
          <t>eaace1d130c1ba89144a0d671646e4945d8dff03c72e37ba52e5351492b7dc60</t>
        </is>
      </c>
    </row>
    <row r="2537">
      <c r="A2537" t="inlineStr">
        <is>
          <t>附表10</t>
        </is>
      </c>
      <c r="B2537" t="inlineStr">
        <is>
          <t>J11</t>
        </is>
      </c>
      <c r="C2537" t="inlineStr">
        <is>
          <t>'=N26</t>
        </is>
      </c>
      <c r="D2537" t="inlineStr">
        <is>
          <t>31ed54a5e2ed485c23ac30ca0beb8bc278175fa46f17f45a6517bee5a24c2f2b</t>
        </is>
      </c>
    </row>
    <row r="2538">
      <c r="A2538" t="inlineStr">
        <is>
          <t>附表10</t>
        </is>
      </c>
      <c r="B2538" t="inlineStr">
        <is>
          <t>K11</t>
        </is>
      </c>
      <c r="C2538" t="inlineStr">
        <is>
          <t>'=N27</t>
        </is>
      </c>
      <c r="D2538" t="inlineStr">
        <is>
          <t>f8b1529d0b4f703da3f1528de20579db55d0dc3d50d8e19c4527f475696f792d</t>
        </is>
      </c>
    </row>
    <row r="2539">
      <c r="A2539" t="inlineStr">
        <is>
          <t>附表10</t>
        </is>
      </c>
      <c r="B2539" t="inlineStr">
        <is>
          <t>L11</t>
        </is>
      </c>
      <c r="C2539" t="inlineStr">
        <is>
          <t>'=N28</t>
        </is>
      </c>
      <c r="D2539" t="inlineStr">
        <is>
          <t>c643c3873b96691ae85aadf11d5369e2cfae6e96cea9cacf1be33edebaa55f92</t>
        </is>
      </c>
    </row>
    <row r="2540">
      <c r="A2540" t="inlineStr">
        <is>
          <t>附表10</t>
        </is>
      </c>
      <c r="B2540" t="inlineStr">
        <is>
          <t>M11</t>
        </is>
      </c>
      <c r="C2540" t="inlineStr">
        <is>
          <t>'=N29</t>
        </is>
      </c>
      <c r="D2540" t="inlineStr">
        <is>
          <t>9c0e37c6730ce65d5fcc36f251f5f254a05d0de2bfaab08cb11694596f0d4cdf</t>
        </is>
      </c>
    </row>
    <row r="2541">
      <c r="A2541" t="inlineStr">
        <is>
          <t>附表10</t>
        </is>
      </c>
      <c r="B2541" t="inlineStr">
        <is>
          <t>N11</t>
        </is>
      </c>
      <c r="C2541" t="inlineStr">
        <is>
          <t>'=N30</t>
        </is>
      </c>
      <c r="D2541" t="inlineStr">
        <is>
          <t>e63714d10e5c65ab43975b4941f7e9695630d9f72308928d2dbf0baa2e12372c</t>
        </is>
      </c>
    </row>
    <row r="2542">
      <c r="A2542" t="inlineStr">
        <is>
          <t>附表10</t>
        </is>
      </c>
      <c r="B2542" t="inlineStr">
        <is>
          <t>O11</t>
        </is>
      </c>
      <c r="C2542" t="inlineStr">
        <is>
          <t>'=N31</t>
        </is>
      </c>
      <c r="D2542" t="inlineStr">
        <is>
          <t>84deb64348ed44d4dc1c730ecbc1c664c743413a94caea501c265247b64c861e</t>
        </is>
      </c>
    </row>
    <row r="2543">
      <c r="A2543" t="inlineStr">
        <is>
          <t>附表10</t>
        </is>
      </c>
      <c r="B2543" t="inlineStr">
        <is>
          <t>P11</t>
        </is>
      </c>
      <c r="C2543" t="inlineStr">
        <is>
          <t>'=N32</t>
        </is>
      </c>
      <c r="D2543" t="inlineStr">
        <is>
          <t>989c3d5e7df74e49b659a805f96818338bc6c61c09528df5e577da5dea9482e8</t>
        </is>
      </c>
    </row>
    <row r="2544">
      <c r="A2544" t="inlineStr">
        <is>
          <t>附表10</t>
        </is>
      </c>
      <c r="B2544" t="inlineStr">
        <is>
          <t>Q11</t>
        </is>
      </c>
      <c r="C2544" t="inlineStr">
        <is>
          <t>'=N33</t>
        </is>
      </c>
      <c r="D2544" t="inlineStr">
        <is>
          <t>b9010ad929d66578e5e91f7536329c34fc95b89e2ff904eee883677ba7981e3e</t>
        </is>
      </c>
    </row>
    <row r="2545">
      <c r="A2545" t="inlineStr">
        <is>
          <t>附表10</t>
        </is>
      </c>
      <c r="B2545" t="inlineStr">
        <is>
          <t>R11</t>
        </is>
      </c>
      <c r="C2545" t="inlineStr">
        <is>
          <t>'=N34</t>
        </is>
      </c>
      <c r="D2545" t="inlineStr">
        <is>
          <t>7823e2dedbe3ad79845275bc825c231b3d39ab4c64265266538b322b9c6fab11</t>
        </is>
      </c>
    </row>
    <row r="2546">
      <c r="A2546" t="inlineStr">
        <is>
          <t>附表10</t>
        </is>
      </c>
      <c r="B2546" t="inlineStr">
        <is>
          <t>S11</t>
        </is>
      </c>
      <c r="C2546" t="inlineStr">
        <is>
          <t>'=N35</t>
        </is>
      </c>
      <c r="D2546" t="inlineStr">
        <is>
          <t>4e6c785ccae09978337919abe4e419d791c299ae5b7f7c2bae97f98808cfc385</t>
        </is>
      </c>
    </row>
    <row r="2547">
      <c r="A2547" t="inlineStr">
        <is>
          <t>附表10</t>
        </is>
      </c>
      <c r="B2547" t="inlineStr">
        <is>
          <t>T11</t>
        </is>
      </c>
      <c r="C2547" t="inlineStr">
        <is>
          <t>'=N36</t>
        </is>
      </c>
      <c r="D2547" t="inlineStr">
        <is>
          <t>184ac37088d3a671df222804cacafdacf550919a699477bc99e0d8265035f83d</t>
        </is>
      </c>
    </row>
    <row r="2548">
      <c r="A2548" t="inlineStr">
        <is>
          <t>附表10</t>
        </is>
      </c>
      <c r="B2548" t="inlineStr">
        <is>
          <t>U11</t>
        </is>
      </c>
      <c r="C2548" t="inlineStr">
        <is>
          <t>'=N37</t>
        </is>
      </c>
      <c r="D2548" t="inlineStr">
        <is>
          <t>396bd821275e5a26790ab0a0416ba97ec0703fd89097a811f0e916cf8242ed2b</t>
        </is>
      </c>
    </row>
    <row r="2549">
      <c r="A2549" t="inlineStr">
        <is>
          <t>附表10</t>
        </is>
      </c>
      <c r="B2549" t="inlineStr">
        <is>
          <t>V11</t>
        </is>
      </c>
      <c r="C2549" t="inlineStr">
        <is>
          <t>'=N38</t>
        </is>
      </c>
      <c r="D2549" t="inlineStr">
        <is>
          <t>29bff02819e5e1f1efa970c7ae7cd9925ac2f406141419d854a9b92190fa0e98</t>
        </is>
      </c>
    </row>
    <row r="2550">
      <c r="A2550" t="inlineStr">
        <is>
          <t>附表10</t>
        </is>
      </c>
      <c r="B2550" t="inlineStr">
        <is>
          <t>W11</t>
        </is>
      </c>
      <c r="C2550" t="inlineStr">
        <is>
          <t>'=N39</t>
        </is>
      </c>
      <c r="D2550" t="inlineStr">
        <is>
          <t>24350951c9338038561a378e4d68f5d63cfd88fea5f50c48b0f4a58ddd513705</t>
        </is>
      </c>
    </row>
    <row r="2551">
      <c r="A2551" t="inlineStr">
        <is>
          <t>附表10</t>
        </is>
      </c>
      <c r="B2551" t="inlineStr">
        <is>
          <t>X11</t>
        </is>
      </c>
      <c r="C2551" t="inlineStr">
        <is>
          <t>'=N40</t>
        </is>
      </c>
      <c r="D2551" t="inlineStr">
        <is>
          <t>bb3345d5bd298dff9a5036b639cd6b2f9b3e4496eb71e53ecc0e5e3d73782959</t>
        </is>
      </c>
    </row>
    <row r="2552">
      <c r="A2552" t="inlineStr">
        <is>
          <t>附表10</t>
        </is>
      </c>
      <c r="B2552" t="inlineStr">
        <is>
          <t>Y11</t>
        </is>
      </c>
      <c r="C2552" t="inlineStr">
        <is>
          <t>'=N41</t>
        </is>
      </c>
      <c r="D2552" t="inlineStr">
        <is>
          <t>c98b5c7e24d0cf9b947117972c739785c42af4b40ce31683067ee1e81349c4b9</t>
        </is>
      </c>
    </row>
    <row r="2553">
      <c r="A2553" t="inlineStr">
        <is>
          <t>附表10</t>
        </is>
      </c>
      <c r="B2553" t="inlineStr">
        <is>
          <t>Z11</t>
        </is>
      </c>
      <c r="C2553" t="inlineStr">
        <is>
          <t>'=N42</t>
        </is>
      </c>
      <c r="D2553" t="inlineStr">
        <is>
          <t>efa83d83f4b65eb2c5f7017abacef2a2fd70169abfd5b89719733a2d1155fbeb</t>
        </is>
      </c>
    </row>
    <row r="2554">
      <c r="A2554" t="inlineStr">
        <is>
          <t>附表10</t>
        </is>
      </c>
      <c r="B2554" t="inlineStr">
        <is>
          <t>AA11</t>
        </is>
      </c>
      <c r="C2554" t="inlineStr">
        <is>
          <t>'=N43</t>
        </is>
      </c>
      <c r="D2554" t="inlineStr">
        <is>
          <t>346cc81d4a4ceee21eb71c45baa88bbb4d7f8c74e4c257077a96f3dcc03cd9ab</t>
        </is>
      </c>
    </row>
    <row r="2555">
      <c r="A2555" t="inlineStr">
        <is>
          <t>附表10</t>
        </is>
      </c>
      <c r="B2555" t="inlineStr">
        <is>
          <t>AB11</t>
        </is>
      </c>
      <c r="C2555" t="inlineStr">
        <is>
          <t>'=N44</t>
        </is>
      </c>
      <c r="D2555" t="inlineStr">
        <is>
          <t>860ac63b1ccc12306fd24a80f9ee44d9e5fe26d7fe9b1c6537b740697300f3e3</t>
        </is>
      </c>
    </row>
    <row r="2556">
      <c r="A2556" t="inlineStr">
        <is>
          <t>附表10</t>
        </is>
      </c>
      <c r="B2556" t="inlineStr">
        <is>
          <t>C12</t>
        </is>
      </c>
      <c r="C2556" t="inlineStr">
        <is>
          <t>'=SUM(D12,E12,F12,G12,H12,I12,J12,K12,L12,M12,N12,O12,P12,Q12,R12,S12,T12,U12,V12,W12,X12,Y12,Z12,AA12,AB12)</t>
        </is>
      </c>
      <c r="D2556" t="inlineStr">
        <is>
          <t>bcd0aaa6791e35bfc8d0381fc192a6c772019911bc63b5eeb685f60a38fc1ebc</t>
        </is>
      </c>
    </row>
    <row r="2557">
      <c r="A2557" t="inlineStr">
        <is>
          <t>附表10</t>
        </is>
      </c>
      <c r="B2557" t="inlineStr">
        <is>
          <t>D12</t>
        </is>
      </c>
      <c r="C2557" t="inlineStr">
        <is>
          <t>'=G20</t>
        </is>
      </c>
      <c r="D2557" t="inlineStr">
        <is>
          <t>d23487311ba0c43237e3016b6ff9f75d59a6418023be964e66f103080bea1d3d</t>
        </is>
      </c>
    </row>
    <row r="2558">
      <c r="A2558" t="inlineStr">
        <is>
          <t>附表10</t>
        </is>
      </c>
      <c r="B2558" t="inlineStr">
        <is>
          <t>E12</t>
        </is>
      </c>
      <c r="C2558" t="inlineStr">
        <is>
          <t>'=G21</t>
        </is>
      </c>
      <c r="D2558" t="inlineStr">
        <is>
          <t>6660d8bde084b2f81a1f5c49f114b55a041645bb4dd90fd138c8fd08417cf095</t>
        </is>
      </c>
    </row>
    <row r="2559">
      <c r="A2559" t="inlineStr">
        <is>
          <t>附表10</t>
        </is>
      </c>
      <c r="B2559" t="inlineStr">
        <is>
          <t>F12</t>
        </is>
      </c>
      <c r="C2559" t="inlineStr">
        <is>
          <t>'=G22</t>
        </is>
      </c>
      <c r="D2559" t="inlineStr">
        <is>
          <t>47f176c3cbf94fd27a240a68b6e339a3ccff4cc63fdf2d697b571a0eb45dbcdf</t>
        </is>
      </c>
    </row>
    <row r="2560">
      <c r="A2560" t="inlineStr">
        <is>
          <t>附表10</t>
        </is>
      </c>
      <c r="B2560" t="inlineStr">
        <is>
          <t>G12</t>
        </is>
      </c>
      <c r="C2560" t="inlineStr">
        <is>
          <t>'=G23</t>
        </is>
      </c>
      <c r="D2560" t="inlineStr">
        <is>
          <t>ad6dd1cbb711dcbbef9c285bf71326e6f8333d6389cf9c13ed4749837a3f404e</t>
        </is>
      </c>
    </row>
    <row r="2561">
      <c r="A2561" t="inlineStr">
        <is>
          <t>附表10</t>
        </is>
      </c>
      <c r="B2561" t="inlineStr">
        <is>
          <t>H12</t>
        </is>
      </c>
      <c r="C2561" t="inlineStr">
        <is>
          <t>'=G24</t>
        </is>
      </c>
      <c r="D2561" t="inlineStr">
        <is>
          <t>e873a113f3cb6a4181ed56f6cbdbfe6533c7b52fff3d19a58074b39247c01639</t>
        </is>
      </c>
    </row>
    <row r="2562">
      <c r="A2562" t="inlineStr">
        <is>
          <t>附表10</t>
        </is>
      </c>
      <c r="B2562" t="inlineStr">
        <is>
          <t>I12</t>
        </is>
      </c>
      <c r="C2562" t="inlineStr">
        <is>
          <t>'=G25</t>
        </is>
      </c>
      <c r="D2562" t="inlineStr">
        <is>
          <t>5c9ed5f0c2507d58baf81c8840b53532d1b826c768b1c9aa97384529d2db27dc</t>
        </is>
      </c>
    </row>
    <row r="2563">
      <c r="A2563" t="inlineStr">
        <is>
          <t>附表10</t>
        </is>
      </c>
      <c r="B2563" t="inlineStr">
        <is>
          <t>J12</t>
        </is>
      </c>
      <c r="C2563" t="inlineStr">
        <is>
          <t>'=G26</t>
        </is>
      </c>
      <c r="D2563" t="inlineStr">
        <is>
          <t>9c211c3151fb83928955207b23369248324f0fd54a94dc3b1addd365a30dff80</t>
        </is>
      </c>
    </row>
    <row r="2564">
      <c r="A2564" t="inlineStr">
        <is>
          <t>附表10</t>
        </is>
      </c>
      <c r="B2564" t="inlineStr">
        <is>
          <t>K12</t>
        </is>
      </c>
      <c r="C2564" t="inlineStr">
        <is>
          <t>'=G27</t>
        </is>
      </c>
      <c r="D2564" t="inlineStr">
        <is>
          <t>5231049cf6d05b433e90e145d16b63ea2e8b8ec44523ef42937ce141ca81fd4a</t>
        </is>
      </c>
    </row>
    <row r="2565">
      <c r="A2565" t="inlineStr">
        <is>
          <t>附表10</t>
        </is>
      </c>
      <c r="B2565" t="inlineStr">
        <is>
          <t>L12</t>
        </is>
      </c>
      <c r="C2565" t="inlineStr">
        <is>
          <t>'=G28</t>
        </is>
      </c>
      <c r="D2565" t="inlineStr">
        <is>
          <t>060cbac1a6ae6513ca39922e0f0d35a66d23b72e374dc927057e23581919bca3</t>
        </is>
      </c>
    </row>
    <row r="2566">
      <c r="A2566" t="inlineStr">
        <is>
          <t>附表10</t>
        </is>
      </c>
      <c r="B2566" t="inlineStr">
        <is>
          <t>M12</t>
        </is>
      </c>
      <c r="C2566" t="inlineStr">
        <is>
          <t>'=G29</t>
        </is>
      </c>
      <c r="D2566" t="inlineStr">
        <is>
          <t>63f7466f532662973439dccf918138dc8040475193223e112c1cc51fc21bf570</t>
        </is>
      </c>
    </row>
    <row r="2567">
      <c r="A2567" t="inlineStr">
        <is>
          <t>附表10</t>
        </is>
      </c>
      <c r="B2567" t="inlineStr">
        <is>
          <t>N12</t>
        </is>
      </c>
      <c r="C2567" t="inlineStr">
        <is>
          <t>'=G30</t>
        </is>
      </c>
      <c r="D2567" t="inlineStr">
        <is>
          <t>41fd488e5d3dd6fcbf4e5e5c633bfb51c90bb8a8439da9587acdd0f1ea211487</t>
        </is>
      </c>
    </row>
    <row r="2568">
      <c r="A2568" t="inlineStr">
        <is>
          <t>附表10</t>
        </is>
      </c>
      <c r="B2568" t="inlineStr">
        <is>
          <t>O12</t>
        </is>
      </c>
      <c r="C2568" t="inlineStr">
        <is>
          <t>'=G31</t>
        </is>
      </c>
      <c r="D2568" t="inlineStr">
        <is>
          <t>eba155dad46081db9df400980508ff7210792d789827731d896df45abf543a45</t>
        </is>
      </c>
    </row>
    <row r="2569">
      <c r="A2569" t="inlineStr">
        <is>
          <t>附表10</t>
        </is>
      </c>
      <c r="B2569" t="inlineStr">
        <is>
          <t>P12</t>
        </is>
      </c>
      <c r="C2569" t="inlineStr">
        <is>
          <t>'=G32</t>
        </is>
      </c>
      <c r="D2569" t="inlineStr">
        <is>
          <t>3e5861b287d5d10dfae0918c5b745b4c0be1390b467524ad5e06457ad9728224</t>
        </is>
      </c>
    </row>
    <row r="2570">
      <c r="A2570" t="inlineStr">
        <is>
          <t>附表10</t>
        </is>
      </c>
      <c r="B2570" t="inlineStr">
        <is>
          <t>Q12</t>
        </is>
      </c>
      <c r="C2570" t="inlineStr">
        <is>
          <t>'=G33</t>
        </is>
      </c>
      <c r="D2570" t="inlineStr">
        <is>
          <t>2424047923137c08b617a6624a3c5be2682085e9f7d0c6003e0555e69d25cce8</t>
        </is>
      </c>
    </row>
    <row r="2571">
      <c r="A2571" t="inlineStr">
        <is>
          <t>附表10</t>
        </is>
      </c>
      <c r="B2571" t="inlineStr">
        <is>
          <t>R12</t>
        </is>
      </c>
      <c r="C2571" t="inlineStr">
        <is>
          <t>'=G34</t>
        </is>
      </c>
      <c r="D2571" t="inlineStr">
        <is>
          <t>02ff088281b9d9e1870b58f707ed6c7c80c4702e44545c413c2f0578ab21bb8c</t>
        </is>
      </c>
    </row>
    <row r="2572">
      <c r="A2572" t="inlineStr">
        <is>
          <t>附表10</t>
        </is>
      </c>
      <c r="B2572" t="inlineStr">
        <is>
          <t>S12</t>
        </is>
      </c>
      <c r="C2572" t="inlineStr">
        <is>
          <t>'=G35</t>
        </is>
      </c>
      <c r="D2572" t="inlineStr">
        <is>
          <t>b37668a5de7c12c5dddc59ec1a23d37808355ca83f749818c9d283eb442637f0</t>
        </is>
      </c>
    </row>
    <row r="2573">
      <c r="A2573" t="inlineStr">
        <is>
          <t>附表10</t>
        </is>
      </c>
      <c r="B2573" t="inlineStr">
        <is>
          <t>T12</t>
        </is>
      </c>
      <c r="C2573" t="inlineStr">
        <is>
          <t>'=G36</t>
        </is>
      </c>
      <c r="D2573" t="inlineStr">
        <is>
          <t>3cdcffd14f7f5c5214c7a49334a833fe22c789caa5ebd9aee989e815d808ba0b</t>
        </is>
      </c>
    </row>
    <row r="2574">
      <c r="A2574" t="inlineStr">
        <is>
          <t>附表10</t>
        </is>
      </c>
      <c r="B2574" t="inlineStr">
        <is>
          <t>U12</t>
        </is>
      </c>
      <c r="C2574" t="inlineStr">
        <is>
          <t>'=G37</t>
        </is>
      </c>
      <c r="D2574" t="inlineStr">
        <is>
          <t>9a72d161b9e361d5e7e7e69d940f0e46950ac5327867a4c9909bf645763ebdf7</t>
        </is>
      </c>
    </row>
    <row r="2575">
      <c r="A2575" t="inlineStr">
        <is>
          <t>附表10</t>
        </is>
      </c>
      <c r="B2575" t="inlineStr">
        <is>
          <t>V12</t>
        </is>
      </c>
      <c r="C2575" t="inlineStr">
        <is>
          <t>'=G38</t>
        </is>
      </c>
      <c r="D2575" t="inlineStr">
        <is>
          <t>a44654774ab89a5fe352e183097de5beae27663426b8b5c90930c16f11615e37</t>
        </is>
      </c>
    </row>
    <row r="2576">
      <c r="A2576" t="inlineStr">
        <is>
          <t>附表10</t>
        </is>
      </c>
      <c r="B2576" t="inlineStr">
        <is>
          <t>W12</t>
        </is>
      </c>
      <c r="C2576" t="inlineStr">
        <is>
          <t>'=G39</t>
        </is>
      </c>
      <c r="D2576" t="inlineStr">
        <is>
          <t>f21ae9cb2bacdce99bda5f85274f725e695070f07235a27291f89c10357a8a43</t>
        </is>
      </c>
    </row>
    <row r="2577">
      <c r="A2577" t="inlineStr">
        <is>
          <t>附表10</t>
        </is>
      </c>
      <c r="B2577" t="inlineStr">
        <is>
          <t>X12</t>
        </is>
      </c>
      <c r="C2577" t="inlineStr">
        <is>
          <t>'=G40</t>
        </is>
      </c>
      <c r="D2577" t="inlineStr">
        <is>
          <t>1eaba9704c774525e79bc582c947244f3fb45732f9d47c949c879f2e978b0775</t>
        </is>
      </c>
    </row>
    <row r="2578">
      <c r="A2578" t="inlineStr">
        <is>
          <t>附表10</t>
        </is>
      </c>
      <c r="B2578" t="inlineStr">
        <is>
          <t>Y12</t>
        </is>
      </c>
      <c r="C2578" t="inlineStr">
        <is>
          <t>'=G41</t>
        </is>
      </c>
      <c r="D2578" t="inlineStr">
        <is>
          <t>ae915cdf923df33d40eb639d1e04b548108936d5ed2e715c08587ec7732c045b</t>
        </is>
      </c>
    </row>
    <row r="2579">
      <c r="A2579" t="inlineStr">
        <is>
          <t>附表10</t>
        </is>
      </c>
      <c r="B2579" t="inlineStr">
        <is>
          <t>Z12</t>
        </is>
      </c>
      <c r="C2579" t="inlineStr">
        <is>
          <t>'=G42</t>
        </is>
      </c>
      <c r="D2579" t="inlineStr">
        <is>
          <t>4d1910f3231f422307797321341653550b5acfe53306962f5a3567869dfeb223</t>
        </is>
      </c>
    </row>
    <row r="2580">
      <c r="A2580" t="inlineStr">
        <is>
          <t>附表10</t>
        </is>
      </c>
      <c r="B2580" t="inlineStr">
        <is>
          <t>AA12</t>
        </is>
      </c>
      <c r="C2580" t="inlineStr">
        <is>
          <t>'=G43</t>
        </is>
      </c>
      <c r="D2580" t="inlineStr">
        <is>
          <t>e358be8172d86e0f968ec5e9a1d00759d9783ecb2d682e7d71916ecb90dc94cd</t>
        </is>
      </c>
    </row>
    <row r="2581">
      <c r="A2581" t="inlineStr">
        <is>
          <t>附表10</t>
        </is>
      </c>
      <c r="B2581" t="inlineStr">
        <is>
          <t>AB12</t>
        </is>
      </c>
      <c r="C2581" t="inlineStr">
        <is>
          <t>'=G44</t>
        </is>
      </c>
      <c r="D2581" t="inlineStr">
        <is>
          <t>38c44bcfc3fa296a598d1de52f60d5c1985c27544698752d689427222bf81e09</t>
        </is>
      </c>
    </row>
    <row r="2582">
      <c r="A2582" t="inlineStr">
        <is>
          <t>附表10</t>
        </is>
      </c>
      <c r="B2582" t="inlineStr">
        <is>
          <t>C13</t>
        </is>
      </c>
      <c r="C2582" t="inlineStr">
        <is>
          <t>'=SUM(D13,E13,F13,G13,H13,I13,J13,K13,L13,M13,N13,O13,P13,Q13,R13,S13,T13,U13,V13,W13,X13,Y13,Z13,AA13,AB13)</t>
        </is>
      </c>
      <c r="D2582" t="inlineStr">
        <is>
          <t>8317d45f838c063f94d5394cd98062d71262fe92818101b869a29bcc92d0edc6</t>
        </is>
      </c>
    </row>
    <row r="2583">
      <c r="A2583" t="inlineStr">
        <is>
          <t>附表10</t>
        </is>
      </c>
      <c r="B2583" t="inlineStr">
        <is>
          <t>D13</t>
        </is>
      </c>
      <c r="C2583" t="inlineStr">
        <is>
          <t>'=H20</t>
        </is>
      </c>
      <c r="D2583" t="inlineStr">
        <is>
          <t>14858732d9df1f52073e5b150806f15aaf2c3ed89e65fe464976596c542dd605</t>
        </is>
      </c>
    </row>
    <row r="2584">
      <c r="A2584" t="inlineStr">
        <is>
          <t>附表10</t>
        </is>
      </c>
      <c r="B2584" t="inlineStr">
        <is>
          <t>E13</t>
        </is>
      </c>
      <c r="C2584" t="inlineStr">
        <is>
          <t>'=H21</t>
        </is>
      </c>
      <c r="D2584" t="inlineStr">
        <is>
          <t>e96a45833adda849aad3911b603e78d6623f6b225dda68e32e0c766618f03849</t>
        </is>
      </c>
    </row>
    <row r="2585">
      <c r="A2585" t="inlineStr">
        <is>
          <t>附表10</t>
        </is>
      </c>
      <c r="B2585" t="inlineStr">
        <is>
          <t>F13</t>
        </is>
      </c>
      <c r="C2585" t="inlineStr">
        <is>
          <t>'=H22</t>
        </is>
      </c>
      <c r="D2585" t="inlineStr">
        <is>
          <t>99b2450b96866d3087e2398c2836596310d33e9a6dbc62751f5949e330a08738</t>
        </is>
      </c>
    </row>
    <row r="2586">
      <c r="A2586" t="inlineStr">
        <is>
          <t>附表10</t>
        </is>
      </c>
      <c r="B2586" t="inlineStr">
        <is>
          <t>G13</t>
        </is>
      </c>
      <c r="C2586" t="inlineStr">
        <is>
          <t>'=H23</t>
        </is>
      </c>
      <c r="D2586" t="inlineStr">
        <is>
          <t>c72025bee0bc5840706ff43b20b655d4c95c6caf1e99630a64032436829c7c17</t>
        </is>
      </c>
    </row>
    <row r="2587">
      <c r="A2587" t="inlineStr">
        <is>
          <t>附表10</t>
        </is>
      </c>
      <c r="B2587" t="inlineStr">
        <is>
          <t>H13</t>
        </is>
      </c>
      <c r="C2587" t="inlineStr">
        <is>
          <t>'=H24</t>
        </is>
      </c>
      <c r="D2587" t="inlineStr">
        <is>
          <t>8d0b1e84600282eca62b3424e9540db362083b1975228dbedc985f087cc8e1b3</t>
        </is>
      </c>
    </row>
    <row r="2588">
      <c r="A2588" t="inlineStr">
        <is>
          <t>附表10</t>
        </is>
      </c>
      <c r="B2588" t="inlineStr">
        <is>
          <t>I13</t>
        </is>
      </c>
      <c r="C2588" t="inlineStr">
        <is>
          <t>'=H25</t>
        </is>
      </c>
      <c r="D2588" t="inlineStr">
        <is>
          <t>7fe644f4c1ede5f733c14eea39a1a9a1c7513224b6eccb11df9fcb7955e967d1</t>
        </is>
      </c>
    </row>
    <row r="2589">
      <c r="A2589" t="inlineStr">
        <is>
          <t>附表10</t>
        </is>
      </c>
      <c r="B2589" t="inlineStr">
        <is>
          <t>J13</t>
        </is>
      </c>
      <c r="C2589" t="inlineStr">
        <is>
          <t>'=H26</t>
        </is>
      </c>
      <c r="D2589" t="inlineStr">
        <is>
          <t>d8fb3d229df8698e8d47b7d66bbca5ffddf4740d2a7e3aab7695b6d306959394</t>
        </is>
      </c>
    </row>
    <row r="2590">
      <c r="A2590" t="inlineStr">
        <is>
          <t>附表10</t>
        </is>
      </c>
      <c r="B2590" t="inlineStr">
        <is>
          <t>K13</t>
        </is>
      </c>
      <c r="C2590" t="inlineStr">
        <is>
          <t>'=H27</t>
        </is>
      </c>
      <c r="D2590" t="inlineStr">
        <is>
          <t>fc660f4cd545d3c398b76e857966ea1ff6c1352deec67afbc7b988cde7991d77</t>
        </is>
      </c>
    </row>
    <row r="2591">
      <c r="A2591" t="inlineStr">
        <is>
          <t>附表10</t>
        </is>
      </c>
      <c r="B2591" t="inlineStr">
        <is>
          <t>L13</t>
        </is>
      </c>
      <c r="C2591" t="inlineStr">
        <is>
          <t>'=H28</t>
        </is>
      </c>
      <c r="D2591" t="inlineStr">
        <is>
          <t>8272d75fbea47801d43688c2491bb00d0a5a8c69f8aae4a036684314c0acafa6</t>
        </is>
      </c>
    </row>
    <row r="2592">
      <c r="A2592" t="inlineStr">
        <is>
          <t>附表10</t>
        </is>
      </c>
      <c r="B2592" t="inlineStr">
        <is>
          <t>M13</t>
        </is>
      </c>
      <c r="C2592" t="inlineStr">
        <is>
          <t>'=H29</t>
        </is>
      </c>
      <c r="D2592" t="inlineStr">
        <is>
          <t>31f0dea7ffd623287e9ff827b3672ad7eb78cdc1d789dc4d7b9f7387ce85fb49</t>
        </is>
      </c>
    </row>
    <row r="2593">
      <c r="A2593" t="inlineStr">
        <is>
          <t>附表10</t>
        </is>
      </c>
      <c r="B2593" t="inlineStr">
        <is>
          <t>N13</t>
        </is>
      </c>
      <c r="C2593" t="inlineStr">
        <is>
          <t>'=H30</t>
        </is>
      </c>
      <c r="D2593" t="inlineStr">
        <is>
          <t>bf18e57a36fdb0fa286b8edf8ae91887839dce5d2e5865b905e5d29cf16aaf3d</t>
        </is>
      </c>
    </row>
    <row r="2594">
      <c r="A2594" t="inlineStr">
        <is>
          <t>附表10</t>
        </is>
      </c>
      <c r="B2594" t="inlineStr">
        <is>
          <t>O13</t>
        </is>
      </c>
      <c r="C2594" t="inlineStr">
        <is>
          <t>'=H31</t>
        </is>
      </c>
      <c r="D2594" t="inlineStr">
        <is>
          <t>6fbfebce6890494a02b551d89fdc984985058303642263622a40bf2417078fbf</t>
        </is>
      </c>
    </row>
    <row r="2595">
      <c r="A2595" t="inlineStr">
        <is>
          <t>附表10</t>
        </is>
      </c>
      <c r="B2595" t="inlineStr">
        <is>
          <t>P13</t>
        </is>
      </c>
      <c r="C2595" t="inlineStr">
        <is>
          <t>'=H32</t>
        </is>
      </c>
      <c r="D2595" t="inlineStr">
        <is>
          <t>47a52dc78fdf16a9ad7f8ac3893cb2331acf56bedc99b61790a87d61ca993a0b</t>
        </is>
      </c>
    </row>
    <row r="2596">
      <c r="A2596" t="inlineStr">
        <is>
          <t>附表10</t>
        </is>
      </c>
      <c r="B2596" t="inlineStr">
        <is>
          <t>Q13</t>
        </is>
      </c>
      <c r="C2596" t="inlineStr">
        <is>
          <t>'=H33</t>
        </is>
      </c>
      <c r="D2596" t="inlineStr">
        <is>
          <t>63035af1ad631060eb266fc710663ddabcccf9484581e813935b41662a3cace4</t>
        </is>
      </c>
    </row>
    <row r="2597">
      <c r="A2597" t="inlineStr">
        <is>
          <t>附表10</t>
        </is>
      </c>
      <c r="B2597" t="inlineStr">
        <is>
          <t>R13</t>
        </is>
      </c>
      <c r="C2597" t="inlineStr">
        <is>
          <t>'=H34</t>
        </is>
      </c>
      <c r="D2597" t="inlineStr">
        <is>
          <t>1e0864270237a415b46d4a19c3ac2ac68618a28d08561a0460c7ceab11b2a458</t>
        </is>
      </c>
    </row>
    <row r="2598">
      <c r="A2598" t="inlineStr">
        <is>
          <t>附表10</t>
        </is>
      </c>
      <c r="B2598" t="inlineStr">
        <is>
          <t>S13</t>
        </is>
      </c>
      <c r="C2598" t="inlineStr">
        <is>
          <t>'=H35</t>
        </is>
      </c>
      <c r="D2598" t="inlineStr">
        <is>
          <t>e3a90c345cce2e508a421c6aced25d7d862dc0c0a04c15070caa45927796f2bd</t>
        </is>
      </c>
    </row>
    <row r="2599">
      <c r="A2599" t="inlineStr">
        <is>
          <t>附表10</t>
        </is>
      </c>
      <c r="B2599" t="inlineStr">
        <is>
          <t>T13</t>
        </is>
      </c>
      <c r="C2599" t="inlineStr">
        <is>
          <t>'=H36</t>
        </is>
      </c>
      <c r="D2599" t="inlineStr">
        <is>
          <t>76efe60b5f62fd80f1c28260f60e07519fe7c7caf191bd10cdd1a8005cff78af</t>
        </is>
      </c>
    </row>
    <row r="2600">
      <c r="A2600" t="inlineStr">
        <is>
          <t>附表10</t>
        </is>
      </c>
      <c r="B2600" t="inlineStr">
        <is>
          <t>U13</t>
        </is>
      </c>
      <c r="C2600" t="inlineStr">
        <is>
          <t>'=H37</t>
        </is>
      </c>
      <c r="D2600" t="inlineStr">
        <is>
          <t>415d82ace76e427764c8f9f1a68174cae19ab2cdc09775e575bee3aec994362d</t>
        </is>
      </c>
    </row>
    <row r="2601">
      <c r="A2601" t="inlineStr">
        <is>
          <t>附表10</t>
        </is>
      </c>
      <c r="B2601" t="inlineStr">
        <is>
          <t>V13</t>
        </is>
      </c>
      <c r="C2601" t="inlineStr">
        <is>
          <t>'=H38</t>
        </is>
      </c>
      <c r="D2601" t="inlineStr">
        <is>
          <t>b8ba4d13fbd7df659a49a751b176d3d910b7195e099a90d842b96bd051376050</t>
        </is>
      </c>
    </row>
    <row r="2602">
      <c r="A2602" t="inlineStr">
        <is>
          <t>附表10</t>
        </is>
      </c>
      <c r="B2602" t="inlineStr">
        <is>
          <t>W13</t>
        </is>
      </c>
      <c r="C2602" t="inlineStr">
        <is>
          <t>'=H39</t>
        </is>
      </c>
      <c r="D2602" t="inlineStr">
        <is>
          <t>ec171282b89697f50fb62c1734d4ea481150e6499a6b59a86f98c9624dc673d4</t>
        </is>
      </c>
    </row>
    <row r="2603">
      <c r="A2603" t="inlineStr">
        <is>
          <t>附表10</t>
        </is>
      </c>
      <c r="B2603" t="inlineStr">
        <is>
          <t>X13</t>
        </is>
      </c>
      <c r="C2603" t="inlineStr">
        <is>
          <t>'=H40</t>
        </is>
      </c>
      <c r="D2603" t="inlineStr">
        <is>
          <t>59e6c3abe94e197acb7b1f94ae917c21cf4c2c0ad9464a97cff374d5fbc1a165</t>
        </is>
      </c>
    </row>
    <row r="2604">
      <c r="A2604" t="inlineStr">
        <is>
          <t>附表10</t>
        </is>
      </c>
      <c r="B2604" t="inlineStr">
        <is>
          <t>Y13</t>
        </is>
      </c>
      <c r="C2604" t="inlineStr">
        <is>
          <t>'=H41</t>
        </is>
      </c>
      <c r="D2604" t="inlineStr">
        <is>
          <t>560a6bc49e899f2d825d737185425c04b44fe460d1b1433285febc8b66de2112</t>
        </is>
      </c>
    </row>
    <row r="2605">
      <c r="A2605" t="inlineStr">
        <is>
          <t>附表10</t>
        </is>
      </c>
      <c r="B2605" t="inlineStr">
        <is>
          <t>Z13</t>
        </is>
      </c>
      <c r="C2605" t="inlineStr">
        <is>
          <t>'=H42</t>
        </is>
      </c>
      <c r="D2605" t="inlineStr">
        <is>
          <t>0de846fe3162edf0e207f2648ecb242b40198cc50321cd1565f0137ce3821862</t>
        </is>
      </c>
    </row>
    <row r="2606">
      <c r="A2606" t="inlineStr">
        <is>
          <t>附表10</t>
        </is>
      </c>
      <c r="B2606" t="inlineStr">
        <is>
          <t>AA13</t>
        </is>
      </c>
      <c r="C2606" t="inlineStr">
        <is>
          <t>'=H43</t>
        </is>
      </c>
      <c r="D2606" t="inlineStr">
        <is>
          <t>543fa4d3410971537580e52e60a68821995f3721e7028d96d8df3508bb7367f9</t>
        </is>
      </c>
    </row>
    <row r="2607">
      <c r="A2607" t="inlineStr">
        <is>
          <t>附表10</t>
        </is>
      </c>
      <c r="B2607" t="inlineStr">
        <is>
          <t>AB13</t>
        </is>
      </c>
      <c r="C2607" t="inlineStr">
        <is>
          <t>'=H44</t>
        </is>
      </c>
      <c r="D2607" t="inlineStr">
        <is>
          <t>ae10b9235b486bd94051f44b037991939594cb920d56275bb0daf7caa2b48e91</t>
        </is>
      </c>
    </row>
    <row r="2608">
      <c r="A2608" t="inlineStr">
        <is>
          <t>附表10</t>
        </is>
      </c>
      <c r="B2608" t="inlineStr">
        <is>
          <t>C14</t>
        </is>
      </c>
      <c r="C2608" t="inlineStr">
        <is>
          <t>'=SUM(D14,E14,F14,G14,H14,I14,J14,K14,L14,M14,N14,O14,P14,Q14,R14,S14,T14,U14,V14,W14,X14,Y14,Z14,AA14,AB14)</t>
        </is>
      </c>
      <c r="D2608" t="inlineStr">
        <is>
          <t>bdf180bb65f69dd3e69df200f465bb654edb3e3c2106a96ee400d7b8e7087392</t>
        </is>
      </c>
    </row>
    <row r="2609">
      <c r="A2609" t="inlineStr">
        <is>
          <t>附表10</t>
        </is>
      </c>
      <c r="B2609" t="inlineStr">
        <is>
          <t>D14</t>
        </is>
      </c>
      <c r="C2609" t="inlineStr">
        <is>
          <t>'=I20</t>
        </is>
      </c>
      <c r="D2609" t="inlineStr">
        <is>
          <t>2ab814cacc69648202e02fd63030ff7481095e3e5610c005aafa26b3a66d8d0a</t>
        </is>
      </c>
    </row>
    <row r="2610">
      <c r="A2610" t="inlineStr">
        <is>
          <t>附表10</t>
        </is>
      </c>
      <c r="B2610" t="inlineStr">
        <is>
          <t>E14</t>
        </is>
      </c>
      <c r="C2610" t="inlineStr">
        <is>
          <t>'=I21</t>
        </is>
      </c>
      <c r="D2610" t="inlineStr">
        <is>
          <t>a30697162d1604e10b477037e305e0580423345d2e24c810364d0dc92f2011e7</t>
        </is>
      </c>
    </row>
    <row r="2611">
      <c r="A2611" t="inlineStr">
        <is>
          <t>附表10</t>
        </is>
      </c>
      <c r="B2611" t="inlineStr">
        <is>
          <t>F14</t>
        </is>
      </c>
      <c r="C2611" t="inlineStr">
        <is>
          <t>'=I22</t>
        </is>
      </c>
      <c r="D2611" t="inlineStr">
        <is>
          <t>e31d3791b5a2a3c0699311888de106bd4df41fbfd73b0f14352d840441cad32e</t>
        </is>
      </c>
    </row>
    <row r="2612">
      <c r="A2612" t="inlineStr">
        <is>
          <t>附表10</t>
        </is>
      </c>
      <c r="B2612" t="inlineStr">
        <is>
          <t>G14</t>
        </is>
      </c>
      <c r="C2612" t="inlineStr">
        <is>
          <t>'=I23</t>
        </is>
      </c>
      <c r="D2612" t="inlineStr">
        <is>
          <t>c69a2f3590b63d11874902296fc071729df15eca2f3ea57b252ada99735ba3c7</t>
        </is>
      </c>
    </row>
    <row r="2613">
      <c r="A2613" t="inlineStr">
        <is>
          <t>附表10</t>
        </is>
      </c>
      <c r="B2613" t="inlineStr">
        <is>
          <t>H14</t>
        </is>
      </c>
      <c r="C2613" t="inlineStr">
        <is>
          <t>'=I24</t>
        </is>
      </c>
      <c r="D2613" t="inlineStr">
        <is>
          <t>3a8efbd9cce0596d0de37ddaa2cefed7f2d68be60c5a939c368bf3507e4748ab</t>
        </is>
      </c>
    </row>
    <row r="2614">
      <c r="A2614" t="inlineStr">
        <is>
          <t>附表10</t>
        </is>
      </c>
      <c r="B2614" t="inlineStr">
        <is>
          <t>I14</t>
        </is>
      </c>
      <c r="C2614" t="inlineStr">
        <is>
          <t>'=I25</t>
        </is>
      </c>
      <c r="D2614" t="inlineStr">
        <is>
          <t>5fd0fa36ecb6927eeae1af306fe231bc1b2d6482fba9bd66d61fd3da9d246b64</t>
        </is>
      </c>
    </row>
    <row r="2615">
      <c r="A2615" t="inlineStr">
        <is>
          <t>附表10</t>
        </is>
      </c>
      <c r="B2615" t="inlineStr">
        <is>
          <t>J14</t>
        </is>
      </c>
      <c r="C2615" t="inlineStr">
        <is>
          <t>'=I26</t>
        </is>
      </c>
      <c r="D2615" t="inlineStr">
        <is>
          <t>2ce67ea24d9e6d544f4f6ac89a602c8797c478ba26737ef5371b0b4134d4872e</t>
        </is>
      </c>
    </row>
    <row r="2616">
      <c r="A2616" t="inlineStr">
        <is>
          <t>附表10</t>
        </is>
      </c>
      <c r="B2616" t="inlineStr">
        <is>
          <t>K14</t>
        </is>
      </c>
      <c r="C2616" t="inlineStr">
        <is>
          <t>'=I27</t>
        </is>
      </c>
      <c r="D2616" t="inlineStr">
        <is>
          <t>f934c10bb7713ce206d973def852cacc18726fa22acdedd683cb4c8dc66fdba1</t>
        </is>
      </c>
    </row>
    <row r="2617">
      <c r="A2617" t="inlineStr">
        <is>
          <t>附表10</t>
        </is>
      </c>
      <c r="B2617" t="inlineStr">
        <is>
          <t>L14</t>
        </is>
      </c>
      <c r="C2617" t="inlineStr">
        <is>
          <t>'=I28</t>
        </is>
      </c>
      <c r="D2617" t="inlineStr">
        <is>
          <t>9ce086bcbe4f1c3031bec5c37b2d198422d897eaedc7fc4a9175ff1d8578f44c</t>
        </is>
      </c>
    </row>
    <row r="2618">
      <c r="A2618" t="inlineStr">
        <is>
          <t>附表10</t>
        </is>
      </c>
      <c r="B2618" t="inlineStr">
        <is>
          <t>M14</t>
        </is>
      </c>
      <c r="C2618" t="inlineStr">
        <is>
          <t>'=I29</t>
        </is>
      </c>
      <c r="D2618" t="inlineStr">
        <is>
          <t>24f56538b51d8f65c7f2b3380e6615e69ca9abb9ba46081b82f74b9efcc490a5</t>
        </is>
      </c>
    </row>
    <row r="2619">
      <c r="A2619" t="inlineStr">
        <is>
          <t>附表10</t>
        </is>
      </c>
      <c r="B2619" t="inlineStr">
        <is>
          <t>N14</t>
        </is>
      </c>
      <c r="C2619" t="inlineStr">
        <is>
          <t>'=I30</t>
        </is>
      </c>
      <c r="D2619" t="inlineStr">
        <is>
          <t>ece076a174232945297787d2c17deb3d7dc39b3e90a6c6d019ea53bd8ae1dbb9</t>
        </is>
      </c>
    </row>
    <row r="2620">
      <c r="A2620" t="inlineStr">
        <is>
          <t>附表10</t>
        </is>
      </c>
      <c r="B2620" t="inlineStr">
        <is>
          <t>O14</t>
        </is>
      </c>
      <c r="C2620" t="inlineStr">
        <is>
          <t>'=I31</t>
        </is>
      </c>
      <c r="D2620" t="inlineStr">
        <is>
          <t>60f947b966dde2c8d1310e6b9ea01b40bb60a883f0f5cb78f35a4fb940abd8d4</t>
        </is>
      </c>
    </row>
    <row r="2621">
      <c r="A2621" t="inlineStr">
        <is>
          <t>附表10</t>
        </is>
      </c>
      <c r="B2621" t="inlineStr">
        <is>
          <t>P14</t>
        </is>
      </c>
      <c r="C2621" t="inlineStr">
        <is>
          <t>'=I32</t>
        </is>
      </c>
      <c r="D2621" t="inlineStr">
        <is>
          <t>8f4390190eb776039530c2145a6931b38c44cb7c2a8c7eb66570dbcd3dbd96e4</t>
        </is>
      </c>
    </row>
    <row r="2622">
      <c r="A2622" t="inlineStr">
        <is>
          <t>附表10</t>
        </is>
      </c>
      <c r="B2622" t="inlineStr">
        <is>
          <t>Q14</t>
        </is>
      </c>
      <c r="C2622" t="inlineStr">
        <is>
          <t>'=I33</t>
        </is>
      </c>
      <c r="D2622" t="inlineStr">
        <is>
          <t>3d6d10a649f7fee67ae3da5f77e7cb84a5a5da8d3c6b6d35fa96377378c3b2bd</t>
        </is>
      </c>
    </row>
    <row r="2623">
      <c r="A2623" t="inlineStr">
        <is>
          <t>附表10</t>
        </is>
      </c>
      <c r="B2623" t="inlineStr">
        <is>
          <t>R14</t>
        </is>
      </c>
      <c r="C2623" t="inlineStr">
        <is>
          <t>'=I34</t>
        </is>
      </c>
      <c r="D2623" t="inlineStr">
        <is>
          <t>5f0b86ba1bacc8b1be155f92e59665dc27aa021ef672ea69a1023a23f04c6ff8</t>
        </is>
      </c>
    </row>
    <row r="2624">
      <c r="A2624" t="inlineStr">
        <is>
          <t>附表10</t>
        </is>
      </c>
      <c r="B2624" t="inlineStr">
        <is>
          <t>S14</t>
        </is>
      </c>
      <c r="C2624" t="inlineStr">
        <is>
          <t>'=I35</t>
        </is>
      </c>
      <c r="D2624" t="inlineStr">
        <is>
          <t>0948bda3d3567276701147e2a0087d4e01c3ede8f027a1abcd65044baef550c3</t>
        </is>
      </c>
    </row>
    <row r="2625">
      <c r="A2625" t="inlineStr">
        <is>
          <t>附表10</t>
        </is>
      </c>
      <c r="B2625" t="inlineStr">
        <is>
          <t>T14</t>
        </is>
      </c>
      <c r="C2625" t="inlineStr">
        <is>
          <t>'=I36</t>
        </is>
      </c>
      <c r="D2625" t="inlineStr">
        <is>
          <t>4e1e9c3baa9b63e070e4b1751422f29afeb08959fbd5beacf28ea854c4b342c7</t>
        </is>
      </c>
    </row>
    <row r="2626">
      <c r="A2626" t="inlineStr">
        <is>
          <t>附表10</t>
        </is>
      </c>
      <c r="B2626" t="inlineStr">
        <is>
          <t>U14</t>
        </is>
      </c>
      <c r="C2626" t="inlineStr">
        <is>
          <t>'=I37</t>
        </is>
      </c>
      <c r="D2626" t="inlineStr">
        <is>
          <t>a3f8fbada3b936244ab8c1fea3f5bb9c008caac25bac1533503f6cbc18af8810</t>
        </is>
      </c>
    </row>
    <row r="2627">
      <c r="A2627" t="inlineStr">
        <is>
          <t>附表10</t>
        </is>
      </c>
      <c r="B2627" t="inlineStr">
        <is>
          <t>V14</t>
        </is>
      </c>
      <c r="C2627" t="inlineStr">
        <is>
          <t>'=I38</t>
        </is>
      </c>
      <c r="D2627" t="inlineStr">
        <is>
          <t>c4aad7ad0d10e56950e3112b913784a243774d5e12a871f9a38cf5b8a67763ad</t>
        </is>
      </c>
    </row>
    <row r="2628">
      <c r="A2628" t="inlineStr">
        <is>
          <t>附表10</t>
        </is>
      </c>
      <c r="B2628" t="inlineStr">
        <is>
          <t>W14</t>
        </is>
      </c>
      <c r="C2628" t="inlineStr">
        <is>
          <t>'=I39</t>
        </is>
      </c>
      <c r="D2628" t="inlineStr">
        <is>
          <t>c84882d52f6d63d912dda74cb8a57e477daf42a45d0cf8c0bbe90420cccb3050</t>
        </is>
      </c>
    </row>
    <row r="2629">
      <c r="A2629" t="inlineStr">
        <is>
          <t>附表10</t>
        </is>
      </c>
      <c r="B2629" t="inlineStr">
        <is>
          <t>X14</t>
        </is>
      </c>
      <c r="C2629" t="inlineStr">
        <is>
          <t>'=I40</t>
        </is>
      </c>
      <c r="D2629" t="inlineStr">
        <is>
          <t>e6b718a294adb77dd94616e5eb89f27ec9ed0e0569b3782abe7e8f0228dc070b</t>
        </is>
      </c>
    </row>
    <row r="2630">
      <c r="A2630" t="inlineStr">
        <is>
          <t>附表10</t>
        </is>
      </c>
      <c r="B2630" t="inlineStr">
        <is>
          <t>Y14</t>
        </is>
      </c>
      <c r="C2630" t="inlineStr">
        <is>
          <t>'=I41</t>
        </is>
      </c>
      <c r="D2630" t="inlineStr">
        <is>
          <t>80d10445349bd7c2b4207365ffd5757b7ef308a5118d057a045bca9a4b902d36</t>
        </is>
      </c>
    </row>
    <row r="2631">
      <c r="A2631" t="inlineStr">
        <is>
          <t>附表10</t>
        </is>
      </c>
      <c r="B2631" t="inlineStr">
        <is>
          <t>Z14</t>
        </is>
      </c>
      <c r="C2631" t="inlineStr">
        <is>
          <t>'=I42</t>
        </is>
      </c>
      <c r="D2631" t="inlineStr">
        <is>
          <t>518c45aa06e365e3c2757f02d5a9f141a6e36aee2a97650a537c6083ee0fc14f</t>
        </is>
      </c>
    </row>
    <row r="2632">
      <c r="A2632" t="inlineStr">
        <is>
          <t>附表10</t>
        </is>
      </c>
      <c r="B2632" t="inlineStr">
        <is>
          <t>AA14</t>
        </is>
      </c>
      <c r="C2632" t="inlineStr">
        <is>
          <t>'=I43</t>
        </is>
      </c>
      <c r="D2632" t="inlineStr">
        <is>
          <t>f8231a46b23327c5fc2eb851f4ceff9867c9bf19c97bbd214e991736b185e9d9</t>
        </is>
      </c>
    </row>
    <row r="2633">
      <c r="A2633" t="inlineStr">
        <is>
          <t>附表10</t>
        </is>
      </c>
      <c r="B2633" t="inlineStr">
        <is>
          <t>AB14</t>
        </is>
      </c>
      <c r="C2633" t="inlineStr">
        <is>
          <t>'=I44</t>
        </is>
      </c>
      <c r="D2633" t="inlineStr">
        <is>
          <t>b6fa733e3c8ab81db06c1e3485562790140a902a3423a9854de485ae0bb1e6c2</t>
        </is>
      </c>
    </row>
    <row r="2634">
      <c r="A2634" t="inlineStr">
        <is>
          <t>附表10</t>
        </is>
      </c>
      <c r="B2634" t="inlineStr">
        <is>
          <t>C15</t>
        </is>
      </c>
      <c r="C2634" t="inlineStr">
        <is>
          <t>'=SUM(D15,E15,F15,G15,H15,I15,J15,K15,L15,M15,N15,O15,P15,Q15,R15,S15,T15,U15,V15,W15,X15,Y15,Z15,AA15,AB15)</t>
        </is>
      </c>
      <c r="D2634" t="inlineStr">
        <is>
          <t>0f707b4d0f5995740e5731fcb5df1ff27734da204c1b3ff39531c068f9f9df8b</t>
        </is>
      </c>
    </row>
    <row r="2635">
      <c r="A2635" t="inlineStr">
        <is>
          <t>附表10</t>
        </is>
      </c>
      <c r="B2635" t="inlineStr">
        <is>
          <t>D15</t>
        </is>
      </c>
      <c r="C2635" t="inlineStr">
        <is>
          <t>'=O20</t>
        </is>
      </c>
      <c r="D2635" t="inlineStr">
        <is>
          <t>4f5f1828bcccb7cdc6ad3145d41dcd18e289048fed1ee6760a908ca2768078db</t>
        </is>
      </c>
    </row>
    <row r="2636">
      <c r="A2636" t="inlineStr">
        <is>
          <t>附表10</t>
        </is>
      </c>
      <c r="B2636" t="inlineStr">
        <is>
          <t>E15</t>
        </is>
      </c>
      <c r="C2636" t="inlineStr">
        <is>
          <t>'=O21</t>
        </is>
      </c>
      <c r="D2636" t="inlineStr">
        <is>
          <t>7a7038f1c81696bc47d1773b78f8b75d35f26ab5513b4f17ff1650bd5ea6ca71</t>
        </is>
      </c>
    </row>
    <row r="2637">
      <c r="A2637" t="inlineStr">
        <is>
          <t>附表10</t>
        </is>
      </c>
      <c r="B2637" t="inlineStr">
        <is>
          <t>F15</t>
        </is>
      </c>
      <c r="C2637" t="inlineStr">
        <is>
          <t>'=O22</t>
        </is>
      </c>
      <c r="D2637" t="inlineStr">
        <is>
          <t>8831ff655f0afea97900481c0c155263d31a8ab1178f0eaa60bdc04387071e93</t>
        </is>
      </c>
    </row>
    <row r="2638">
      <c r="A2638" t="inlineStr">
        <is>
          <t>附表10</t>
        </is>
      </c>
      <c r="B2638" t="inlineStr">
        <is>
          <t>G15</t>
        </is>
      </c>
      <c r="C2638" t="inlineStr">
        <is>
          <t>'=O23</t>
        </is>
      </c>
      <c r="D2638" t="inlineStr">
        <is>
          <t>4fcd102b7323a034b9101a2316289ecb1d84fb5b570b61854faedfb87e782ecc</t>
        </is>
      </c>
    </row>
    <row r="2639">
      <c r="A2639" t="inlineStr">
        <is>
          <t>附表10</t>
        </is>
      </c>
      <c r="B2639" t="inlineStr">
        <is>
          <t>H15</t>
        </is>
      </c>
      <c r="C2639" t="inlineStr">
        <is>
          <t>'=O24</t>
        </is>
      </c>
      <c r="D2639" t="inlineStr">
        <is>
          <t>1d5498237f5c94b8bc4475a9f75eb05f0cd57ed9a2ce3ac78edf8272842dbb03</t>
        </is>
      </c>
    </row>
    <row r="2640">
      <c r="A2640" t="inlineStr">
        <is>
          <t>附表10</t>
        </is>
      </c>
      <c r="B2640" t="inlineStr">
        <is>
          <t>I15</t>
        </is>
      </c>
      <c r="C2640" t="inlineStr">
        <is>
          <t>'=O25</t>
        </is>
      </c>
      <c r="D2640" t="inlineStr">
        <is>
          <t>9a2bb7a79e77802458c70581b94e3844d5867409f9faead89df4b329ddbac128</t>
        </is>
      </c>
    </row>
    <row r="2641">
      <c r="A2641" t="inlineStr">
        <is>
          <t>附表10</t>
        </is>
      </c>
      <c r="B2641" t="inlineStr">
        <is>
          <t>J15</t>
        </is>
      </c>
      <c r="C2641" t="inlineStr">
        <is>
          <t>'=O26</t>
        </is>
      </c>
      <c r="D2641" t="inlineStr">
        <is>
          <t>94aedfafbf8199ec857dc20a995b5ec6bbe1dbde860a6342aa14db6b746e0d0e</t>
        </is>
      </c>
    </row>
    <row r="2642">
      <c r="A2642" t="inlineStr">
        <is>
          <t>附表10</t>
        </is>
      </c>
      <c r="B2642" t="inlineStr">
        <is>
          <t>K15</t>
        </is>
      </c>
      <c r="C2642" t="inlineStr">
        <is>
          <t>'=O27</t>
        </is>
      </c>
      <c r="D2642" t="inlineStr">
        <is>
          <t>2922c90344540d81952b8ac19fc6914993d19a97df6ae641c867be9c936d1b4f</t>
        </is>
      </c>
    </row>
    <row r="2643">
      <c r="A2643" t="inlineStr">
        <is>
          <t>附表10</t>
        </is>
      </c>
      <c r="B2643" t="inlineStr">
        <is>
          <t>L15</t>
        </is>
      </c>
      <c r="C2643" t="inlineStr">
        <is>
          <t>'=O28</t>
        </is>
      </c>
      <c r="D2643" t="inlineStr">
        <is>
          <t>ab98a45e4422d9f5815d4529ad71e072da8c53583033235fd88bafd6440b30d9</t>
        </is>
      </c>
    </row>
    <row r="2644">
      <c r="A2644" t="inlineStr">
        <is>
          <t>附表10</t>
        </is>
      </c>
      <c r="B2644" t="inlineStr">
        <is>
          <t>M15</t>
        </is>
      </c>
      <c r="C2644" t="inlineStr">
        <is>
          <t>'=O29</t>
        </is>
      </c>
      <c r="D2644" t="inlineStr">
        <is>
          <t>7bfd09fb99b0e761f27d980651945d24d64fd570b8cdfc7c22f87c6b5f3b5997</t>
        </is>
      </c>
    </row>
    <row r="2645">
      <c r="A2645" t="inlineStr">
        <is>
          <t>附表10</t>
        </is>
      </c>
      <c r="B2645" t="inlineStr">
        <is>
          <t>N15</t>
        </is>
      </c>
      <c r="C2645" t="inlineStr">
        <is>
          <t>'=O30</t>
        </is>
      </c>
      <c r="D2645" t="inlineStr">
        <is>
          <t>8b4f61d0a49b3ee38f63d289df30e607eda0e8aaca53d12e966238ff1eeca117</t>
        </is>
      </c>
    </row>
    <row r="2646">
      <c r="A2646" t="inlineStr">
        <is>
          <t>附表10</t>
        </is>
      </c>
      <c r="B2646" t="inlineStr">
        <is>
          <t>O15</t>
        </is>
      </c>
      <c r="C2646" t="inlineStr">
        <is>
          <t>'=O31</t>
        </is>
      </c>
      <c r="D2646" t="inlineStr">
        <is>
          <t>d496727a8ed4279cac263b11b31a3c9a65cfac8b2da0b514bb5eb9e9683f1727</t>
        </is>
      </c>
    </row>
    <row r="2647">
      <c r="A2647" t="inlineStr">
        <is>
          <t>附表10</t>
        </is>
      </c>
      <c r="B2647" t="inlineStr">
        <is>
          <t>P15</t>
        </is>
      </c>
      <c r="C2647" t="inlineStr">
        <is>
          <t>'=O32</t>
        </is>
      </c>
      <c r="D2647" t="inlineStr">
        <is>
          <t>9804657690743668031599721b4b13230ff7a49d5112b333e737675e37d233c6</t>
        </is>
      </c>
    </row>
    <row r="2648">
      <c r="A2648" t="inlineStr">
        <is>
          <t>附表10</t>
        </is>
      </c>
      <c r="B2648" t="inlineStr">
        <is>
          <t>Q15</t>
        </is>
      </c>
      <c r="C2648" t="inlineStr">
        <is>
          <t>'=O33</t>
        </is>
      </c>
      <c r="D2648" t="inlineStr">
        <is>
          <t>210b89157214434f6d788f2bc8bf3fb6008d393b8bd51d9787a9fedfaaa0098b</t>
        </is>
      </c>
    </row>
    <row r="2649">
      <c r="A2649" t="inlineStr">
        <is>
          <t>附表10</t>
        </is>
      </c>
      <c r="B2649" t="inlineStr">
        <is>
          <t>R15</t>
        </is>
      </c>
      <c r="C2649" t="inlineStr">
        <is>
          <t>'=O34</t>
        </is>
      </c>
      <c r="D2649" t="inlineStr">
        <is>
          <t>bf360997bbe498e71ea12434d507a798a7684a65b46939217719e5fd8ab74472</t>
        </is>
      </c>
    </row>
    <row r="2650">
      <c r="A2650" t="inlineStr">
        <is>
          <t>附表10</t>
        </is>
      </c>
      <c r="B2650" t="inlineStr">
        <is>
          <t>S15</t>
        </is>
      </c>
      <c r="C2650" t="inlineStr">
        <is>
          <t>'=O35</t>
        </is>
      </c>
      <c r="D2650" t="inlineStr">
        <is>
          <t>89e6de4e378e6ed4d164599f7e670ac33f8fb931f495a148b7020bac7d77c139</t>
        </is>
      </c>
    </row>
    <row r="2651">
      <c r="A2651" t="inlineStr">
        <is>
          <t>附表10</t>
        </is>
      </c>
      <c r="B2651" t="inlineStr">
        <is>
          <t>T15</t>
        </is>
      </c>
      <c r="C2651" t="inlineStr">
        <is>
          <t>'=O36</t>
        </is>
      </c>
      <c r="D2651" t="inlineStr">
        <is>
          <t>e31994fcf10724891f9b61bd7da406411aea49a0c47af56745d771432c9ade2c</t>
        </is>
      </c>
    </row>
    <row r="2652">
      <c r="A2652" t="inlineStr">
        <is>
          <t>附表10</t>
        </is>
      </c>
      <c r="B2652" t="inlineStr">
        <is>
          <t>U15</t>
        </is>
      </c>
      <c r="C2652" t="inlineStr">
        <is>
          <t>'=O37</t>
        </is>
      </c>
      <c r="D2652" t="inlineStr">
        <is>
          <t>73de3689444d602be42413ac08a7dc36281190fabb732bd5250b316f81a5b37a</t>
        </is>
      </c>
    </row>
    <row r="2653">
      <c r="A2653" t="inlineStr">
        <is>
          <t>附表10</t>
        </is>
      </c>
      <c r="B2653" t="inlineStr">
        <is>
          <t>V15</t>
        </is>
      </c>
      <c r="C2653" t="inlineStr">
        <is>
          <t>'=O38</t>
        </is>
      </c>
      <c r="D2653" t="inlineStr">
        <is>
          <t>f8528ee61ebf271128279ac8c27495a1cd7989778587e60c2fbe9515d50aafd5</t>
        </is>
      </c>
    </row>
    <row r="2654">
      <c r="A2654" t="inlineStr">
        <is>
          <t>附表10</t>
        </is>
      </c>
      <c r="B2654" t="inlineStr">
        <is>
          <t>W15</t>
        </is>
      </c>
      <c r="C2654" t="inlineStr">
        <is>
          <t>'=O39</t>
        </is>
      </c>
      <c r="D2654" t="inlineStr">
        <is>
          <t>6e77e5754bf68467de307491da6b4fdbf2c8158f400d9e93b3bf2ce070630aea</t>
        </is>
      </c>
    </row>
    <row r="2655">
      <c r="A2655" t="inlineStr">
        <is>
          <t>附表10</t>
        </is>
      </c>
      <c r="B2655" t="inlineStr">
        <is>
          <t>X15</t>
        </is>
      </c>
      <c r="C2655" t="inlineStr">
        <is>
          <t>'=O40</t>
        </is>
      </c>
      <c r="D2655" t="inlineStr">
        <is>
          <t>268a0b398c2479dc8aa6eda9c444bcd995fc227b411ae6efe7a6b3d7d9d11fd5</t>
        </is>
      </c>
    </row>
    <row r="2656">
      <c r="A2656" t="inlineStr">
        <is>
          <t>附表10</t>
        </is>
      </c>
      <c r="B2656" t="inlineStr">
        <is>
          <t>Y15</t>
        </is>
      </c>
      <c r="C2656" t="inlineStr">
        <is>
          <t>'=O41</t>
        </is>
      </c>
      <c r="D2656" t="inlineStr">
        <is>
          <t>f112368f511fdd44d1edf1ac89b74fcbd431f0fc532e6aa0378c90b4264a953c</t>
        </is>
      </c>
    </row>
    <row r="2657">
      <c r="A2657" t="inlineStr">
        <is>
          <t>附表10</t>
        </is>
      </c>
      <c r="B2657" t="inlineStr">
        <is>
          <t>Z15</t>
        </is>
      </c>
      <c r="C2657" t="inlineStr">
        <is>
          <t>'=O42</t>
        </is>
      </c>
      <c r="D2657" t="inlineStr">
        <is>
          <t>09eba74be7dea70b838706dc5c7f4a2a1e6eb8ebb68c4b53f65d6cefdb77f096</t>
        </is>
      </c>
    </row>
    <row r="2658">
      <c r="A2658" t="inlineStr">
        <is>
          <t>附表10</t>
        </is>
      </c>
      <c r="B2658" t="inlineStr">
        <is>
          <t>AA15</t>
        </is>
      </c>
      <c r="C2658" t="inlineStr">
        <is>
          <t>'=O43</t>
        </is>
      </c>
      <c r="D2658" t="inlineStr">
        <is>
          <t>f96015a1ce0631752477bf71d2c92306e5e3376a2baf98fcb0e43636cd071750</t>
        </is>
      </c>
    </row>
    <row r="2659">
      <c r="A2659" t="inlineStr">
        <is>
          <t>附表10</t>
        </is>
      </c>
      <c r="B2659" t="inlineStr">
        <is>
          <t>AB15</t>
        </is>
      </c>
      <c r="C2659" t="inlineStr">
        <is>
          <t>'=O44</t>
        </is>
      </c>
      <c r="D2659" t="inlineStr">
        <is>
          <t>f363c31b76d7cbd22894c3b08bbedbbe5b1023adadd6f6e86ca78804cdf19532</t>
        </is>
      </c>
    </row>
    <row r="2660">
      <c r="A2660" t="inlineStr">
        <is>
          <t>附表10</t>
        </is>
      </c>
      <c r="B2660" t="inlineStr">
        <is>
          <t>J20</t>
        </is>
      </c>
      <c r="C2660" t="inlineStr">
        <is>
          <t>'=SUM(D20,E20,F20)</t>
        </is>
      </c>
      <c r="D2660" t="inlineStr">
        <is>
          <t>58515c1222e7725b02bf96fd756cf2796b7af7481f65974798d62a5f46b3145f</t>
        </is>
      </c>
    </row>
    <row r="2661">
      <c r="A2661" t="inlineStr">
        <is>
          <t>附表10</t>
        </is>
      </c>
      <c r="B2661" t="inlineStr">
        <is>
          <t>K20</t>
        </is>
      </c>
      <c r="C2661" t="inlineStr">
        <is>
          <t>'=SUM(C20,G20,H20,I20,M20,N20)</t>
        </is>
      </c>
      <c r="D2661" t="inlineStr">
        <is>
          <t>6875bb86df6f4404d1fc14c1285c8fa7cab71ce6f17fbb58165f78df58e3b8f8</t>
        </is>
      </c>
    </row>
    <row r="2662">
      <c r="A2662" t="inlineStr">
        <is>
          <t>附表10</t>
        </is>
      </c>
      <c r="B2662" t="inlineStr">
        <is>
          <t>O20</t>
        </is>
      </c>
      <c r="C2662" t="inlineStr">
        <is>
          <t>'=J20-K20</t>
        </is>
      </c>
      <c r="D2662" t="inlineStr">
        <is>
          <t>c37f21876d4edc7cacee2a280631f54eda953198b00c31bd78d3736614ccaaaa</t>
        </is>
      </c>
    </row>
    <row r="2663">
      <c r="A2663" t="inlineStr">
        <is>
          <t>附表10</t>
        </is>
      </c>
      <c r="B2663" t="inlineStr">
        <is>
          <t>J21</t>
        </is>
      </c>
      <c r="C2663" t="inlineStr">
        <is>
          <t>'=SUM(D21,E21,F21)</t>
        </is>
      </c>
      <c r="D2663" t="inlineStr">
        <is>
          <t>f04970e3004c960935da82810715eddc7845a26db807d16680ae369a6ac74ad1</t>
        </is>
      </c>
    </row>
    <row r="2664">
      <c r="A2664" t="inlineStr">
        <is>
          <t>附表10</t>
        </is>
      </c>
      <c r="B2664" t="inlineStr">
        <is>
          <t>K21</t>
        </is>
      </c>
      <c r="C2664" t="inlineStr">
        <is>
          <t>'=SUM(C21,G21,H21,I21,M21,N21)</t>
        </is>
      </c>
      <c r="D2664" t="inlineStr">
        <is>
          <t>265a0e0d2fe53a8a569a8787bb42f4681739663b14afa37e9a990f1bbdf048a0</t>
        </is>
      </c>
    </row>
    <row r="2665">
      <c r="A2665" t="inlineStr">
        <is>
          <t>附表10</t>
        </is>
      </c>
      <c r="B2665" t="inlineStr">
        <is>
          <t>M21</t>
        </is>
      </c>
      <c r="C2665" t="inlineStr">
        <is>
          <t>'='附表8'!E24</t>
        </is>
      </c>
      <c r="D2665" t="inlineStr">
        <is>
          <t>c0ed63987de6c297871ee678f9bfcf9221db947f9634c85fc0845fec010ca634</t>
        </is>
      </c>
    </row>
    <row r="2666">
      <c r="A2666" t="inlineStr">
        <is>
          <t>附表10</t>
        </is>
      </c>
      <c r="B2666" t="inlineStr">
        <is>
          <t>N21</t>
        </is>
      </c>
      <c r="C2666" t="inlineStr">
        <is>
          <t>'='附表8'!F24</t>
        </is>
      </c>
      <c r="D2666" t="inlineStr">
        <is>
          <t>51af48976ec6b37d5043ff16c47720de8a745c5e6ed8e7b37fdaa93ce68a1a13</t>
        </is>
      </c>
    </row>
    <row r="2667">
      <c r="A2667" t="inlineStr">
        <is>
          <t>附表10</t>
        </is>
      </c>
      <c r="B2667" t="inlineStr">
        <is>
          <t>O21</t>
        </is>
      </c>
      <c r="C2667" t="inlineStr">
        <is>
          <t>'=J21-K21</t>
        </is>
      </c>
      <c r="D2667" t="inlineStr">
        <is>
          <t>37c9733dcdd57ad8408d647272d7d25ebc467abc25c4934276395399bd17c7ab</t>
        </is>
      </c>
    </row>
    <row r="2668">
      <c r="A2668" t="inlineStr">
        <is>
          <t>附表10</t>
        </is>
      </c>
      <c r="B2668" t="inlineStr">
        <is>
          <t>J22</t>
        </is>
      </c>
      <c r="C2668" t="inlineStr">
        <is>
          <t>'=SUM(D22,E22,F22)</t>
        </is>
      </c>
      <c r="D2668" t="inlineStr">
        <is>
          <t>1837b3e41faadae0664531b2c5283520aed9005e273b927d177c8b4c5b728110</t>
        </is>
      </c>
    </row>
    <row r="2669">
      <c r="A2669" t="inlineStr">
        <is>
          <t>附表10</t>
        </is>
      </c>
      <c r="B2669" t="inlineStr">
        <is>
          <t>K22</t>
        </is>
      </c>
      <c r="C2669" t="inlineStr">
        <is>
          <t>'=SUM(C22,G22,H22,I22,M22,N22)</t>
        </is>
      </c>
      <c r="D2669" t="inlineStr">
        <is>
          <t>ab2f6fe9dc0f91dfc1309518e07c7d5b220f4ee117bf2e51996181c4cfe88325</t>
        </is>
      </c>
    </row>
    <row r="2670">
      <c r="A2670" t="inlineStr">
        <is>
          <t>附表10</t>
        </is>
      </c>
      <c r="B2670" t="inlineStr">
        <is>
          <t>M22</t>
        </is>
      </c>
      <c r="C2670" t="inlineStr">
        <is>
          <t>'='附表8'!E25</t>
        </is>
      </c>
      <c r="D2670" t="inlineStr">
        <is>
          <t>3c832e1bd2881cb97b925319e158a885d6351c1eb6ff0f71a2791c68da751eaf</t>
        </is>
      </c>
    </row>
    <row r="2671">
      <c r="A2671" t="inlineStr">
        <is>
          <t>附表10</t>
        </is>
      </c>
      <c r="B2671" t="inlineStr">
        <is>
          <t>N22</t>
        </is>
      </c>
      <c r="C2671" t="inlineStr">
        <is>
          <t>'='附表8'!F25</t>
        </is>
      </c>
      <c r="D2671" t="inlineStr">
        <is>
          <t>f56604e7f1008caf25bf6be961019a8c6358bb35daead54254420f9dd8dba92b</t>
        </is>
      </c>
    </row>
    <row r="2672">
      <c r="A2672" t="inlineStr">
        <is>
          <t>附表10</t>
        </is>
      </c>
      <c r="B2672" t="inlineStr">
        <is>
          <t>O22</t>
        </is>
      </c>
      <c r="C2672" t="inlineStr">
        <is>
          <t>'=J22-K22</t>
        </is>
      </c>
      <c r="D2672" t="inlineStr">
        <is>
          <t>f31663861dab39f9d115ce7fba5a681cdca5ec680b22e557c217ccd19bd4604b</t>
        </is>
      </c>
    </row>
    <row r="2673">
      <c r="A2673" t="inlineStr">
        <is>
          <t>附表10</t>
        </is>
      </c>
      <c r="B2673" t="inlineStr">
        <is>
          <t>J23</t>
        </is>
      </c>
      <c r="C2673" t="inlineStr">
        <is>
          <t>'=SUM(D23,E23,F23)</t>
        </is>
      </c>
      <c r="D2673" t="inlineStr">
        <is>
          <t>6e1e8c9832a2e18719d7db61dbd849276abeb6c4b360bdb8fabab38aa7213d72</t>
        </is>
      </c>
    </row>
    <row r="2674">
      <c r="A2674" t="inlineStr">
        <is>
          <t>附表10</t>
        </is>
      </c>
      <c r="B2674" t="inlineStr">
        <is>
          <t>K23</t>
        </is>
      </c>
      <c r="C2674" t="inlineStr">
        <is>
          <t>'=SUM(C23,G23,H23,I23,M23,N23)</t>
        </is>
      </c>
      <c r="D2674" t="inlineStr">
        <is>
          <t>ee3086cb0a12ae49fd579c061c19db86a48b98a242de76f5d9ff93d96c42f3f4</t>
        </is>
      </c>
    </row>
    <row r="2675">
      <c r="A2675" t="inlineStr">
        <is>
          <t>附表10</t>
        </is>
      </c>
      <c r="B2675" t="inlineStr">
        <is>
          <t>M23</t>
        </is>
      </c>
      <c r="C2675" t="inlineStr">
        <is>
          <t>'='附表8'!E26</t>
        </is>
      </c>
      <c r="D2675" t="inlineStr">
        <is>
          <t>c7578c5a57d5804980f88120c75dc3d3906f6ddaf3412258140c1b1017b66bdc</t>
        </is>
      </c>
    </row>
    <row r="2676">
      <c r="A2676" t="inlineStr">
        <is>
          <t>附表10</t>
        </is>
      </c>
      <c r="B2676" t="inlineStr">
        <is>
          <t>N23</t>
        </is>
      </c>
      <c r="C2676" t="inlineStr">
        <is>
          <t>'='附表8'!F26</t>
        </is>
      </c>
      <c r="D2676" t="inlineStr">
        <is>
          <t>abcb97cbe590fcd837a8fc5a38ac9b1d0c61bca81ae169709e8f88a017e2bf59</t>
        </is>
      </c>
    </row>
    <row r="2677">
      <c r="A2677" t="inlineStr">
        <is>
          <t>附表10</t>
        </is>
      </c>
      <c r="B2677" t="inlineStr">
        <is>
          <t>O23</t>
        </is>
      </c>
      <c r="C2677" t="inlineStr">
        <is>
          <t>'=J23-K23</t>
        </is>
      </c>
      <c r="D2677" t="inlineStr">
        <is>
          <t>fd414c78f5f703e7eeda3d0a51d5d11ef656e06b1b277a2aebd05962ef9bbfec</t>
        </is>
      </c>
    </row>
    <row r="2678">
      <c r="A2678" t="inlineStr">
        <is>
          <t>附表10</t>
        </is>
      </c>
      <c r="B2678" t="inlineStr">
        <is>
          <t>J24</t>
        </is>
      </c>
      <c r="C2678" t="inlineStr">
        <is>
          <t>'=SUM(D24,E24,F24)</t>
        </is>
      </c>
      <c r="D2678" t="inlineStr">
        <is>
          <t>0b5f0456127dfa3b2fc8c63f69c4d4397e85ddb9dc4b5fe8afd80c1dc76c95ae</t>
        </is>
      </c>
    </row>
    <row r="2679">
      <c r="A2679" t="inlineStr">
        <is>
          <t>附表10</t>
        </is>
      </c>
      <c r="B2679" t="inlineStr">
        <is>
          <t>K24</t>
        </is>
      </c>
      <c r="C2679" t="inlineStr">
        <is>
          <t>'=SUM(C24,G24,H24,I24,M24,N24)</t>
        </is>
      </c>
      <c r="D2679" t="inlineStr">
        <is>
          <t>6d452540aaddb90aac982111ca47657a25c90131bba439de59816687368bea26</t>
        </is>
      </c>
    </row>
    <row r="2680">
      <c r="A2680" t="inlineStr">
        <is>
          <t>附表10</t>
        </is>
      </c>
      <c r="B2680" t="inlineStr">
        <is>
          <t>M24</t>
        </is>
      </c>
      <c r="C2680" t="inlineStr">
        <is>
          <t>'='附表8'!E27</t>
        </is>
      </c>
      <c r="D2680" t="inlineStr">
        <is>
          <t>cd34cd305832f6f7fecbab7df01b61b760d9996ae624c4adffb32d493f8f6f9b</t>
        </is>
      </c>
    </row>
    <row r="2681">
      <c r="A2681" t="inlineStr">
        <is>
          <t>附表10</t>
        </is>
      </c>
      <c r="B2681" t="inlineStr">
        <is>
          <t>N24</t>
        </is>
      </c>
      <c r="C2681" t="inlineStr">
        <is>
          <t>'='附表8'!F27</t>
        </is>
      </c>
      <c r="D2681" t="inlineStr">
        <is>
          <t>d7a4fe555865955b935140c86aafaf76a95acc20cdc4c5a0251089659bbaab09</t>
        </is>
      </c>
    </row>
    <row r="2682">
      <c r="A2682" t="inlineStr">
        <is>
          <t>附表10</t>
        </is>
      </c>
      <c r="B2682" t="inlineStr">
        <is>
          <t>O24</t>
        </is>
      </c>
      <c r="C2682" t="inlineStr">
        <is>
          <t>'=J24-K24</t>
        </is>
      </c>
      <c r="D2682" t="inlineStr">
        <is>
          <t>8f1a298b88806307019879bb58afc69f3d2b4220d98f70c0904f8364678dbf52</t>
        </is>
      </c>
    </row>
    <row r="2683">
      <c r="A2683" t="inlineStr">
        <is>
          <t>附表10</t>
        </is>
      </c>
      <c r="B2683" t="inlineStr">
        <is>
          <t>J25</t>
        </is>
      </c>
      <c r="C2683" t="inlineStr">
        <is>
          <t>'=SUM(D25,E25,F25)</t>
        </is>
      </c>
      <c r="D2683" t="inlineStr">
        <is>
          <t>06bab468ede70ba2bc4af797737854303c9775981e5868439d44e407253c7ac0</t>
        </is>
      </c>
    </row>
    <row r="2684">
      <c r="A2684" t="inlineStr">
        <is>
          <t>附表10</t>
        </is>
      </c>
      <c r="B2684" t="inlineStr">
        <is>
          <t>K25</t>
        </is>
      </c>
      <c r="C2684" t="inlineStr">
        <is>
          <t>'=SUM(C25,G25,H25,I25,M25,N25)</t>
        </is>
      </c>
      <c r="D2684" t="inlineStr">
        <is>
          <t>d2b3cf572c0cbb92577b898fdba9bddf253abb274202d442a82150354d854cae</t>
        </is>
      </c>
    </row>
    <row r="2685">
      <c r="A2685" t="inlineStr">
        <is>
          <t>附表10</t>
        </is>
      </c>
      <c r="B2685" t="inlineStr">
        <is>
          <t>M25</t>
        </is>
      </c>
      <c r="C2685" t="inlineStr">
        <is>
          <t>'='附表8'!E28</t>
        </is>
      </c>
      <c r="D2685" t="inlineStr">
        <is>
          <t>24f7c9176039895ccb27a31f8844d94a03ec09fbe11c8f3aee9e6fea7e2f8e02</t>
        </is>
      </c>
    </row>
    <row r="2686">
      <c r="A2686" t="inlineStr">
        <is>
          <t>附表10</t>
        </is>
      </c>
      <c r="B2686" t="inlineStr">
        <is>
          <t>N25</t>
        </is>
      </c>
      <c r="C2686" t="inlineStr">
        <is>
          <t>'='附表8'!F28</t>
        </is>
      </c>
      <c r="D2686" t="inlineStr">
        <is>
          <t>5005ca7a9a3520f3b620ebab5b2cfc922deb7465b5490874ca1361186a832acf</t>
        </is>
      </c>
    </row>
    <row r="2687">
      <c r="A2687" t="inlineStr">
        <is>
          <t>附表10</t>
        </is>
      </c>
      <c r="B2687" t="inlineStr">
        <is>
          <t>O25</t>
        </is>
      </c>
      <c r="C2687" t="inlineStr">
        <is>
          <t>'=J25-K25</t>
        </is>
      </c>
      <c r="D2687" t="inlineStr">
        <is>
          <t>12939d5665781e1b26fee774cbebef727f30fb7302537af5ad66b193275b7c89</t>
        </is>
      </c>
    </row>
    <row r="2688">
      <c r="A2688" t="inlineStr">
        <is>
          <t>附表10</t>
        </is>
      </c>
      <c r="B2688" t="inlineStr">
        <is>
          <t>J26</t>
        </is>
      </c>
      <c r="C2688" t="inlineStr">
        <is>
          <t>'=SUM(D26,E26,F26)</t>
        </is>
      </c>
      <c r="D2688" t="inlineStr">
        <is>
          <t>072d017cea3514d9384fcc91964fad5113ed117bad3d474cf46d5da2d7619ecb</t>
        </is>
      </c>
    </row>
    <row r="2689">
      <c r="A2689" t="inlineStr">
        <is>
          <t>附表10</t>
        </is>
      </c>
      <c r="B2689" t="inlineStr">
        <is>
          <t>K26</t>
        </is>
      </c>
      <c r="C2689" t="inlineStr">
        <is>
          <t>'=SUM(C26,G26,H26,I26,M26,N26)</t>
        </is>
      </c>
      <c r="D2689" t="inlineStr">
        <is>
          <t>0d3b5c345062c82b0dac06720ffed7f8cb6139431790c89611616c4994b2a878</t>
        </is>
      </c>
    </row>
    <row r="2690">
      <c r="A2690" t="inlineStr">
        <is>
          <t>附表10</t>
        </is>
      </c>
      <c r="B2690" t="inlineStr">
        <is>
          <t>M26</t>
        </is>
      </c>
      <c r="C2690" t="inlineStr">
        <is>
          <t>'='附表8'!E29</t>
        </is>
      </c>
      <c r="D2690" t="inlineStr">
        <is>
          <t>307311784b831db1d1a106802cb3d466ba2dd9f458a7ab6758539b506255bfc9</t>
        </is>
      </c>
    </row>
    <row r="2691">
      <c r="A2691" t="inlineStr">
        <is>
          <t>附表10</t>
        </is>
      </c>
      <c r="B2691" t="inlineStr">
        <is>
          <t>N26</t>
        </is>
      </c>
      <c r="C2691" t="inlineStr">
        <is>
          <t>'='附表8'!F29</t>
        </is>
      </c>
      <c r="D2691" t="inlineStr">
        <is>
          <t>8c8304c4be434b7ca403f537f424906210908467d1ec01bda925778c4caafc1d</t>
        </is>
      </c>
    </row>
    <row r="2692">
      <c r="A2692" t="inlineStr">
        <is>
          <t>附表10</t>
        </is>
      </c>
      <c r="B2692" t="inlineStr">
        <is>
          <t>O26</t>
        </is>
      </c>
      <c r="C2692" t="inlineStr">
        <is>
          <t>'=J26-K26</t>
        </is>
      </c>
      <c r="D2692" t="inlineStr">
        <is>
          <t>547c222c40875c6e755a48169ec7980486d521b21ed1f6f1f9b9e6fef86926b7</t>
        </is>
      </c>
    </row>
    <row r="2693">
      <c r="A2693" t="inlineStr">
        <is>
          <t>附表10</t>
        </is>
      </c>
      <c r="B2693" t="inlineStr">
        <is>
          <t>J27</t>
        </is>
      </c>
      <c r="C2693" t="inlineStr">
        <is>
          <t>'=SUM(D27,E27,F27)</t>
        </is>
      </c>
      <c r="D2693" t="inlineStr">
        <is>
          <t>2439b425555eb1fef4fc06c061df81f6b0e161fb5d63e8b744d4691d3b83825c</t>
        </is>
      </c>
    </row>
    <row r="2694">
      <c r="A2694" t="inlineStr">
        <is>
          <t>附表10</t>
        </is>
      </c>
      <c r="B2694" t="inlineStr">
        <is>
          <t>K27</t>
        </is>
      </c>
      <c r="C2694" t="inlineStr">
        <is>
          <t>'=SUM(C27,G27,H27,I27,M27,N27)</t>
        </is>
      </c>
      <c r="D2694" t="inlineStr">
        <is>
          <t>b6834d5cb8cf3f346c0805f651e57a7221ec8b233c410afbda965ea2a10d84a8</t>
        </is>
      </c>
    </row>
    <row r="2695">
      <c r="A2695" t="inlineStr">
        <is>
          <t>附表10</t>
        </is>
      </c>
      <c r="B2695" t="inlineStr">
        <is>
          <t>M27</t>
        </is>
      </c>
      <c r="C2695" t="inlineStr">
        <is>
          <t>'='附表8'!E30</t>
        </is>
      </c>
      <c r="D2695" t="inlineStr">
        <is>
          <t>9f7e9c9bd2e6380670159dce9bfce2e57dc2f685a487751799dcb7c7ff247bc2</t>
        </is>
      </c>
    </row>
    <row r="2696">
      <c r="A2696" t="inlineStr">
        <is>
          <t>附表10</t>
        </is>
      </c>
      <c r="B2696" t="inlineStr">
        <is>
          <t>N27</t>
        </is>
      </c>
      <c r="C2696" t="inlineStr">
        <is>
          <t>'='附表8'!F30</t>
        </is>
      </c>
      <c r="D2696" t="inlineStr">
        <is>
          <t>9b110158149cec3663f993371c4a3162d41191ac674309bf9156fdf429ea253e</t>
        </is>
      </c>
    </row>
    <row r="2697">
      <c r="A2697" t="inlineStr">
        <is>
          <t>附表10</t>
        </is>
      </c>
      <c r="B2697" t="inlineStr">
        <is>
          <t>O27</t>
        </is>
      </c>
      <c r="C2697" t="inlineStr">
        <is>
          <t>'=J27-K27</t>
        </is>
      </c>
      <c r="D2697" t="inlineStr">
        <is>
          <t>2722cd7ebf414c6def31cef268251b8fdb02804d217c9fa094f3b336eca556dd</t>
        </is>
      </c>
    </row>
    <row r="2698">
      <c r="A2698" t="inlineStr">
        <is>
          <t>附表10</t>
        </is>
      </c>
      <c r="B2698" t="inlineStr">
        <is>
          <t>J28</t>
        </is>
      </c>
      <c r="C2698" t="inlineStr">
        <is>
          <t>'=SUM(D28,E28,F28)</t>
        </is>
      </c>
      <c r="D2698" t="inlineStr">
        <is>
          <t>644e0d4a4fb54c949ca3ba08873a764cb6398f42fe388558db80572f82a1b24a</t>
        </is>
      </c>
    </row>
    <row r="2699">
      <c r="A2699" t="inlineStr">
        <is>
          <t>附表10</t>
        </is>
      </c>
      <c r="B2699" t="inlineStr">
        <is>
          <t>K28</t>
        </is>
      </c>
      <c r="C2699" t="inlineStr">
        <is>
          <t>'=SUM(C28,G28,H28,I28,M28,N28)</t>
        </is>
      </c>
      <c r="D2699" t="inlineStr">
        <is>
          <t>51faabd8283a7cc6383960a069a90e24e81a079a75c2505d2562eb4f79ed4c28</t>
        </is>
      </c>
    </row>
    <row r="2700">
      <c r="A2700" t="inlineStr">
        <is>
          <t>附表10</t>
        </is>
      </c>
      <c r="B2700" t="inlineStr">
        <is>
          <t>M28</t>
        </is>
      </c>
      <c r="C2700" t="inlineStr">
        <is>
          <t>'='附表8'!E31</t>
        </is>
      </c>
      <c r="D2700" t="inlineStr">
        <is>
          <t>1bb5eee6b98c0e3356f5b036aaa341911e7f2da19802370c42ad6733163f9dfd</t>
        </is>
      </c>
    </row>
    <row r="2701">
      <c r="A2701" t="inlineStr">
        <is>
          <t>附表10</t>
        </is>
      </c>
      <c r="B2701" t="inlineStr">
        <is>
          <t>N28</t>
        </is>
      </c>
      <c r="C2701" t="inlineStr">
        <is>
          <t>'='附表8'!F31</t>
        </is>
      </c>
      <c r="D2701" t="inlineStr">
        <is>
          <t>20684db54ddb4ef4f8dcc7ddab153d011429da29e88929d0e296e09bc1d3e6c9</t>
        </is>
      </c>
    </row>
    <row r="2702">
      <c r="A2702" t="inlineStr">
        <is>
          <t>附表10</t>
        </is>
      </c>
      <c r="B2702" t="inlineStr">
        <is>
          <t>O28</t>
        </is>
      </c>
      <c r="C2702" t="inlineStr">
        <is>
          <t>'=J28-K28</t>
        </is>
      </c>
      <c r="D2702" t="inlineStr">
        <is>
          <t>9aeab14a41de5957b094231da92028a5fb0fd26c9bc5bd94940074b2395cbe42</t>
        </is>
      </c>
    </row>
    <row r="2703">
      <c r="A2703" t="inlineStr">
        <is>
          <t>附表10</t>
        </is>
      </c>
      <c r="B2703" t="inlineStr">
        <is>
          <t>J29</t>
        </is>
      </c>
      <c r="C2703" t="inlineStr">
        <is>
          <t>'=SUM(D29,E29,F29)</t>
        </is>
      </c>
      <c r="D2703" t="inlineStr">
        <is>
          <t>d65be26c23d59afb93acd89d8e4e751ac7e09d72eb41730c333d30589fc0e469</t>
        </is>
      </c>
    </row>
    <row r="2704">
      <c r="A2704" t="inlineStr">
        <is>
          <t>附表10</t>
        </is>
      </c>
      <c r="B2704" t="inlineStr">
        <is>
          <t>K29</t>
        </is>
      </c>
      <c r="C2704" t="inlineStr">
        <is>
          <t>'=SUM(C29,G29,H29,I29,M29,N29)</t>
        </is>
      </c>
      <c r="D2704" t="inlineStr">
        <is>
          <t>0bfd272e3fcd3b91f73133feb9221f5ac1895b64b3928e72375d9359d8864323</t>
        </is>
      </c>
    </row>
    <row r="2705">
      <c r="A2705" t="inlineStr">
        <is>
          <t>附表10</t>
        </is>
      </c>
      <c r="B2705" t="inlineStr">
        <is>
          <t>M29</t>
        </is>
      </c>
      <c r="C2705" t="inlineStr">
        <is>
          <t>'='附表8'!E32</t>
        </is>
      </c>
      <c r="D2705" t="inlineStr">
        <is>
          <t>949278439d015f801c105892aa2a2e88a2c27917cc4773b61201a59e9749455c</t>
        </is>
      </c>
    </row>
    <row r="2706">
      <c r="A2706" t="inlineStr">
        <is>
          <t>附表10</t>
        </is>
      </c>
      <c r="B2706" t="inlineStr">
        <is>
          <t>N29</t>
        </is>
      </c>
      <c r="C2706" t="inlineStr">
        <is>
          <t>'='附表8'!F32</t>
        </is>
      </c>
      <c r="D2706" t="inlineStr">
        <is>
          <t>c87c6c9222977a15c373001cfaa8089bfe95cccedaf7e496035789b7e56933df</t>
        </is>
      </c>
    </row>
    <row r="2707">
      <c r="A2707" t="inlineStr">
        <is>
          <t>附表10</t>
        </is>
      </c>
      <c r="B2707" t="inlineStr">
        <is>
          <t>O29</t>
        </is>
      </c>
      <c r="C2707" t="inlineStr">
        <is>
          <t>'=J29-K29</t>
        </is>
      </c>
      <c r="D2707" t="inlineStr">
        <is>
          <t>63cc30b9eab594f3ff9d4faa683ad73e82c2476f3d2e434c1bd29c7b8da6dbd8</t>
        </is>
      </c>
    </row>
    <row r="2708">
      <c r="A2708" t="inlineStr">
        <is>
          <t>附表10</t>
        </is>
      </c>
      <c r="B2708" t="inlineStr">
        <is>
          <t>J30</t>
        </is>
      </c>
      <c r="C2708" t="inlineStr">
        <is>
          <t>'=SUM(D30,E30,F30)</t>
        </is>
      </c>
      <c r="D2708" t="inlineStr">
        <is>
          <t>7e4015f5adab75eaa5c93f2c7fddd3aaab84c8c19d81c1b2787cff56f17cc896</t>
        </is>
      </c>
    </row>
    <row r="2709">
      <c r="A2709" t="inlineStr">
        <is>
          <t>附表10</t>
        </is>
      </c>
      <c r="B2709" t="inlineStr">
        <is>
          <t>K30</t>
        </is>
      </c>
      <c r="C2709" t="inlineStr">
        <is>
          <t>'=SUM(C30,G30,H30,I30,M30,N30)</t>
        </is>
      </c>
      <c r="D2709" t="inlineStr">
        <is>
          <t>d8e5860ac0af85bc4b59e0068d0dacd1e20cec79b1b99e178aa4eb73e4137c70</t>
        </is>
      </c>
    </row>
    <row r="2710">
      <c r="A2710" t="inlineStr">
        <is>
          <t>附表10</t>
        </is>
      </c>
      <c r="B2710" t="inlineStr">
        <is>
          <t>M30</t>
        </is>
      </c>
      <c r="C2710" t="inlineStr">
        <is>
          <t>'='附表8'!E33</t>
        </is>
      </c>
      <c r="D2710" t="inlineStr">
        <is>
          <t>9f8867f1ec54e4319fb7afc7f507afbad9dc210d89719ec2f2a4fb399dbbf91a</t>
        </is>
      </c>
    </row>
    <row r="2711">
      <c r="A2711" t="inlineStr">
        <is>
          <t>附表10</t>
        </is>
      </c>
      <c r="B2711" t="inlineStr">
        <is>
          <t>N30</t>
        </is>
      </c>
      <c r="C2711" t="inlineStr">
        <is>
          <t>'='附表8'!F33</t>
        </is>
      </c>
      <c r="D2711" t="inlineStr">
        <is>
          <t>d3a7e7cc8071b47c17d507a9753e1c7d246afac39b04ee47f9af527e25620011</t>
        </is>
      </c>
    </row>
    <row r="2712">
      <c r="A2712" t="inlineStr">
        <is>
          <t>附表10</t>
        </is>
      </c>
      <c r="B2712" t="inlineStr">
        <is>
          <t>O30</t>
        </is>
      </c>
      <c r="C2712" t="inlineStr">
        <is>
          <t>'=J30-K30</t>
        </is>
      </c>
      <c r="D2712" t="inlineStr">
        <is>
          <t>d1ada61f0d352f9cc6306741d18b734b15b9d8a14a08cb5a5de533648c50ecbc</t>
        </is>
      </c>
    </row>
    <row r="2713">
      <c r="A2713" t="inlineStr">
        <is>
          <t>附表10</t>
        </is>
      </c>
      <c r="B2713" t="inlineStr">
        <is>
          <t>J31</t>
        </is>
      </c>
      <c r="C2713" t="inlineStr">
        <is>
          <t>'=SUM(D31,E31,F31)</t>
        </is>
      </c>
      <c r="D2713" t="inlineStr">
        <is>
          <t>7014ddefab4d176969d491db2579d3cce489a187bd2bc8b0f5e56c2d5f93d74e</t>
        </is>
      </c>
    </row>
    <row r="2714">
      <c r="A2714" t="inlineStr">
        <is>
          <t>附表10</t>
        </is>
      </c>
      <c r="B2714" t="inlineStr">
        <is>
          <t>K31</t>
        </is>
      </c>
      <c r="C2714" t="inlineStr">
        <is>
          <t>'=SUM(C31,G31,H31,I31,M31,N31)</t>
        </is>
      </c>
      <c r="D2714" t="inlineStr">
        <is>
          <t>2796d9aa72cd115744d90f37b343489fb175bb8f48e164065cb246470751e96a</t>
        </is>
      </c>
    </row>
    <row r="2715">
      <c r="A2715" t="inlineStr">
        <is>
          <t>附表10</t>
        </is>
      </c>
      <c r="B2715" t="inlineStr">
        <is>
          <t>M31</t>
        </is>
      </c>
      <c r="C2715" t="inlineStr">
        <is>
          <t>'='附表8'!E34</t>
        </is>
      </c>
      <c r="D2715" t="inlineStr">
        <is>
          <t>903ce98e0a906612221e7517e1786bed8769b8869028e08ca2c4dae43e562e26</t>
        </is>
      </c>
    </row>
    <row r="2716">
      <c r="A2716" t="inlineStr">
        <is>
          <t>附表10</t>
        </is>
      </c>
      <c r="B2716" t="inlineStr">
        <is>
          <t>N31</t>
        </is>
      </c>
      <c r="C2716" t="inlineStr">
        <is>
          <t>'='附表8'!F34</t>
        </is>
      </c>
      <c r="D2716" t="inlineStr">
        <is>
          <t>a2f759f6a88f0fbbfbe38fd9978e9a6ea0e87968e7af468c59b46b12c945515d</t>
        </is>
      </c>
    </row>
    <row r="2717">
      <c r="A2717" t="inlineStr">
        <is>
          <t>附表10</t>
        </is>
      </c>
      <c r="B2717" t="inlineStr">
        <is>
          <t>O31</t>
        </is>
      </c>
      <c r="C2717" t="inlineStr">
        <is>
          <t>'=J31-K31</t>
        </is>
      </c>
      <c r="D2717" t="inlineStr">
        <is>
          <t>0cada7091e1c0d477950a78413765ab983e1bcb56c5717cc2f1779b7ae0a59fd</t>
        </is>
      </c>
    </row>
    <row r="2718">
      <c r="A2718" t="inlineStr">
        <is>
          <t>附表10</t>
        </is>
      </c>
      <c r="B2718" t="inlineStr">
        <is>
          <t>J32</t>
        </is>
      </c>
      <c r="C2718" t="inlineStr">
        <is>
          <t>'=SUM(D32,E32,F32)</t>
        </is>
      </c>
      <c r="D2718" t="inlineStr">
        <is>
          <t>18ecf661c50178ccb037a2a9358a477529ff3bd97098e5b97b9246919d1dd6f0</t>
        </is>
      </c>
    </row>
    <row r="2719">
      <c r="A2719" t="inlineStr">
        <is>
          <t>附表10</t>
        </is>
      </c>
      <c r="B2719" t="inlineStr">
        <is>
          <t>K32</t>
        </is>
      </c>
      <c r="C2719" t="inlineStr">
        <is>
          <t>'=SUM(C32,G32,H32,I32,M32,N32)</t>
        </is>
      </c>
      <c r="D2719" t="inlineStr">
        <is>
          <t>54926bf8dad8b8447117f6d288b0b1c905b6a98bd109e919185ba3bee0ade215</t>
        </is>
      </c>
    </row>
    <row r="2720">
      <c r="A2720" t="inlineStr">
        <is>
          <t>附表10</t>
        </is>
      </c>
      <c r="B2720" t="inlineStr">
        <is>
          <t>M32</t>
        </is>
      </c>
      <c r="C2720" t="inlineStr">
        <is>
          <t>'='附表8'!E35</t>
        </is>
      </c>
      <c r="D2720" t="inlineStr">
        <is>
          <t>794b503101ee14210742c46d81758b51e0e558b8bdc618019128c2a3e40969b4</t>
        </is>
      </c>
    </row>
    <row r="2721">
      <c r="A2721" t="inlineStr">
        <is>
          <t>附表10</t>
        </is>
      </c>
      <c r="B2721" t="inlineStr">
        <is>
          <t>N32</t>
        </is>
      </c>
      <c r="C2721" t="inlineStr">
        <is>
          <t>'='附表8'!F35</t>
        </is>
      </c>
      <c r="D2721" t="inlineStr">
        <is>
          <t>cd2931a60741f1e7240893f9d05d1a0976f51dcb4dfe422e8834bc1b12ec3d62</t>
        </is>
      </c>
    </row>
    <row r="2722">
      <c r="A2722" t="inlineStr">
        <is>
          <t>附表10</t>
        </is>
      </c>
      <c r="B2722" t="inlineStr">
        <is>
          <t>O32</t>
        </is>
      </c>
      <c r="C2722" t="inlineStr">
        <is>
          <t>'=J32-K32</t>
        </is>
      </c>
      <c r="D2722" t="inlineStr">
        <is>
          <t>48ee77bddbe8582869ab714e089352cafd0f669d10479f40f71567b540dc1c45</t>
        </is>
      </c>
    </row>
    <row r="2723">
      <c r="A2723" t="inlineStr">
        <is>
          <t>附表10</t>
        </is>
      </c>
      <c r="B2723" t="inlineStr">
        <is>
          <t>J33</t>
        </is>
      </c>
      <c r="C2723" t="inlineStr">
        <is>
          <t>'=SUM(D33,E33,F33)</t>
        </is>
      </c>
      <c r="D2723" t="inlineStr">
        <is>
          <t>bddb11fe7057692c9bce91f41309755f164669afd7943576cd4626c1c05fa72a</t>
        </is>
      </c>
    </row>
    <row r="2724">
      <c r="A2724" t="inlineStr">
        <is>
          <t>附表10</t>
        </is>
      </c>
      <c r="B2724" t="inlineStr">
        <is>
          <t>K33</t>
        </is>
      </c>
      <c r="C2724" t="inlineStr">
        <is>
          <t>'=SUM(C33,G33,H33,I33,M33,N33)</t>
        </is>
      </c>
      <c r="D2724" t="inlineStr">
        <is>
          <t>e69eda9846206d5a0072a0a2ea9376d034d4a30867c51f3d564b537bfe674fc5</t>
        </is>
      </c>
    </row>
    <row r="2725">
      <c r="A2725" t="inlineStr">
        <is>
          <t>附表10</t>
        </is>
      </c>
      <c r="B2725" t="inlineStr">
        <is>
          <t>M33</t>
        </is>
      </c>
      <c r="C2725" t="inlineStr">
        <is>
          <t>'='附表8'!E36</t>
        </is>
      </c>
      <c r="D2725" t="inlineStr">
        <is>
          <t>3f931c44cbba4b3e73cf7de9d689817e141160e0ecaa8dd8e4b42c82c0ed31aa</t>
        </is>
      </c>
    </row>
    <row r="2726">
      <c r="A2726" t="inlineStr">
        <is>
          <t>附表10</t>
        </is>
      </c>
      <c r="B2726" t="inlineStr">
        <is>
          <t>N33</t>
        </is>
      </c>
      <c r="C2726" t="inlineStr">
        <is>
          <t>'='附表8'!F36</t>
        </is>
      </c>
      <c r="D2726" t="inlineStr">
        <is>
          <t>f1dbcfd7f086384d6d8c865cd4e12216c7f66729104bac9d104de30461cfed8d</t>
        </is>
      </c>
    </row>
    <row r="2727">
      <c r="A2727" t="inlineStr">
        <is>
          <t>附表10</t>
        </is>
      </c>
      <c r="B2727" t="inlineStr">
        <is>
          <t>O33</t>
        </is>
      </c>
      <c r="C2727" t="inlineStr">
        <is>
          <t>'=J33-K33</t>
        </is>
      </c>
      <c r="D2727" t="inlineStr">
        <is>
          <t>a6b9ddacaaa1fdaf231c7f5c692ad14b725dc8df9860d4fca3980395c7a980e2</t>
        </is>
      </c>
    </row>
    <row r="2728">
      <c r="A2728" t="inlineStr">
        <is>
          <t>附表10</t>
        </is>
      </c>
      <c r="B2728" t="inlineStr">
        <is>
          <t>J34</t>
        </is>
      </c>
      <c r="C2728" t="inlineStr">
        <is>
          <t>'=SUM(D34,E34,F34)</t>
        </is>
      </c>
      <c r="D2728" t="inlineStr">
        <is>
          <t>53b942e215b8e236af03784deabcf30d37b70164f9bf8ca2e48820addd31ea83</t>
        </is>
      </c>
    </row>
    <row r="2729">
      <c r="A2729" t="inlineStr">
        <is>
          <t>附表10</t>
        </is>
      </c>
      <c r="B2729" t="inlineStr">
        <is>
          <t>K34</t>
        </is>
      </c>
      <c r="C2729" t="inlineStr">
        <is>
          <t>'=SUM(C34,G34,H34,I34,M34,N34)</t>
        </is>
      </c>
      <c r="D2729" t="inlineStr">
        <is>
          <t>8988395257612b20440c9873344843f151b85c5d537ac363bc073f8f9426ecd5</t>
        </is>
      </c>
    </row>
    <row r="2730">
      <c r="A2730" t="inlineStr">
        <is>
          <t>附表10</t>
        </is>
      </c>
      <c r="B2730" t="inlineStr">
        <is>
          <t>M34</t>
        </is>
      </c>
      <c r="C2730" t="inlineStr">
        <is>
          <t>'='附表8'!E37</t>
        </is>
      </c>
      <c r="D2730" t="inlineStr">
        <is>
          <t>4077f7378dff705629c2db7a743112525b14446527473a69a91bcae53229cbe4</t>
        </is>
      </c>
    </row>
    <row r="2731">
      <c r="A2731" t="inlineStr">
        <is>
          <t>附表10</t>
        </is>
      </c>
      <c r="B2731" t="inlineStr">
        <is>
          <t>N34</t>
        </is>
      </c>
      <c r="C2731" t="inlineStr">
        <is>
          <t>'='附表8'!F37</t>
        </is>
      </c>
      <c r="D2731" t="inlineStr">
        <is>
          <t>d763579228feba85e7a480af450d869837e6c5d3c0acae7da3649bde6c6fe9f7</t>
        </is>
      </c>
    </row>
    <row r="2732">
      <c r="A2732" t="inlineStr">
        <is>
          <t>附表10</t>
        </is>
      </c>
      <c r="B2732" t="inlineStr">
        <is>
          <t>O34</t>
        </is>
      </c>
      <c r="C2732" t="inlineStr">
        <is>
          <t>'=J34-K34</t>
        </is>
      </c>
      <c r="D2732" t="inlineStr">
        <is>
          <t>3da4a8f824ea45887763af506cda528b2d232cf563c3c128b17c1cc65460a45f</t>
        </is>
      </c>
    </row>
    <row r="2733">
      <c r="A2733" t="inlineStr">
        <is>
          <t>附表10</t>
        </is>
      </c>
      <c r="B2733" t="inlineStr">
        <is>
          <t>J35</t>
        </is>
      </c>
      <c r="C2733" t="inlineStr">
        <is>
          <t>'=SUM(D35,E35,F35)</t>
        </is>
      </c>
      <c r="D2733" t="inlineStr">
        <is>
          <t>e0c0dcc3db58373ae300903bb1cb16977031cbd6fe8993930bbf13c9a29f3457</t>
        </is>
      </c>
    </row>
    <row r="2734">
      <c r="A2734" t="inlineStr">
        <is>
          <t>附表10</t>
        </is>
      </c>
      <c r="B2734" t="inlineStr">
        <is>
          <t>K35</t>
        </is>
      </c>
      <c r="C2734" t="inlineStr">
        <is>
          <t>'=SUM(C35,G35,H35,I35,M35,N35)</t>
        </is>
      </c>
      <c r="D2734" t="inlineStr">
        <is>
          <t>4f117c4965f906e9ce3caab80dce4569baef222d649e9069d3946c6420a85305</t>
        </is>
      </c>
    </row>
    <row r="2735">
      <c r="A2735" t="inlineStr">
        <is>
          <t>附表10</t>
        </is>
      </c>
      <c r="B2735" t="inlineStr">
        <is>
          <t>M35</t>
        </is>
      </c>
      <c r="C2735" t="inlineStr">
        <is>
          <t>'='附表8'!E38</t>
        </is>
      </c>
      <c r="D2735" t="inlineStr">
        <is>
          <t>71a2eb5d6b60c9ca97673592f5da0f6e971ce04ea0fdfa54df301cee1e64e2bd</t>
        </is>
      </c>
    </row>
    <row r="2736">
      <c r="A2736" t="inlineStr">
        <is>
          <t>附表10</t>
        </is>
      </c>
      <c r="B2736" t="inlineStr">
        <is>
          <t>N35</t>
        </is>
      </c>
      <c r="C2736" t="inlineStr">
        <is>
          <t>'='附表8'!F38</t>
        </is>
      </c>
      <c r="D2736" t="inlineStr">
        <is>
          <t>c03f25cff1449c22a634d5944940282b37637e13420254f145636d55c05afa55</t>
        </is>
      </c>
    </row>
    <row r="2737">
      <c r="A2737" t="inlineStr">
        <is>
          <t>附表10</t>
        </is>
      </c>
      <c r="B2737" t="inlineStr">
        <is>
          <t>O35</t>
        </is>
      </c>
      <c r="C2737" t="inlineStr">
        <is>
          <t>'=J35-K35</t>
        </is>
      </c>
      <c r="D2737" t="inlineStr">
        <is>
          <t>b6fc41e191eea383f28308ef91f5424bf0cc3661c4510befb1e6c4b8390f1e4f</t>
        </is>
      </c>
    </row>
    <row r="2738">
      <c r="A2738" t="inlineStr">
        <is>
          <t>附表10</t>
        </is>
      </c>
      <c r="B2738" t="inlineStr">
        <is>
          <t>J36</t>
        </is>
      </c>
      <c r="C2738" t="inlineStr">
        <is>
          <t>'=SUM(D36,E36,F36)</t>
        </is>
      </c>
      <c r="D2738" t="inlineStr">
        <is>
          <t>f92791e796b411746996ca369b7a020fdadba26e7769558241e4acc8ebed7dd6</t>
        </is>
      </c>
    </row>
    <row r="2739">
      <c r="A2739" t="inlineStr">
        <is>
          <t>附表10</t>
        </is>
      </c>
      <c r="B2739" t="inlineStr">
        <is>
          <t>K36</t>
        </is>
      </c>
      <c r="C2739" t="inlineStr">
        <is>
          <t>'=SUM(C36,G36,H36,I36,M36,N36)</t>
        </is>
      </c>
      <c r="D2739" t="inlineStr">
        <is>
          <t>db26e859571704ddc15a930e4487ebe679098d8e946afc0b55e069202be39e3c</t>
        </is>
      </c>
    </row>
    <row r="2740">
      <c r="A2740" t="inlineStr">
        <is>
          <t>附表10</t>
        </is>
      </c>
      <c r="B2740" t="inlineStr">
        <is>
          <t>M36</t>
        </is>
      </c>
      <c r="C2740" t="inlineStr">
        <is>
          <t>'='附表8'!E39</t>
        </is>
      </c>
      <c r="D2740" t="inlineStr">
        <is>
          <t>9f4f5a8c66fb8c2e41d087dd64b7fa2ef1c4b35871e43c988b733bbd27e483be</t>
        </is>
      </c>
    </row>
    <row r="2741">
      <c r="A2741" t="inlineStr">
        <is>
          <t>附表10</t>
        </is>
      </c>
      <c r="B2741" t="inlineStr">
        <is>
          <t>N36</t>
        </is>
      </c>
      <c r="C2741" t="inlineStr">
        <is>
          <t>'='附表8'!F39</t>
        </is>
      </c>
      <c r="D2741" t="inlineStr">
        <is>
          <t>034803d68fb11339db7f64aa1df89cd4bfa13909ea9b5d63a74fa1f56cba31a5</t>
        </is>
      </c>
    </row>
    <row r="2742">
      <c r="A2742" t="inlineStr">
        <is>
          <t>附表10</t>
        </is>
      </c>
      <c r="B2742" t="inlineStr">
        <is>
          <t>O36</t>
        </is>
      </c>
      <c r="C2742" t="inlineStr">
        <is>
          <t>'=J36-K36</t>
        </is>
      </c>
      <c r="D2742" t="inlineStr">
        <is>
          <t>c75c3149d663e52b8925bdbc061fd1d8ce2a62b3a0434a3b410136385e855de7</t>
        </is>
      </c>
    </row>
    <row r="2743">
      <c r="A2743" t="inlineStr">
        <is>
          <t>附表10</t>
        </is>
      </c>
      <c r="B2743" t="inlineStr">
        <is>
          <t>J37</t>
        </is>
      </c>
      <c r="C2743" t="inlineStr">
        <is>
          <t>'=SUM(D37,E37,F37)</t>
        </is>
      </c>
      <c r="D2743" t="inlineStr">
        <is>
          <t>bed43cf0da0058d96eb8d7304ab4b57a4cb92446545d1097a75f7bcd69bb3a78</t>
        </is>
      </c>
    </row>
    <row r="2744">
      <c r="A2744" t="inlineStr">
        <is>
          <t>附表10</t>
        </is>
      </c>
      <c r="B2744" t="inlineStr">
        <is>
          <t>K37</t>
        </is>
      </c>
      <c r="C2744" t="inlineStr">
        <is>
          <t>'=SUM(C37,G37,H37,I37,M37,N37)</t>
        </is>
      </c>
      <c r="D2744" t="inlineStr">
        <is>
          <t>8cb75c8b91e76b9cee4ea9f910133bc70dfa291c5302fd46e3bfb41a0ff3f95e</t>
        </is>
      </c>
    </row>
    <row r="2745">
      <c r="A2745" t="inlineStr">
        <is>
          <t>附表10</t>
        </is>
      </c>
      <c r="B2745" t="inlineStr">
        <is>
          <t>M37</t>
        </is>
      </c>
      <c r="C2745" t="inlineStr">
        <is>
          <t>'='附表8'!E40</t>
        </is>
      </c>
      <c r="D2745" t="inlineStr">
        <is>
          <t>36d25929004c75a244a02c05d499545971ed2575e0508bc0e3dabc9a56109497</t>
        </is>
      </c>
    </row>
    <row r="2746">
      <c r="A2746" t="inlineStr">
        <is>
          <t>附表10</t>
        </is>
      </c>
      <c r="B2746" t="inlineStr">
        <is>
          <t>N37</t>
        </is>
      </c>
      <c r="C2746" t="inlineStr">
        <is>
          <t>'='附表8'!F40</t>
        </is>
      </c>
      <c r="D2746" t="inlineStr">
        <is>
          <t>8b4bfd5b4c0a6d36db2ac1856d54448605a99ba334e5381cb5dc3dcbcc89664d</t>
        </is>
      </c>
    </row>
    <row r="2747">
      <c r="A2747" t="inlineStr">
        <is>
          <t>附表10</t>
        </is>
      </c>
      <c r="B2747" t="inlineStr">
        <is>
          <t>O37</t>
        </is>
      </c>
      <c r="C2747" t="inlineStr">
        <is>
          <t>'=J37-K37</t>
        </is>
      </c>
      <c r="D2747" t="inlineStr">
        <is>
          <t>a135cade63f0ef972ff3ba3973f1ba219d2fb0231275a032f8a552b87fe84827</t>
        </is>
      </c>
    </row>
    <row r="2748">
      <c r="A2748" t="inlineStr">
        <is>
          <t>附表10</t>
        </is>
      </c>
      <c r="B2748" t="inlineStr">
        <is>
          <t>J38</t>
        </is>
      </c>
      <c r="C2748" t="inlineStr">
        <is>
          <t>'=SUM(D38,E38,F38)</t>
        </is>
      </c>
      <c r="D2748" t="inlineStr">
        <is>
          <t>22fed3ab289f5fdfd70b25d7291dd1efa9ccf9458e6942a6dbb8cb2949d2ed3d</t>
        </is>
      </c>
    </row>
    <row r="2749">
      <c r="A2749" t="inlineStr">
        <is>
          <t>附表10</t>
        </is>
      </c>
      <c r="B2749" t="inlineStr">
        <is>
          <t>K38</t>
        </is>
      </c>
      <c r="C2749" t="inlineStr">
        <is>
          <t>'=SUM(C38,G38,H38,I38,M38,N38)</t>
        </is>
      </c>
      <c r="D2749" t="inlineStr">
        <is>
          <t>3c2af4af6fc08ab851a2e5ecdb22c9bcc6db196b75fc1b2bf901e169ff6b486c</t>
        </is>
      </c>
    </row>
    <row r="2750">
      <c r="A2750" t="inlineStr">
        <is>
          <t>附表10</t>
        </is>
      </c>
      <c r="B2750" t="inlineStr">
        <is>
          <t>M38</t>
        </is>
      </c>
      <c r="C2750" t="inlineStr">
        <is>
          <t>'='附表8'!E41</t>
        </is>
      </c>
      <c r="D2750" t="inlineStr">
        <is>
          <t>2dd91d2322bae336218ef6e701eb90d12d258ba2c3368ca54840d616c88b7d4e</t>
        </is>
      </c>
    </row>
    <row r="2751">
      <c r="A2751" t="inlineStr">
        <is>
          <t>附表10</t>
        </is>
      </c>
      <c r="B2751" t="inlineStr">
        <is>
          <t>N38</t>
        </is>
      </c>
      <c r="C2751" t="inlineStr">
        <is>
          <t>'='附表8'!F41</t>
        </is>
      </c>
      <c r="D2751" t="inlineStr">
        <is>
          <t>b7f62e70229fc6e60c6f12bb65af6760e93b4c88fd795d0486ea6dae1ead47dd</t>
        </is>
      </c>
    </row>
    <row r="2752">
      <c r="A2752" t="inlineStr">
        <is>
          <t>附表10</t>
        </is>
      </c>
      <c r="B2752" t="inlineStr">
        <is>
          <t>O38</t>
        </is>
      </c>
      <c r="C2752" t="inlineStr">
        <is>
          <t>'=J38-K38</t>
        </is>
      </c>
      <c r="D2752" t="inlineStr">
        <is>
          <t>72febf290d72cb8460bcba2779b1a1e51f5fe833d3fd9c912a71091c2d672fcb</t>
        </is>
      </c>
    </row>
    <row r="2753">
      <c r="A2753" t="inlineStr">
        <is>
          <t>附表10</t>
        </is>
      </c>
      <c r="B2753" t="inlineStr">
        <is>
          <t>J39</t>
        </is>
      </c>
      <c r="C2753" t="inlineStr">
        <is>
          <t>'=SUM(D39,E39,F39)</t>
        </is>
      </c>
      <c r="D2753" t="inlineStr">
        <is>
          <t>21e1a692f2db3f05f3ce84fb961faa4a72a3476228d9e370f6f0747b181a168d</t>
        </is>
      </c>
    </row>
    <row r="2754">
      <c r="A2754" t="inlineStr">
        <is>
          <t>附表10</t>
        </is>
      </c>
      <c r="B2754" t="inlineStr">
        <is>
          <t>K39</t>
        </is>
      </c>
      <c r="C2754" t="inlineStr">
        <is>
          <t>'=SUM(C39,G39,H39,I39,M39,N39)</t>
        </is>
      </c>
      <c r="D2754" t="inlineStr">
        <is>
          <t>08a3874d1f375ab3121256841cf0b29efb35a3fc7dede68137cae363048af643</t>
        </is>
      </c>
    </row>
    <row r="2755">
      <c r="A2755" t="inlineStr">
        <is>
          <t>附表10</t>
        </is>
      </c>
      <c r="B2755" t="inlineStr">
        <is>
          <t>M39</t>
        </is>
      </c>
      <c r="C2755" t="inlineStr">
        <is>
          <t>'='附表8'!E42</t>
        </is>
      </c>
      <c r="D2755" t="inlineStr">
        <is>
          <t>f3a8f7c60df4ad8bd0eee5e4a49f76bec83afaa6c2c919ac1621f6025baa950c</t>
        </is>
      </c>
    </row>
    <row r="2756">
      <c r="A2756" t="inlineStr">
        <is>
          <t>附表10</t>
        </is>
      </c>
      <c r="B2756" t="inlineStr">
        <is>
          <t>N39</t>
        </is>
      </c>
      <c r="C2756" t="inlineStr">
        <is>
          <t>'='附表8'!F42</t>
        </is>
      </c>
      <c r="D2756" t="inlineStr">
        <is>
          <t>e6480783258176c4a260e69e7a29f3e07891b0ec46ed48f854ea880ca72a3f56</t>
        </is>
      </c>
    </row>
    <row r="2757">
      <c r="A2757" t="inlineStr">
        <is>
          <t>附表10</t>
        </is>
      </c>
      <c r="B2757" t="inlineStr">
        <is>
          <t>O39</t>
        </is>
      </c>
      <c r="C2757" t="inlineStr">
        <is>
          <t>'=J39-K39</t>
        </is>
      </c>
      <c r="D2757" t="inlineStr">
        <is>
          <t>c187bd91fd1bffe216fc671ed64a91ca8bd6140db7a180c7feadd3f3ebf6783b</t>
        </is>
      </c>
    </row>
    <row r="2758">
      <c r="A2758" t="inlineStr">
        <is>
          <t>附表10</t>
        </is>
      </c>
      <c r="B2758" t="inlineStr">
        <is>
          <t>J40</t>
        </is>
      </c>
      <c r="C2758" t="inlineStr">
        <is>
          <t>'=SUM(D40,E40,F40)</t>
        </is>
      </c>
      <c r="D2758" t="inlineStr">
        <is>
          <t>d06cfe7366ba5b0bec4399dbddf57a146d3d74e66a448029abfb0c5973c300f2</t>
        </is>
      </c>
    </row>
    <row r="2759">
      <c r="A2759" t="inlineStr">
        <is>
          <t>附表10</t>
        </is>
      </c>
      <c r="B2759" t="inlineStr">
        <is>
          <t>K40</t>
        </is>
      </c>
      <c r="C2759" t="inlineStr">
        <is>
          <t>'=SUM(C40,G40,H40,I40,M40,N40)</t>
        </is>
      </c>
      <c r="D2759" t="inlineStr">
        <is>
          <t>0ed750eabd1fe79710932bfdfe8d72773299d909f36731374fc8ac233a95ed56</t>
        </is>
      </c>
    </row>
    <row r="2760">
      <c r="A2760" t="inlineStr">
        <is>
          <t>附表10</t>
        </is>
      </c>
      <c r="B2760" t="inlineStr">
        <is>
          <t>M40</t>
        </is>
      </c>
      <c r="C2760" t="inlineStr">
        <is>
          <t>'='附表8'!E43</t>
        </is>
      </c>
      <c r="D2760" t="inlineStr">
        <is>
          <t>66ba3adf53c42c0cb7b7ad1d413cd46751ac0373f7a83b99755e1053ca52a869</t>
        </is>
      </c>
    </row>
    <row r="2761">
      <c r="A2761" t="inlineStr">
        <is>
          <t>附表10</t>
        </is>
      </c>
      <c r="B2761" t="inlineStr">
        <is>
          <t>N40</t>
        </is>
      </c>
      <c r="C2761" t="inlineStr">
        <is>
          <t>'='附表8'!F43</t>
        </is>
      </c>
      <c r="D2761" t="inlineStr">
        <is>
          <t>60fce3be614da92edac17e035580fb4a0d16e8ebacceed15d0482669be911def</t>
        </is>
      </c>
    </row>
    <row r="2762">
      <c r="A2762" t="inlineStr">
        <is>
          <t>附表10</t>
        </is>
      </c>
      <c r="B2762" t="inlineStr">
        <is>
          <t>O40</t>
        </is>
      </c>
      <c r="C2762" t="inlineStr">
        <is>
          <t>'=J40-K40</t>
        </is>
      </c>
      <c r="D2762" t="inlineStr">
        <is>
          <t>76c91adea64e76ddb50bb0332d8d41cabbb34e860b8b0895cb778173c19fdfe2</t>
        </is>
      </c>
    </row>
    <row r="2763">
      <c r="A2763" t="inlineStr">
        <is>
          <t>附表10</t>
        </is>
      </c>
      <c r="B2763" t="inlineStr">
        <is>
          <t>J41</t>
        </is>
      </c>
      <c r="C2763" t="inlineStr">
        <is>
          <t>'=SUM(D41,E41,F41)</t>
        </is>
      </c>
      <c r="D2763" t="inlineStr">
        <is>
          <t>28f4b90d23c6481e404f3ac7410898df89bd4c351b70769db1cc009b6f529ac6</t>
        </is>
      </c>
    </row>
    <row r="2764">
      <c r="A2764" t="inlineStr">
        <is>
          <t>附表10</t>
        </is>
      </c>
      <c r="B2764" t="inlineStr">
        <is>
          <t>K41</t>
        </is>
      </c>
      <c r="C2764" t="inlineStr">
        <is>
          <t>'=SUM(C41,G41,H41,I41,M41,N41)</t>
        </is>
      </c>
      <c r="D2764" t="inlineStr">
        <is>
          <t>9480daacb5904f5f2e1ae9007904ebc4ba3dce6d768422d75a32171f2d66c61c</t>
        </is>
      </c>
    </row>
    <row r="2765">
      <c r="A2765" t="inlineStr">
        <is>
          <t>附表10</t>
        </is>
      </c>
      <c r="B2765" t="inlineStr">
        <is>
          <t>M41</t>
        </is>
      </c>
      <c r="C2765" t="inlineStr">
        <is>
          <t>'='附表8'!E44</t>
        </is>
      </c>
      <c r="D2765" t="inlineStr">
        <is>
          <t>c315a65c1a0b91814d0b2855addde371d589b6276404d18fb79d71d33751196d</t>
        </is>
      </c>
    </row>
    <row r="2766">
      <c r="A2766" t="inlineStr">
        <is>
          <t>附表10</t>
        </is>
      </c>
      <c r="B2766" t="inlineStr">
        <is>
          <t>N41</t>
        </is>
      </c>
      <c r="C2766" t="inlineStr">
        <is>
          <t>'='附表8'!F44</t>
        </is>
      </c>
      <c r="D2766" t="inlineStr">
        <is>
          <t>7390a53480e35e929a5778c4e4c89bd5918a77d1274ab9d7e223dbfa08333f12</t>
        </is>
      </c>
    </row>
    <row r="2767">
      <c r="A2767" t="inlineStr">
        <is>
          <t>附表10</t>
        </is>
      </c>
      <c r="B2767" t="inlineStr">
        <is>
          <t>O41</t>
        </is>
      </c>
      <c r="C2767" t="inlineStr">
        <is>
          <t>'=J41-K41</t>
        </is>
      </c>
      <c r="D2767" t="inlineStr">
        <is>
          <t>9fdeda6cf736841a5a8690d1caed7a9312d8f582a156cb9b2ebfa07eb6903776</t>
        </is>
      </c>
    </row>
    <row r="2768">
      <c r="A2768" t="inlineStr">
        <is>
          <t>附表10</t>
        </is>
      </c>
      <c r="B2768" t="inlineStr">
        <is>
          <t>J42</t>
        </is>
      </c>
      <c r="C2768" t="inlineStr">
        <is>
          <t>'=SUM(D42,E42,F42)</t>
        </is>
      </c>
      <c r="D2768" t="inlineStr">
        <is>
          <t>d2417f58dfef823fab6a6f282fcda6e116eaf9bce61bebb94523157584c379b6</t>
        </is>
      </c>
    </row>
    <row r="2769">
      <c r="A2769" t="inlineStr">
        <is>
          <t>附表10</t>
        </is>
      </c>
      <c r="B2769" t="inlineStr">
        <is>
          <t>K42</t>
        </is>
      </c>
      <c r="C2769" t="inlineStr">
        <is>
          <t>'=SUM(C42,G42,H42,I42,M42,N42)</t>
        </is>
      </c>
      <c r="D2769" t="inlineStr">
        <is>
          <t>b34fce195a9d5b47d985b2af07dac9bba1d32129c3b3cd4959cf883a87353555</t>
        </is>
      </c>
    </row>
    <row r="2770">
      <c r="A2770" t="inlineStr">
        <is>
          <t>附表10</t>
        </is>
      </c>
      <c r="B2770" t="inlineStr">
        <is>
          <t>M42</t>
        </is>
      </c>
      <c r="C2770" t="inlineStr">
        <is>
          <t>'='附表8'!E45</t>
        </is>
      </c>
      <c r="D2770" t="inlineStr">
        <is>
          <t>beef90e52b8683fce097ed696646ef0be1511de87f5c22004d44b627f109e923</t>
        </is>
      </c>
    </row>
    <row r="2771">
      <c r="A2771" t="inlineStr">
        <is>
          <t>附表10</t>
        </is>
      </c>
      <c r="B2771" t="inlineStr">
        <is>
          <t>N42</t>
        </is>
      </c>
      <c r="C2771" t="inlineStr">
        <is>
          <t>'='附表8'!F45</t>
        </is>
      </c>
      <c r="D2771" t="inlineStr">
        <is>
          <t>ba567f8ac778e8e3d088451277392f44dc258c2c39bbc9946e3335dea28b8408</t>
        </is>
      </c>
    </row>
    <row r="2772">
      <c r="A2772" t="inlineStr">
        <is>
          <t>附表10</t>
        </is>
      </c>
      <c r="B2772" t="inlineStr">
        <is>
          <t>O42</t>
        </is>
      </c>
      <c r="C2772" t="inlineStr">
        <is>
          <t>'=J42-K42</t>
        </is>
      </c>
      <c r="D2772" t="inlineStr">
        <is>
          <t>6a079ff9efb656708a62ce8c3ef6ce6c5329069d103058320c7c19262757d214</t>
        </is>
      </c>
    </row>
    <row r="2773">
      <c r="A2773" t="inlineStr">
        <is>
          <t>附表10</t>
        </is>
      </c>
      <c r="B2773" t="inlineStr">
        <is>
          <t>J43</t>
        </is>
      </c>
      <c r="C2773" t="inlineStr">
        <is>
          <t>'=SUM(D43,E43,F43)</t>
        </is>
      </c>
      <c r="D2773" t="inlineStr">
        <is>
          <t>2fc607283cdf2f295bea4cdb9f755a5a612912ec7b3dc16449b37cebc3893d59</t>
        </is>
      </c>
    </row>
    <row r="2774">
      <c r="A2774" t="inlineStr">
        <is>
          <t>附表10</t>
        </is>
      </c>
      <c r="B2774" t="inlineStr">
        <is>
          <t>K43</t>
        </is>
      </c>
      <c r="C2774" t="inlineStr">
        <is>
          <t>'=SUM(C43,G43,H43,I43,M43,N43)</t>
        </is>
      </c>
      <c r="D2774" t="inlineStr">
        <is>
          <t>e37c2b1cac163498091544532eba1d62ed6a1bbf4ff931923427929fa848655c</t>
        </is>
      </c>
    </row>
    <row r="2775">
      <c r="A2775" t="inlineStr">
        <is>
          <t>附表10</t>
        </is>
      </c>
      <c r="B2775" t="inlineStr">
        <is>
          <t>M43</t>
        </is>
      </c>
      <c r="C2775" t="inlineStr">
        <is>
          <t>'='附表8'!E46</t>
        </is>
      </c>
      <c r="D2775" t="inlineStr">
        <is>
          <t>0b5a052c2e9130785a859c24eac92c67fd6c8a86bf6ccc555bf860ecf1bd7cbd</t>
        </is>
      </c>
    </row>
    <row r="2776">
      <c r="A2776" t="inlineStr">
        <is>
          <t>附表10</t>
        </is>
      </c>
      <c r="B2776" t="inlineStr">
        <is>
          <t>N43</t>
        </is>
      </c>
      <c r="C2776" t="inlineStr">
        <is>
          <t>'='附表8'!F46</t>
        </is>
      </c>
      <c r="D2776" t="inlineStr">
        <is>
          <t>85f93e3de9188c0806895e4964d3654e287f64a800b28f74483e6a1d231a21f8</t>
        </is>
      </c>
    </row>
    <row r="2777">
      <c r="A2777" t="inlineStr">
        <is>
          <t>附表10</t>
        </is>
      </c>
      <c r="B2777" t="inlineStr">
        <is>
          <t>O43</t>
        </is>
      </c>
      <c r="C2777" t="inlineStr">
        <is>
          <t>'=J43-K43</t>
        </is>
      </c>
      <c r="D2777" t="inlineStr">
        <is>
          <t>709f14241f83895bce906753a3d6d38cc92d9dcc397302274b229a67abab6929</t>
        </is>
      </c>
    </row>
    <row r="2778">
      <c r="A2778" t="inlineStr">
        <is>
          <t>附表10</t>
        </is>
      </c>
      <c r="B2778" t="inlineStr">
        <is>
          <t>J44</t>
        </is>
      </c>
      <c r="C2778" t="inlineStr">
        <is>
          <t>'=SUM(D44,E44,F44)</t>
        </is>
      </c>
      <c r="D2778" t="inlineStr">
        <is>
          <t>b73db4f65be9c73d5507fcc21caf608cabac6354bb95e34cf2df8110d60defc5</t>
        </is>
      </c>
    </row>
    <row r="2779">
      <c r="A2779" t="inlineStr">
        <is>
          <t>附表10</t>
        </is>
      </c>
      <c r="B2779" t="inlineStr">
        <is>
          <t>K44</t>
        </is>
      </c>
      <c r="C2779" t="inlineStr">
        <is>
          <t>'=SUM(C44,G44,H44,I44,M44,N44)</t>
        </is>
      </c>
      <c r="D2779" t="inlineStr">
        <is>
          <t>c21014ae092699e499b89ca41cab647cc7d16cd42d96c1018584728c6d5db3e7</t>
        </is>
      </c>
    </row>
    <row r="2780">
      <c r="A2780" t="inlineStr">
        <is>
          <t>附表10</t>
        </is>
      </c>
      <c r="B2780" t="inlineStr">
        <is>
          <t>M44</t>
        </is>
      </c>
      <c r="C2780" t="inlineStr">
        <is>
          <t>'='附表8'!E47</t>
        </is>
      </c>
      <c r="D2780" t="inlineStr">
        <is>
          <t>180c4c8afcd8edaa4253b50c31ef97af07fecfc0a015686c293255d33a6c8159</t>
        </is>
      </c>
    </row>
    <row r="2781">
      <c r="A2781" t="inlineStr">
        <is>
          <t>附表10</t>
        </is>
      </c>
      <c r="B2781" t="inlineStr">
        <is>
          <t>N44</t>
        </is>
      </c>
      <c r="C2781" t="inlineStr">
        <is>
          <t>'='附表8'!F47</t>
        </is>
      </c>
      <c r="D2781" t="inlineStr">
        <is>
          <t>f297aeefcd3bbe2481c0bd1ba1fb83f356d6acd463256e05077b6a507d553c3b</t>
        </is>
      </c>
    </row>
    <row r="2782">
      <c r="A2782" t="inlineStr">
        <is>
          <t>附表10</t>
        </is>
      </c>
      <c r="B2782" t="inlineStr">
        <is>
          <t>O44</t>
        </is>
      </c>
      <c r="C2782" t="inlineStr">
        <is>
          <t>'=J44-K44</t>
        </is>
      </c>
      <c r="D2782" t="inlineStr">
        <is>
          <t>d89aea329ca8e0fd7d2640e6835d33f82ea2155ef85b9031ed851135abc764e2</t>
        </is>
      </c>
    </row>
    <row r="2783">
      <c r="A2783" t="inlineStr">
        <is>
          <t>附表10</t>
        </is>
      </c>
      <c r="B2783" t="inlineStr">
        <is>
          <t>B52</t>
        </is>
      </c>
      <c r="C2783" t="inlineStr">
        <is>
          <t>'='附表10'!D20</t>
        </is>
      </c>
      <c r="D2783" t="inlineStr">
        <is>
          <t>1ff2f3b53e3cb1ffce824d976be3b24b3ca5c6e69bf34ee64ebceab1057cd8e7</t>
        </is>
      </c>
    </row>
    <row r="2784">
      <c r="A2784" t="inlineStr">
        <is>
          <t>附表10</t>
        </is>
      </c>
      <c r="B2784" t="inlineStr">
        <is>
          <t>C52</t>
        </is>
      </c>
      <c r="C2784" t="inlineStr">
        <is>
          <t>'='附表10'!D21</t>
        </is>
      </c>
      <c r="D2784" t="inlineStr">
        <is>
          <t>bdb00574ac7a1522615dd99ebf626c2e9091814e27db376de0756c7ea8ce1e14</t>
        </is>
      </c>
    </row>
    <row r="2785">
      <c r="A2785" t="inlineStr">
        <is>
          <t>附表10</t>
        </is>
      </c>
      <c r="B2785" t="inlineStr">
        <is>
          <t>D52</t>
        </is>
      </c>
      <c r="C2785" t="inlineStr">
        <is>
          <t>'='附表10'!D22</t>
        </is>
      </c>
      <c r="D2785" t="inlineStr">
        <is>
          <t>23e6672cceb0a86ce35026bf2ca78b90b77482a718e170661469e9eb1586852a</t>
        </is>
      </c>
    </row>
    <row r="2786">
      <c r="A2786" t="inlineStr">
        <is>
          <t>附表10</t>
        </is>
      </c>
      <c r="B2786" t="inlineStr">
        <is>
          <t>E52</t>
        </is>
      </c>
      <c r="C2786" t="inlineStr">
        <is>
          <t>'='附表10'!D23</t>
        </is>
      </c>
      <c r="D2786" t="inlineStr">
        <is>
          <t>1d52b238a3ec47406a955f99f5c51634f97f43ed0557c3e116b6b16fc9d02615</t>
        </is>
      </c>
    </row>
    <row r="2787">
      <c r="A2787" t="inlineStr">
        <is>
          <t>附表10</t>
        </is>
      </c>
      <c r="B2787" t="inlineStr">
        <is>
          <t>F52</t>
        </is>
      </c>
      <c r="C2787" t="inlineStr">
        <is>
          <t>'='附表10'!D24</t>
        </is>
      </c>
      <c r="D2787" t="inlineStr">
        <is>
          <t>f3291f5eab260c7f9b4d4f75b4db061ccc88aceed5dbba0b7630801c34a14823</t>
        </is>
      </c>
    </row>
    <row r="2788">
      <c r="A2788" t="inlineStr">
        <is>
          <t>附表10</t>
        </is>
      </c>
      <c r="B2788" t="inlineStr">
        <is>
          <t>G52</t>
        </is>
      </c>
      <c r="C2788" t="inlineStr">
        <is>
          <t>'='附表10'!D25</t>
        </is>
      </c>
      <c r="D2788" t="inlineStr">
        <is>
          <t>0d5fb8b20fb7842ef1308982ec3f273c9ab8187187f1e8a3eb1dd819039e833e</t>
        </is>
      </c>
    </row>
    <row r="2789">
      <c r="A2789" t="inlineStr">
        <is>
          <t>附表10</t>
        </is>
      </c>
      <c r="B2789" t="inlineStr">
        <is>
          <t>H52</t>
        </is>
      </c>
      <c r="C2789" t="inlineStr">
        <is>
          <t>'='附表10'!D26</t>
        </is>
      </c>
      <c r="D2789" t="inlineStr">
        <is>
          <t>82a3f06b801a69f22a3cd211d44ef2c4447545b540e3718e7a29eea9eab2089d</t>
        </is>
      </c>
    </row>
    <row r="2790">
      <c r="A2790" t="inlineStr">
        <is>
          <t>附表10</t>
        </is>
      </c>
      <c r="B2790" t="inlineStr">
        <is>
          <t>I52</t>
        </is>
      </c>
      <c r="C2790" t="inlineStr">
        <is>
          <t>'='附表10'!D27</t>
        </is>
      </c>
      <c r="D2790" t="inlineStr">
        <is>
          <t>e42a1c43982911f053b47ac3d7b288efb09bb4455f7dba5951e2f732f5da488f</t>
        </is>
      </c>
    </row>
    <row r="2791">
      <c r="A2791" t="inlineStr">
        <is>
          <t>附表10</t>
        </is>
      </c>
      <c r="B2791" t="inlineStr">
        <is>
          <t>J52</t>
        </is>
      </c>
      <c r="C2791" t="inlineStr">
        <is>
          <t>'='附表10'!D28</t>
        </is>
      </c>
      <c r="D2791" t="inlineStr">
        <is>
          <t>18eaf2e2b5bb3fc64078700234de5ee9af6afc67b2b7f83abfad34d7bed90e3b</t>
        </is>
      </c>
    </row>
    <row r="2792">
      <c r="A2792" t="inlineStr">
        <is>
          <t>附表10</t>
        </is>
      </c>
      <c r="B2792" t="inlineStr">
        <is>
          <t>K52</t>
        </is>
      </c>
      <c r="C2792" t="inlineStr">
        <is>
          <t>'='附表10'!D29</t>
        </is>
      </c>
      <c r="D2792" t="inlineStr">
        <is>
          <t>533af3fae6979c2d6539d2e93eabf0293d51a28409a24a87ba68643241963872</t>
        </is>
      </c>
    </row>
    <row r="2793">
      <c r="A2793" t="inlineStr">
        <is>
          <t>附表10</t>
        </is>
      </c>
      <c r="B2793" t="inlineStr">
        <is>
          <t>L52</t>
        </is>
      </c>
      <c r="C2793" t="inlineStr">
        <is>
          <t>'='附表10'!D30</t>
        </is>
      </c>
      <c r="D2793" t="inlineStr">
        <is>
          <t>a24dac1a7414f7a45567dc14e327f613dc661a0d7f2d3dcc41b0aa031d0c340b</t>
        </is>
      </c>
    </row>
    <row r="2794">
      <c r="A2794" t="inlineStr">
        <is>
          <t>附表10</t>
        </is>
      </c>
      <c r="B2794" t="inlineStr">
        <is>
          <t>M52</t>
        </is>
      </c>
      <c r="C2794" t="inlineStr">
        <is>
          <t>'='附表10'!D31</t>
        </is>
      </c>
      <c r="D2794" t="inlineStr">
        <is>
          <t>9f84d58e932d5b491d0e6d7c7f5b5b2478f60b4aaddf9afb94dd1f072f0426e6</t>
        </is>
      </c>
    </row>
    <row r="2795">
      <c r="A2795" t="inlineStr">
        <is>
          <t>附表10</t>
        </is>
      </c>
      <c r="B2795" t="inlineStr">
        <is>
          <t>N52</t>
        </is>
      </c>
      <c r="C2795" t="inlineStr">
        <is>
          <t>'='附表10'!D32</t>
        </is>
      </c>
      <c r="D2795" t="inlineStr">
        <is>
          <t>8bb7eb672ba471f7d271276774993c47803fd603e9260b8a87c0cd69ae93d73b</t>
        </is>
      </c>
    </row>
    <row r="2796">
      <c r="A2796" t="inlineStr">
        <is>
          <t>附表10</t>
        </is>
      </c>
      <c r="B2796" t="inlineStr">
        <is>
          <t>O52</t>
        </is>
      </c>
      <c r="C2796" t="inlineStr">
        <is>
          <t>'='附表10'!D33</t>
        </is>
      </c>
      <c r="D2796" t="inlineStr">
        <is>
          <t>c4cf858ea16962c1857a7384e6a0bd044b1337c723c0500cedc196fd012ebf03</t>
        </is>
      </c>
    </row>
    <row r="2797">
      <c r="A2797" t="inlineStr">
        <is>
          <t>附表10</t>
        </is>
      </c>
      <c r="B2797" t="inlineStr">
        <is>
          <t>P52</t>
        </is>
      </c>
      <c r="C2797" t="inlineStr">
        <is>
          <t>'='附表10'!D34</t>
        </is>
      </c>
      <c r="D2797" t="inlineStr">
        <is>
          <t>c97e8f639c34c5085781c4ded6b81b495830d11e59507b5253f91049ebee8e92</t>
        </is>
      </c>
    </row>
    <row r="2798">
      <c r="A2798" t="inlineStr">
        <is>
          <t>附表10</t>
        </is>
      </c>
      <c r="B2798" t="inlineStr">
        <is>
          <t>Q52</t>
        </is>
      </c>
      <c r="C2798" t="inlineStr">
        <is>
          <t>'='附表10'!D35</t>
        </is>
      </c>
      <c r="D2798" t="inlineStr">
        <is>
          <t>a5d64787f9f81c1e1b4dc970f50923cda6f6fc925864e8fbe10d647c1cac76a3</t>
        </is>
      </c>
    </row>
    <row r="2799">
      <c r="A2799" t="inlineStr">
        <is>
          <t>附表10</t>
        </is>
      </c>
      <c r="B2799" t="inlineStr">
        <is>
          <t>R52</t>
        </is>
      </c>
      <c r="C2799" t="inlineStr">
        <is>
          <t>'='附表10'!D36</t>
        </is>
      </c>
      <c r="D2799" t="inlineStr">
        <is>
          <t>1362b0c5501515d5fcdbb9fc0248d4195dff29a01c472e2a221ed60569cf9219</t>
        </is>
      </c>
    </row>
    <row r="2800">
      <c r="A2800" t="inlineStr">
        <is>
          <t>附表10</t>
        </is>
      </c>
      <c r="B2800" t="inlineStr">
        <is>
          <t>S52</t>
        </is>
      </c>
      <c r="C2800" t="inlineStr">
        <is>
          <t>'='附表10'!D37</t>
        </is>
      </c>
      <c r="D2800" t="inlineStr">
        <is>
          <t>ebad7efcd0ca6815a6910b4f214757cd51b83571edefd3b46ac63b6b1382d4e7</t>
        </is>
      </c>
    </row>
    <row r="2801">
      <c r="A2801" t="inlineStr">
        <is>
          <t>附表10</t>
        </is>
      </c>
      <c r="B2801" t="inlineStr">
        <is>
          <t>T52</t>
        </is>
      </c>
      <c r="C2801" t="inlineStr">
        <is>
          <t>'='附表10'!D38</t>
        </is>
      </c>
      <c r="D2801" t="inlineStr">
        <is>
          <t>a31c2a437b49a318c9a2bbe20f6c7f8c323072a325893f09da1067cc3dccf612</t>
        </is>
      </c>
    </row>
    <row r="2802">
      <c r="A2802" t="inlineStr">
        <is>
          <t>附表10</t>
        </is>
      </c>
      <c r="B2802" t="inlineStr">
        <is>
          <t>U52</t>
        </is>
      </c>
      <c r="C2802" t="inlineStr">
        <is>
          <t>'='附表10'!D39</t>
        </is>
      </c>
      <c r="D2802" t="inlineStr">
        <is>
          <t>383bd2b76010304f472dc6d58f141ad76863560967a7fe7a29e4183a103eac31</t>
        </is>
      </c>
    </row>
    <row r="2803">
      <c r="A2803" t="inlineStr">
        <is>
          <t>附表10</t>
        </is>
      </c>
      <c r="B2803" t="inlineStr">
        <is>
          <t>V52</t>
        </is>
      </c>
      <c r="C2803" t="inlineStr">
        <is>
          <t>'='附表10'!D40</t>
        </is>
      </c>
      <c r="D2803" t="inlineStr">
        <is>
          <t>1fdaf5d449f6777805ba17c80367d2f50bcc394ebb0e5a7f1df7649458f5a1ee</t>
        </is>
      </c>
    </row>
    <row r="2804">
      <c r="A2804" t="inlineStr">
        <is>
          <t>附表10</t>
        </is>
      </c>
      <c r="B2804" t="inlineStr">
        <is>
          <t>W52</t>
        </is>
      </c>
      <c r="C2804" t="inlineStr">
        <is>
          <t>'='附表10'!D41</t>
        </is>
      </c>
      <c r="D2804" t="inlineStr">
        <is>
          <t>add00d091f612fe220313dddb6646cc090a056ac246610ab2a1c77462bb013b6</t>
        </is>
      </c>
    </row>
    <row r="2805">
      <c r="A2805" t="inlineStr">
        <is>
          <t>附表10</t>
        </is>
      </c>
      <c r="B2805" t="inlineStr">
        <is>
          <t>X52</t>
        </is>
      </c>
      <c r="C2805" t="inlineStr">
        <is>
          <t>'='附表10'!D42</t>
        </is>
      </c>
      <c r="D2805" t="inlineStr">
        <is>
          <t>2649c824a3f15b9b3ff76c7c003e6679c859189915f2435185ed73c72ebe6153</t>
        </is>
      </c>
    </row>
    <row r="2806">
      <c r="A2806" t="inlineStr">
        <is>
          <t>附表10</t>
        </is>
      </c>
      <c r="B2806" t="inlineStr">
        <is>
          <t>Y52</t>
        </is>
      </c>
      <c r="C2806" t="inlineStr">
        <is>
          <t>'='附表10'!D43</t>
        </is>
      </c>
      <c r="D2806" t="inlineStr">
        <is>
          <t>4e68143926cf5b8206d133df0aac27fb5fca9516262af926f6db9161c8259cc6</t>
        </is>
      </c>
    </row>
    <row r="2807">
      <c r="A2807" t="inlineStr">
        <is>
          <t>附表10</t>
        </is>
      </c>
      <c r="B2807" t="inlineStr">
        <is>
          <t>Z52</t>
        </is>
      </c>
      <c r="C2807" t="inlineStr">
        <is>
          <t>'='附表10'!D44</t>
        </is>
      </c>
      <c r="D2807" t="inlineStr">
        <is>
          <t>8aa816e640f62b229cd73d26e383e9cb0bd7a18ba1e207d2fb4270d231d17ba4</t>
        </is>
      </c>
    </row>
    <row r="2808">
      <c r="A2808" t="inlineStr">
        <is>
          <t>附表10</t>
        </is>
      </c>
      <c r="B2808" t="inlineStr">
        <is>
          <t>B53</t>
        </is>
      </c>
      <c r="C2808" t="inlineStr">
        <is>
          <t>'='附表10'!E20</t>
        </is>
      </c>
      <c r="D2808" t="inlineStr">
        <is>
          <t>efeecc5b0ba474dd99228563fe0e5b769d1e430db29d951314075e28c5f43167</t>
        </is>
      </c>
    </row>
    <row r="2809">
      <c r="A2809" t="inlineStr">
        <is>
          <t>附表10</t>
        </is>
      </c>
      <c r="B2809" t="inlineStr">
        <is>
          <t>C53</t>
        </is>
      </c>
      <c r="C2809" t="inlineStr">
        <is>
          <t>'='附表10'!E21</t>
        </is>
      </c>
      <c r="D2809" t="inlineStr">
        <is>
          <t>3a15b19febe5001a1a77e929513671feb13177b8059765a48672a6a8ba460212</t>
        </is>
      </c>
    </row>
    <row r="2810">
      <c r="A2810" t="inlineStr">
        <is>
          <t>附表10</t>
        </is>
      </c>
      <c r="B2810" t="inlineStr">
        <is>
          <t>D53</t>
        </is>
      </c>
      <c r="C2810" t="inlineStr">
        <is>
          <t>'='附表10'!E22</t>
        </is>
      </c>
      <c r="D2810" t="inlineStr">
        <is>
          <t>b8ff5a3f6bd2aaedd512a6916722e9d77244fb1f97c873395bc07b6f9a05e191</t>
        </is>
      </c>
    </row>
    <row r="2811">
      <c r="A2811" t="inlineStr">
        <is>
          <t>附表10</t>
        </is>
      </c>
      <c r="B2811" t="inlineStr">
        <is>
          <t>E53</t>
        </is>
      </c>
      <c r="C2811" t="inlineStr">
        <is>
          <t>'='附表10'!E23</t>
        </is>
      </c>
      <c r="D2811" t="inlineStr">
        <is>
          <t>c0cf36ae4530b8777d7f452dc5de2d7cd557f210b0fd54cd2d50ebb91f4ef8b7</t>
        </is>
      </c>
    </row>
    <row r="2812">
      <c r="A2812" t="inlineStr">
        <is>
          <t>附表10</t>
        </is>
      </c>
      <c r="B2812" t="inlineStr">
        <is>
          <t>F53</t>
        </is>
      </c>
      <c r="C2812" t="inlineStr">
        <is>
          <t>'='附表10'!E24</t>
        </is>
      </c>
      <c r="D2812" t="inlineStr">
        <is>
          <t>1df1a87a7c433ee2ad4b47d54ac89ff2d9a131b7b5af6f049fb4d0d20e52abd8</t>
        </is>
      </c>
    </row>
    <row r="2813">
      <c r="A2813" t="inlineStr">
        <is>
          <t>附表10</t>
        </is>
      </c>
      <c r="B2813" t="inlineStr">
        <is>
          <t>G53</t>
        </is>
      </c>
      <c r="C2813" t="inlineStr">
        <is>
          <t>'='附表10'!E25</t>
        </is>
      </c>
      <c r="D2813" t="inlineStr">
        <is>
          <t>983e5eb9633416b3fc8a52c2619aafde9c5475c93b93c8c1f3c1856768d0e6a7</t>
        </is>
      </c>
    </row>
    <row r="2814">
      <c r="A2814" t="inlineStr">
        <is>
          <t>附表10</t>
        </is>
      </c>
      <c r="B2814" t="inlineStr">
        <is>
          <t>H53</t>
        </is>
      </c>
      <c r="C2814" t="inlineStr">
        <is>
          <t>'='附表10'!E26</t>
        </is>
      </c>
      <c r="D2814" t="inlineStr">
        <is>
          <t>02a7fcd1f7e4a87eef84de100fbcac727b43221b3c82b37417d9bc3e8b1baa32</t>
        </is>
      </c>
    </row>
    <row r="2815">
      <c r="A2815" t="inlineStr">
        <is>
          <t>附表10</t>
        </is>
      </c>
      <c r="B2815" t="inlineStr">
        <is>
          <t>I53</t>
        </is>
      </c>
      <c r="C2815" t="inlineStr">
        <is>
          <t>'='附表10'!E27</t>
        </is>
      </c>
      <c r="D2815" t="inlineStr">
        <is>
          <t>75fd67dd75cf0086036d8da0e4511eb4bb4e58c450fcda382d88f92880878954</t>
        </is>
      </c>
    </row>
    <row r="2816">
      <c r="A2816" t="inlineStr">
        <is>
          <t>附表10</t>
        </is>
      </c>
      <c r="B2816" t="inlineStr">
        <is>
          <t>J53</t>
        </is>
      </c>
      <c r="C2816" t="inlineStr">
        <is>
          <t>'='附表10'!E28</t>
        </is>
      </c>
      <c r="D2816" t="inlineStr">
        <is>
          <t>90ef9ec9fce0d81ab61fa4c240a82ca29c450d4dfa4854b05ec3951e42306dcf</t>
        </is>
      </c>
    </row>
    <row r="2817">
      <c r="A2817" t="inlineStr">
        <is>
          <t>附表10</t>
        </is>
      </c>
      <c r="B2817" t="inlineStr">
        <is>
          <t>K53</t>
        </is>
      </c>
      <c r="C2817" t="inlineStr">
        <is>
          <t>'='附表10'!E29</t>
        </is>
      </c>
      <c r="D2817" t="inlineStr">
        <is>
          <t>b1bb3e8a099d1b69e148668f7a20710527671b30822ceb02bf970fb0ec9d49c2</t>
        </is>
      </c>
    </row>
    <row r="2818">
      <c r="A2818" t="inlineStr">
        <is>
          <t>附表10</t>
        </is>
      </c>
      <c r="B2818" t="inlineStr">
        <is>
          <t>L53</t>
        </is>
      </c>
      <c r="C2818" t="inlineStr">
        <is>
          <t>'='附表10'!E30</t>
        </is>
      </c>
      <c r="D2818" t="inlineStr">
        <is>
          <t>e84be520e971e9dabfa81fd3868574d162d5504466ff573a7d09750b0f3bf2d4</t>
        </is>
      </c>
    </row>
    <row r="2819">
      <c r="A2819" t="inlineStr">
        <is>
          <t>附表10</t>
        </is>
      </c>
      <c r="B2819" t="inlineStr">
        <is>
          <t>M53</t>
        </is>
      </c>
      <c r="C2819" t="inlineStr">
        <is>
          <t>'='附表10'!E31</t>
        </is>
      </c>
      <c r="D2819" t="inlineStr">
        <is>
          <t>6594733649ad5355b76249b5b2143ac21cf595d7c9e832d9156235b7695524e6</t>
        </is>
      </c>
    </row>
    <row r="2820">
      <c r="A2820" t="inlineStr">
        <is>
          <t>附表10</t>
        </is>
      </c>
      <c r="B2820" t="inlineStr">
        <is>
          <t>N53</t>
        </is>
      </c>
      <c r="C2820" t="inlineStr">
        <is>
          <t>'='附表10'!E32</t>
        </is>
      </c>
      <c r="D2820" t="inlineStr">
        <is>
          <t>71858025d2280b3c811347d0ec3123a826883b5345ca8dd46f1bd2df1ef7ded1</t>
        </is>
      </c>
    </row>
    <row r="2821">
      <c r="A2821" t="inlineStr">
        <is>
          <t>附表10</t>
        </is>
      </c>
      <c r="B2821" t="inlineStr">
        <is>
          <t>O53</t>
        </is>
      </c>
      <c r="C2821" t="inlineStr">
        <is>
          <t>'='附表10'!E33</t>
        </is>
      </c>
      <c r="D2821" t="inlineStr">
        <is>
          <t>271426c2de94f20609f05b1b747908f5babfff63da6ac42d5b1a14979402dbbc</t>
        </is>
      </c>
    </row>
    <row r="2822">
      <c r="A2822" t="inlineStr">
        <is>
          <t>附表10</t>
        </is>
      </c>
      <c r="B2822" t="inlineStr">
        <is>
          <t>P53</t>
        </is>
      </c>
      <c r="C2822" t="inlineStr">
        <is>
          <t>'='附表10'!E34</t>
        </is>
      </c>
      <c r="D2822" t="inlineStr">
        <is>
          <t>b9dd35af9f6c6e3432905b2138bbc7b2e6ad4624d12b997a4d3952400c1c3b13</t>
        </is>
      </c>
    </row>
    <row r="2823">
      <c r="A2823" t="inlineStr">
        <is>
          <t>附表10</t>
        </is>
      </c>
      <c r="B2823" t="inlineStr">
        <is>
          <t>Q53</t>
        </is>
      </c>
      <c r="C2823" t="inlineStr">
        <is>
          <t>'='附表10'!E35</t>
        </is>
      </c>
      <c r="D2823" t="inlineStr">
        <is>
          <t>080d5c79abdd7c3025ce5e417e0bb8c4fefc4a1b6a5db6824055382b80ed4c8a</t>
        </is>
      </c>
    </row>
    <row r="2824">
      <c r="A2824" t="inlineStr">
        <is>
          <t>附表10</t>
        </is>
      </c>
      <c r="B2824" t="inlineStr">
        <is>
          <t>R53</t>
        </is>
      </c>
      <c r="C2824" t="inlineStr">
        <is>
          <t>'='附表10'!E36</t>
        </is>
      </c>
      <c r="D2824" t="inlineStr">
        <is>
          <t>9664fbf5924998dc1e2be5ffb01a6c1eaac4d321078aad04324177fe6a32fa19</t>
        </is>
      </c>
    </row>
    <row r="2825">
      <c r="A2825" t="inlineStr">
        <is>
          <t>附表10</t>
        </is>
      </c>
      <c r="B2825" t="inlineStr">
        <is>
          <t>S53</t>
        </is>
      </c>
      <c r="C2825" t="inlineStr">
        <is>
          <t>'='附表10'!E37</t>
        </is>
      </c>
      <c r="D2825" t="inlineStr">
        <is>
          <t>f48a02f9ad75a781b95b9b9ad2a26dceb934b651d1777e64816dd2389c2c42bc</t>
        </is>
      </c>
    </row>
    <row r="2826">
      <c r="A2826" t="inlineStr">
        <is>
          <t>附表10</t>
        </is>
      </c>
      <c r="B2826" t="inlineStr">
        <is>
          <t>T53</t>
        </is>
      </c>
      <c r="C2826" t="inlineStr">
        <is>
          <t>'='附表10'!E38</t>
        </is>
      </c>
      <c r="D2826" t="inlineStr">
        <is>
          <t>43651bd5af433e2b282db5984aece86b99b5560f447a534cd04602ed8db64c81</t>
        </is>
      </c>
    </row>
    <row r="2827">
      <c r="A2827" t="inlineStr">
        <is>
          <t>附表10</t>
        </is>
      </c>
      <c r="B2827" t="inlineStr">
        <is>
          <t>U53</t>
        </is>
      </c>
      <c r="C2827" t="inlineStr">
        <is>
          <t>'='附表10'!E39</t>
        </is>
      </c>
      <c r="D2827" t="inlineStr">
        <is>
          <t>940a856d7a9f66d4ee3d277a4ec5cd58acfac9225ab8e127d91b8a4f0edfa5e0</t>
        </is>
      </c>
    </row>
    <row r="2828">
      <c r="A2828" t="inlineStr">
        <is>
          <t>附表10</t>
        </is>
      </c>
      <c r="B2828" t="inlineStr">
        <is>
          <t>V53</t>
        </is>
      </c>
      <c r="C2828" t="inlineStr">
        <is>
          <t>'='附表10'!E40</t>
        </is>
      </c>
      <c r="D2828" t="inlineStr">
        <is>
          <t>87465bd23b05c7c9c8dac811580d10a946f72a531af6c1b219755a84b3fe310f</t>
        </is>
      </c>
    </row>
    <row r="2829">
      <c r="A2829" t="inlineStr">
        <is>
          <t>附表10</t>
        </is>
      </c>
      <c r="B2829" t="inlineStr">
        <is>
          <t>W53</t>
        </is>
      </c>
      <c r="C2829" t="inlineStr">
        <is>
          <t>'='附表10'!E41</t>
        </is>
      </c>
      <c r="D2829" t="inlineStr">
        <is>
          <t>357d6f74645ab787388c709dbe7d30d6e78cb5dd38e35110f7ba719bf476c302</t>
        </is>
      </c>
    </row>
    <row r="2830">
      <c r="A2830" t="inlineStr">
        <is>
          <t>附表10</t>
        </is>
      </c>
      <c r="B2830" t="inlineStr">
        <is>
          <t>X53</t>
        </is>
      </c>
      <c r="C2830" t="inlineStr">
        <is>
          <t>'='附表10'!E42</t>
        </is>
      </c>
      <c r="D2830" t="inlineStr">
        <is>
          <t>56a59f24f25d522fe15ae3531840fbd134e34790701eec343b65e87f4239bee3</t>
        </is>
      </c>
    </row>
    <row r="2831">
      <c r="A2831" t="inlineStr">
        <is>
          <t>附表10</t>
        </is>
      </c>
      <c r="B2831" t="inlineStr">
        <is>
          <t>Y53</t>
        </is>
      </c>
      <c r="C2831" t="inlineStr">
        <is>
          <t>'='附表10'!E43</t>
        </is>
      </c>
      <c r="D2831" t="inlineStr">
        <is>
          <t>fabd62868a05de1b55737555bc78426b241d02a3b6f4c03af9ba3397dc2f8ce5</t>
        </is>
      </c>
    </row>
    <row r="2832">
      <c r="A2832" t="inlineStr">
        <is>
          <t>附表10</t>
        </is>
      </c>
      <c r="B2832" t="inlineStr">
        <is>
          <t>Z53</t>
        </is>
      </c>
      <c r="C2832" t="inlineStr">
        <is>
          <t>'='附表10'!E44</t>
        </is>
      </c>
      <c r="D2832" t="inlineStr">
        <is>
          <t>627f464e2752bfaa7a6f7da7b727d7f4d944de898c9ae8bed0e92bfd716be491</t>
        </is>
      </c>
    </row>
    <row r="2833">
      <c r="A2833" t="inlineStr">
        <is>
          <t>附表10</t>
        </is>
      </c>
      <c r="B2833" t="inlineStr">
        <is>
          <t>B54</t>
        </is>
      </c>
      <c r="C2833" t="inlineStr">
        <is>
          <t>'='附表10'!F20</t>
        </is>
      </c>
      <c r="D2833" t="inlineStr">
        <is>
          <t>afc48fd2efaa655c67c70d97fce9cb1b4e2d3018af38788d7977772156798b7b</t>
        </is>
      </c>
    </row>
    <row r="2834">
      <c r="A2834" t="inlineStr">
        <is>
          <t>附表10</t>
        </is>
      </c>
      <c r="B2834" t="inlineStr">
        <is>
          <t>C54</t>
        </is>
      </c>
      <c r="C2834" t="inlineStr">
        <is>
          <t>'='附表10'!F21</t>
        </is>
      </c>
      <c r="D2834" t="inlineStr">
        <is>
          <t>4587ecbd0be3e6f91da50341172b2bacd577b4cd7b010548ca2babbde7aae501</t>
        </is>
      </c>
    </row>
    <row r="2835">
      <c r="A2835" t="inlineStr">
        <is>
          <t>附表10</t>
        </is>
      </c>
      <c r="B2835" t="inlineStr">
        <is>
          <t>D54</t>
        </is>
      </c>
      <c r="C2835" t="inlineStr">
        <is>
          <t>'='附表10'!F22</t>
        </is>
      </c>
      <c r="D2835" t="inlineStr">
        <is>
          <t>bc3bdac703cbdcd3950448f183b11451ebd04f2211a4934fec98d2ae3696ae08</t>
        </is>
      </c>
    </row>
    <row r="2836">
      <c r="A2836" t="inlineStr">
        <is>
          <t>附表10</t>
        </is>
      </c>
      <c r="B2836" t="inlineStr">
        <is>
          <t>E54</t>
        </is>
      </c>
      <c r="C2836" t="inlineStr">
        <is>
          <t>'='附表10'!F23</t>
        </is>
      </c>
      <c r="D2836" t="inlineStr">
        <is>
          <t>f1063dccc076b5c5e9aba0910e1fa5b91d40d95afd8d2c77fa14c50f9578fdff</t>
        </is>
      </c>
    </row>
    <row r="2837">
      <c r="A2837" t="inlineStr">
        <is>
          <t>附表10</t>
        </is>
      </c>
      <c r="B2837" t="inlineStr">
        <is>
          <t>F54</t>
        </is>
      </c>
      <c r="C2837" t="inlineStr">
        <is>
          <t>'='附表10'!F24</t>
        </is>
      </c>
      <c r="D2837" t="inlineStr">
        <is>
          <t>e08ddf4a1f024e7cc45e4b03386af52227782047b6c6c1f6a5a6257b64ad1dcd</t>
        </is>
      </c>
    </row>
    <row r="2838">
      <c r="A2838" t="inlineStr">
        <is>
          <t>附表10</t>
        </is>
      </c>
      <c r="B2838" t="inlineStr">
        <is>
          <t>G54</t>
        </is>
      </c>
      <c r="C2838" t="inlineStr">
        <is>
          <t>'='附表10'!F25</t>
        </is>
      </c>
      <c r="D2838" t="inlineStr">
        <is>
          <t>490e65ef6cb21e2d68d3d6b5daf7c14a9c47720d2aec8991f6545da41e29a6a1</t>
        </is>
      </c>
    </row>
    <row r="2839">
      <c r="A2839" t="inlineStr">
        <is>
          <t>附表10</t>
        </is>
      </c>
      <c r="B2839" t="inlineStr">
        <is>
          <t>H54</t>
        </is>
      </c>
      <c r="C2839" t="inlineStr">
        <is>
          <t>'='附表10'!F26</t>
        </is>
      </c>
      <c r="D2839" t="inlineStr">
        <is>
          <t>70009fbc55bab0d941735a0e8067e769ca52ecdfb134a0eb8380a686e0c041a7</t>
        </is>
      </c>
    </row>
    <row r="2840">
      <c r="A2840" t="inlineStr">
        <is>
          <t>附表10</t>
        </is>
      </c>
      <c r="B2840" t="inlineStr">
        <is>
          <t>I54</t>
        </is>
      </c>
      <c r="C2840" t="inlineStr">
        <is>
          <t>'='附表10'!F27</t>
        </is>
      </c>
      <c r="D2840" t="inlineStr">
        <is>
          <t>42f1d77a94e4f3267c789cb5c532a2b2838c07797b5b2897a7b56d2e0aab01cc</t>
        </is>
      </c>
    </row>
    <row r="2841">
      <c r="A2841" t="inlineStr">
        <is>
          <t>附表10</t>
        </is>
      </c>
      <c r="B2841" t="inlineStr">
        <is>
          <t>J54</t>
        </is>
      </c>
      <c r="C2841" t="inlineStr">
        <is>
          <t>'='附表10'!F28</t>
        </is>
      </c>
      <c r="D2841" t="inlineStr">
        <is>
          <t>52ae893f2dec75a1a3eb1c041c7ec01c1566c9067fd1d32ff004b88a43922f88</t>
        </is>
      </c>
    </row>
    <row r="2842">
      <c r="A2842" t="inlineStr">
        <is>
          <t>附表10</t>
        </is>
      </c>
      <c r="B2842" t="inlineStr">
        <is>
          <t>K54</t>
        </is>
      </c>
      <c r="C2842" t="inlineStr">
        <is>
          <t>'='附表10'!F29</t>
        </is>
      </c>
      <c r="D2842" t="inlineStr">
        <is>
          <t>92aa999c5469d3fef11cbc320a6cd414a3bea26c7c87f9f554d2d5091f9a04e3</t>
        </is>
      </c>
    </row>
    <row r="2843">
      <c r="A2843" t="inlineStr">
        <is>
          <t>附表10</t>
        </is>
      </c>
      <c r="B2843" t="inlineStr">
        <is>
          <t>L54</t>
        </is>
      </c>
      <c r="C2843" t="inlineStr">
        <is>
          <t>'='附表10'!F30</t>
        </is>
      </c>
      <c r="D2843" t="inlineStr">
        <is>
          <t>d3e6d7ac93cfccaaf7cb656b8f08c12de432a04aedcee51943192ce907cf80dd</t>
        </is>
      </c>
    </row>
    <row r="2844">
      <c r="A2844" t="inlineStr">
        <is>
          <t>附表10</t>
        </is>
      </c>
      <c r="B2844" t="inlineStr">
        <is>
          <t>M54</t>
        </is>
      </c>
      <c r="C2844" t="inlineStr">
        <is>
          <t>'='附表10'!F31</t>
        </is>
      </c>
      <c r="D2844" t="inlineStr">
        <is>
          <t>44d6d9d1d9e087737b20f9686fe9b2236f5f3fde4015a595af9487c499a82948</t>
        </is>
      </c>
    </row>
    <row r="2845">
      <c r="A2845" t="inlineStr">
        <is>
          <t>附表10</t>
        </is>
      </c>
      <c r="B2845" t="inlineStr">
        <is>
          <t>N54</t>
        </is>
      </c>
      <c r="C2845" t="inlineStr">
        <is>
          <t>'='附表10'!F32</t>
        </is>
      </c>
      <c r="D2845" t="inlineStr">
        <is>
          <t>dbcf736a48e747e7d521983924dfdbc06e6172d4f8af384717f26aa7adf7e9be</t>
        </is>
      </c>
    </row>
    <row r="2846">
      <c r="A2846" t="inlineStr">
        <is>
          <t>附表10</t>
        </is>
      </c>
      <c r="B2846" t="inlineStr">
        <is>
          <t>O54</t>
        </is>
      </c>
      <c r="C2846" t="inlineStr">
        <is>
          <t>'='附表10'!F33</t>
        </is>
      </c>
      <c r="D2846" t="inlineStr">
        <is>
          <t>e96b1cdd8e30096cb7940b672c32b41024a655a157863f13e3f7a25cda695141</t>
        </is>
      </c>
    </row>
    <row r="2847">
      <c r="A2847" t="inlineStr">
        <is>
          <t>附表10</t>
        </is>
      </c>
      <c r="B2847" t="inlineStr">
        <is>
          <t>P54</t>
        </is>
      </c>
      <c r="C2847" t="inlineStr">
        <is>
          <t>'='附表10'!F34</t>
        </is>
      </c>
      <c r="D2847" t="inlineStr">
        <is>
          <t>afaa1aec8185fbc261dd41000c47d7ccd473d7f18402a051a42969861f97799f</t>
        </is>
      </c>
    </row>
    <row r="2848">
      <c r="A2848" t="inlineStr">
        <is>
          <t>附表10</t>
        </is>
      </c>
      <c r="B2848" t="inlineStr">
        <is>
          <t>Q54</t>
        </is>
      </c>
      <c r="C2848" t="inlineStr">
        <is>
          <t>'='附表10'!F35</t>
        </is>
      </c>
      <c r="D2848" t="inlineStr">
        <is>
          <t>1705bbf582660f57f197b6465655b102fd953f7427eac051d8be4ce25cb5e5a4</t>
        </is>
      </c>
    </row>
    <row r="2849">
      <c r="A2849" t="inlineStr">
        <is>
          <t>附表10</t>
        </is>
      </c>
      <c r="B2849" t="inlineStr">
        <is>
          <t>R54</t>
        </is>
      </c>
      <c r="C2849" t="inlineStr">
        <is>
          <t>'='附表10'!F36</t>
        </is>
      </c>
      <c r="D2849" t="inlineStr">
        <is>
          <t>ec024b4201cf2d24eb8022732924d466276cca9b1014736f32bb365fad3e76a0</t>
        </is>
      </c>
    </row>
    <row r="2850">
      <c r="A2850" t="inlineStr">
        <is>
          <t>附表10</t>
        </is>
      </c>
      <c r="B2850" t="inlineStr">
        <is>
          <t>S54</t>
        </is>
      </c>
      <c r="C2850" t="inlineStr">
        <is>
          <t>'='附表10'!F37</t>
        </is>
      </c>
      <c r="D2850" t="inlineStr">
        <is>
          <t>8f64da0c287a0e38827e0e0fd8cd48d860fd5333053d9e65faff624943b011de</t>
        </is>
      </c>
    </row>
    <row r="2851">
      <c r="A2851" t="inlineStr">
        <is>
          <t>附表10</t>
        </is>
      </c>
      <c r="B2851" t="inlineStr">
        <is>
          <t>T54</t>
        </is>
      </c>
      <c r="C2851" t="inlineStr">
        <is>
          <t>'='附表10'!F38</t>
        </is>
      </c>
      <c r="D2851" t="inlineStr">
        <is>
          <t>98b286411edcd2901608df01b74693ba6dfa67002e3685afb8c8cdb9ab4947b4</t>
        </is>
      </c>
    </row>
    <row r="2852">
      <c r="A2852" t="inlineStr">
        <is>
          <t>附表10</t>
        </is>
      </c>
      <c r="B2852" t="inlineStr">
        <is>
          <t>U54</t>
        </is>
      </c>
      <c r="C2852" t="inlineStr">
        <is>
          <t>'='附表10'!F39</t>
        </is>
      </c>
      <c r="D2852" t="inlineStr">
        <is>
          <t>1897a2cffcb16b450d2e1bf6c44acb2eedaf0e1acc95ec37e0ad715182bd29da</t>
        </is>
      </c>
    </row>
    <row r="2853">
      <c r="A2853" t="inlineStr">
        <is>
          <t>附表10</t>
        </is>
      </c>
      <c r="B2853" t="inlineStr">
        <is>
          <t>V54</t>
        </is>
      </c>
      <c r="C2853" t="inlineStr">
        <is>
          <t>'='附表10'!F40</t>
        </is>
      </c>
      <c r="D2853" t="inlineStr">
        <is>
          <t>40eeaacca3b69227adcb06c8ba2b283dbeb31653594375c98c9d1ce6d88215bf</t>
        </is>
      </c>
    </row>
    <row r="2854">
      <c r="A2854" t="inlineStr">
        <is>
          <t>附表10</t>
        </is>
      </c>
      <c r="B2854" t="inlineStr">
        <is>
          <t>W54</t>
        </is>
      </c>
      <c r="C2854" t="inlineStr">
        <is>
          <t>'='附表10'!F41</t>
        </is>
      </c>
      <c r="D2854" t="inlineStr">
        <is>
          <t>56816af26d9786f71c630ba74ded569c16c5470dff427d45c6727e1ef0ff565d</t>
        </is>
      </c>
    </row>
    <row r="2855">
      <c r="A2855" t="inlineStr">
        <is>
          <t>附表10</t>
        </is>
      </c>
      <c r="B2855" t="inlineStr">
        <is>
          <t>X54</t>
        </is>
      </c>
      <c r="C2855" t="inlineStr">
        <is>
          <t>'='附表10'!F42</t>
        </is>
      </c>
      <c r="D2855" t="inlineStr">
        <is>
          <t>7a6b4cfbc56bace1d38683f2f5b631daf54f1a6c52b10dbc695de445eec2b24f</t>
        </is>
      </c>
    </row>
    <row r="2856">
      <c r="A2856" t="inlineStr">
        <is>
          <t>附表10</t>
        </is>
      </c>
      <c r="B2856" t="inlineStr">
        <is>
          <t>Y54</t>
        </is>
      </c>
      <c r="C2856" t="inlineStr">
        <is>
          <t>'='附表10'!F43</t>
        </is>
      </c>
      <c r="D2856" t="inlineStr">
        <is>
          <t>5cfc3b96708764f2e9881e071df4f9fd343722b5f0b7ad3e18dfc71b2f1ab08f</t>
        </is>
      </c>
    </row>
    <row r="2857">
      <c r="A2857" t="inlineStr">
        <is>
          <t>附表10</t>
        </is>
      </c>
      <c r="B2857" t="inlineStr">
        <is>
          <t>Z54</t>
        </is>
      </c>
      <c r="C2857" t="inlineStr">
        <is>
          <t>'='附表10'!F44</t>
        </is>
      </c>
      <c r="D2857" t="inlineStr">
        <is>
          <t>e549acc36bcf890d7137069fb1ca23af40830efd788675f27fa12971361a9c54</t>
        </is>
      </c>
    </row>
    <row r="2858">
      <c r="A2858" t="inlineStr">
        <is>
          <t>附表10</t>
        </is>
      </c>
      <c r="B2858" t="inlineStr">
        <is>
          <t>B56</t>
        </is>
      </c>
      <c r="C2858" t="inlineStr">
        <is>
          <t>'='附表10'!C20</t>
        </is>
      </c>
      <c r="D2858" t="inlineStr">
        <is>
          <t>4960b3fca7313b5a3c18bb5a8ea6903b831511c65023dcb7edc925249b0daec7</t>
        </is>
      </c>
    </row>
    <row r="2859">
      <c r="A2859" t="inlineStr">
        <is>
          <t>附表10</t>
        </is>
      </c>
      <c r="B2859" t="inlineStr">
        <is>
          <t>C56</t>
        </is>
      </c>
      <c r="C2859" t="inlineStr">
        <is>
          <t>'='附表10'!C21</t>
        </is>
      </c>
      <c r="D2859" t="inlineStr">
        <is>
          <t>664221191df2de305f2276869001c7bb08c9f9d0848942ad5f87a89de7e38f4e</t>
        </is>
      </c>
    </row>
    <row r="2860">
      <c r="A2860" t="inlineStr">
        <is>
          <t>附表10</t>
        </is>
      </c>
      <c r="B2860" t="inlineStr">
        <is>
          <t>D56</t>
        </is>
      </c>
      <c r="C2860" t="inlineStr">
        <is>
          <t>'='附表10'!C22</t>
        </is>
      </c>
      <c r="D2860" t="inlineStr">
        <is>
          <t>738292562863ec17663dec8b20c782001b78cb5f8a089f22d7202f47f37be0e0</t>
        </is>
      </c>
    </row>
    <row r="2861">
      <c r="A2861" t="inlineStr">
        <is>
          <t>附表10</t>
        </is>
      </c>
      <c r="B2861" t="inlineStr">
        <is>
          <t>E56</t>
        </is>
      </c>
      <c r="C2861" t="inlineStr">
        <is>
          <t>'='附表10'!C23</t>
        </is>
      </c>
      <c r="D2861" t="inlineStr">
        <is>
          <t>18b306650ad3e4f243fdd0a93e7a0c22df2b0ce58f0e4d5f1bd4ff7df47d6e60</t>
        </is>
      </c>
    </row>
    <row r="2862">
      <c r="A2862" t="inlineStr">
        <is>
          <t>附表10</t>
        </is>
      </c>
      <c r="B2862" t="inlineStr">
        <is>
          <t>F56</t>
        </is>
      </c>
      <c r="C2862" t="inlineStr">
        <is>
          <t>'='附表10'!C24</t>
        </is>
      </c>
      <c r="D2862" t="inlineStr">
        <is>
          <t>e4df1002ee9e7aff6f767a195e5151420f8b0d6bf39d1d74572ab98cb47b7fe2</t>
        </is>
      </c>
    </row>
    <row r="2863">
      <c r="A2863" t="inlineStr">
        <is>
          <t>附表10</t>
        </is>
      </c>
      <c r="B2863" t="inlineStr">
        <is>
          <t>G56</t>
        </is>
      </c>
      <c r="C2863" t="inlineStr">
        <is>
          <t>'='附表10'!C25</t>
        </is>
      </c>
      <c r="D2863" t="inlineStr">
        <is>
          <t>aada9e7d14e47e7451d09ba1587ecd051d29cb650586198ad8ef217f374795db</t>
        </is>
      </c>
    </row>
    <row r="2864">
      <c r="A2864" t="inlineStr">
        <is>
          <t>附表10</t>
        </is>
      </c>
      <c r="B2864" t="inlineStr">
        <is>
          <t>H56</t>
        </is>
      </c>
      <c r="C2864" t="inlineStr">
        <is>
          <t>'='附表10'!C26</t>
        </is>
      </c>
      <c r="D2864" t="inlineStr">
        <is>
          <t>e6cb24da5becdacbb292948d8f884ad1d41fe94d2eeae85a777d75dcaf265d73</t>
        </is>
      </c>
    </row>
    <row r="2865">
      <c r="A2865" t="inlineStr">
        <is>
          <t>附表10</t>
        </is>
      </c>
      <c r="B2865" t="inlineStr">
        <is>
          <t>I56</t>
        </is>
      </c>
      <c r="C2865" t="inlineStr">
        <is>
          <t>'='附表10'!C27</t>
        </is>
      </c>
      <c r="D2865" t="inlineStr">
        <is>
          <t>fbb292a4e88def53837d8ecc919d3aa7e609b57ee85d6e7c2c219710c616f193</t>
        </is>
      </c>
    </row>
    <row r="2866">
      <c r="A2866" t="inlineStr">
        <is>
          <t>附表10</t>
        </is>
      </c>
      <c r="B2866" t="inlineStr">
        <is>
          <t>J56</t>
        </is>
      </c>
      <c r="C2866" t="inlineStr">
        <is>
          <t>'='附表10'!C28</t>
        </is>
      </c>
      <c r="D2866" t="inlineStr">
        <is>
          <t>d93fd23bf48c21ce38ff98ba31481139f28e0c595d1ce94eb050d63e4da8dd26</t>
        </is>
      </c>
    </row>
    <row r="2867">
      <c r="A2867" t="inlineStr">
        <is>
          <t>附表10</t>
        </is>
      </c>
      <c r="B2867" t="inlineStr">
        <is>
          <t>K56</t>
        </is>
      </c>
      <c r="C2867" t="inlineStr">
        <is>
          <t>'='附表10'!C29</t>
        </is>
      </c>
      <c r="D2867" t="inlineStr">
        <is>
          <t>7378f69d03b83b4f1e80cdf0cf4c712966db31d6683b5854bd0f5d54913e2ee9</t>
        </is>
      </c>
    </row>
    <row r="2868">
      <c r="A2868" t="inlineStr">
        <is>
          <t>附表10</t>
        </is>
      </c>
      <c r="B2868" t="inlineStr">
        <is>
          <t>L56</t>
        </is>
      </c>
      <c r="C2868" t="inlineStr">
        <is>
          <t>'='附表10'!C30</t>
        </is>
      </c>
      <c r="D2868" t="inlineStr">
        <is>
          <t>614d04a1b54abe552b5fbf068b4141ed2337933bc5b1a83cd02c00473fac2267</t>
        </is>
      </c>
    </row>
    <row r="2869">
      <c r="A2869" t="inlineStr">
        <is>
          <t>附表10</t>
        </is>
      </c>
      <c r="B2869" t="inlineStr">
        <is>
          <t>M56</t>
        </is>
      </c>
      <c r="C2869" t="inlineStr">
        <is>
          <t>'='附表10'!C31</t>
        </is>
      </c>
      <c r="D2869" t="inlineStr">
        <is>
          <t>a45c21b3bc231feb7c2685238330f777c118b0b8df00c1dd65387a5cc2aea80b</t>
        </is>
      </c>
    </row>
    <row r="2870">
      <c r="A2870" t="inlineStr">
        <is>
          <t>附表10</t>
        </is>
      </c>
      <c r="B2870" t="inlineStr">
        <is>
          <t>N56</t>
        </is>
      </c>
      <c r="C2870" t="inlineStr">
        <is>
          <t>'='附表10'!C32</t>
        </is>
      </c>
      <c r="D2870" t="inlineStr">
        <is>
          <t>1dec425cecde1e7d87313ee039711ab2f95136c1121a544c06cae876b0e78c2a</t>
        </is>
      </c>
    </row>
    <row r="2871">
      <c r="A2871" t="inlineStr">
        <is>
          <t>附表10</t>
        </is>
      </c>
      <c r="B2871" t="inlineStr">
        <is>
          <t>O56</t>
        </is>
      </c>
      <c r="C2871" t="inlineStr">
        <is>
          <t>'='附表10'!C33</t>
        </is>
      </c>
      <c r="D2871" t="inlineStr">
        <is>
          <t>ba554fd5f884bebaf24ccff7d24a97dd927a83f8a3a39e35393e4b5858232b92</t>
        </is>
      </c>
    </row>
    <row r="2872">
      <c r="A2872" t="inlineStr">
        <is>
          <t>附表10</t>
        </is>
      </c>
      <c r="B2872" t="inlineStr">
        <is>
          <t>P56</t>
        </is>
      </c>
      <c r="C2872" t="inlineStr">
        <is>
          <t>'='附表10'!C34</t>
        </is>
      </c>
      <c r="D2872" t="inlineStr">
        <is>
          <t>fb7c4ce664bf9e7423ddb5966f8a45e1cb381e8a3c807b3f3a5fae50c7ed6b3c</t>
        </is>
      </c>
    </row>
    <row r="2873">
      <c r="A2873" t="inlineStr">
        <is>
          <t>附表10</t>
        </is>
      </c>
      <c r="B2873" t="inlineStr">
        <is>
          <t>Q56</t>
        </is>
      </c>
      <c r="C2873" t="inlineStr">
        <is>
          <t>'='附表10'!C35</t>
        </is>
      </c>
      <c r="D2873" t="inlineStr">
        <is>
          <t>39929a64b0e34e0223e90b1fcfa081ef48d90d35ed125c59506fe25e957c197d</t>
        </is>
      </c>
    </row>
    <row r="2874">
      <c r="A2874" t="inlineStr">
        <is>
          <t>附表10</t>
        </is>
      </c>
      <c r="B2874" t="inlineStr">
        <is>
          <t>R56</t>
        </is>
      </c>
      <c r="C2874" t="inlineStr">
        <is>
          <t>'='附表10'!C36</t>
        </is>
      </c>
      <c r="D2874" t="inlineStr">
        <is>
          <t>128da89f90a29ce655bbb92a41ef4fc03e8b24d94c7dc3e90831d98c8e8a463d</t>
        </is>
      </c>
    </row>
    <row r="2875">
      <c r="A2875" t="inlineStr">
        <is>
          <t>附表10</t>
        </is>
      </c>
      <c r="B2875" t="inlineStr">
        <is>
          <t>S56</t>
        </is>
      </c>
      <c r="C2875" t="inlineStr">
        <is>
          <t>'='附表10'!C37</t>
        </is>
      </c>
      <c r="D2875" t="inlineStr">
        <is>
          <t>8236d3e3a1c80e7e248ae395ede73290664308a7bc5e86fc7ed4abc1adafc352</t>
        </is>
      </c>
    </row>
    <row r="2876">
      <c r="A2876" t="inlineStr">
        <is>
          <t>附表10</t>
        </is>
      </c>
      <c r="B2876" t="inlineStr">
        <is>
          <t>T56</t>
        </is>
      </c>
      <c r="C2876" t="inlineStr">
        <is>
          <t>'='附表10'!C38</t>
        </is>
      </c>
      <c r="D2876" t="inlineStr">
        <is>
          <t>bff934f07315c2ace041fc2735bb5024777a05d93a0b081f23794ec7ea9fe773</t>
        </is>
      </c>
    </row>
    <row r="2877">
      <c r="A2877" t="inlineStr">
        <is>
          <t>附表10</t>
        </is>
      </c>
      <c r="B2877" t="inlineStr">
        <is>
          <t>U56</t>
        </is>
      </c>
      <c r="C2877" t="inlineStr">
        <is>
          <t>'='附表10'!C39</t>
        </is>
      </c>
      <c r="D2877" t="inlineStr">
        <is>
          <t>6a3e0e9fc8b29b6cfe0d595643d38587e57d13984d3813f2040576a414e7f527</t>
        </is>
      </c>
    </row>
    <row r="2878">
      <c r="A2878" t="inlineStr">
        <is>
          <t>附表10</t>
        </is>
      </c>
      <c r="B2878" t="inlineStr">
        <is>
          <t>V56</t>
        </is>
      </c>
      <c r="C2878" t="inlineStr">
        <is>
          <t>'='附表10'!C40</t>
        </is>
      </c>
      <c r="D2878" t="inlineStr">
        <is>
          <t>e50350d97d7bb5657fa612fae733cbec36d7a00efbe11b6f64513d88830cb0bf</t>
        </is>
      </c>
    </row>
    <row r="2879">
      <c r="A2879" t="inlineStr">
        <is>
          <t>附表10</t>
        </is>
      </c>
      <c r="B2879" t="inlineStr">
        <is>
          <t>W56</t>
        </is>
      </c>
      <c r="C2879" t="inlineStr">
        <is>
          <t>'='附表10'!C41</t>
        </is>
      </c>
      <c r="D2879" t="inlineStr">
        <is>
          <t>c5daefcae11a2d11a912c4b7810fe9e4b5e4455980623cd262eeaf0d03af48f3</t>
        </is>
      </c>
    </row>
    <row r="2880">
      <c r="A2880" t="inlineStr">
        <is>
          <t>附表10</t>
        </is>
      </c>
      <c r="B2880" t="inlineStr">
        <is>
          <t>X56</t>
        </is>
      </c>
      <c r="C2880" t="inlineStr">
        <is>
          <t>'='附表10'!C42</t>
        </is>
      </c>
      <c r="D2880" t="inlineStr">
        <is>
          <t>91657ca43478edded066b0fb151b7b606594be7396822f2e2c29a5117273e623</t>
        </is>
      </c>
    </row>
    <row r="2881">
      <c r="A2881" t="inlineStr">
        <is>
          <t>附表10</t>
        </is>
      </c>
      <c r="B2881" t="inlineStr">
        <is>
          <t>Y56</t>
        </is>
      </c>
      <c r="C2881" t="inlineStr">
        <is>
          <t>'='附表10'!C43</t>
        </is>
      </c>
      <c r="D2881" t="inlineStr">
        <is>
          <t>51bfc902b54155346699592b396eb0664f9c25d80932d7d43b119631864e244f</t>
        </is>
      </c>
    </row>
    <row r="2882">
      <c r="A2882" t="inlineStr">
        <is>
          <t>附表10</t>
        </is>
      </c>
      <c r="B2882" t="inlineStr">
        <is>
          <t>Z56</t>
        </is>
      </c>
      <c r="C2882" t="inlineStr">
        <is>
          <t>'='附表10'!C44</t>
        </is>
      </c>
      <c r="D2882" t="inlineStr">
        <is>
          <t>234e94ca5450a535af541eed51e43f5c9bf4260e9e60ecc92137e35c778daedd</t>
        </is>
      </c>
    </row>
    <row r="2883">
      <c r="A2883" t="inlineStr">
        <is>
          <t>附表10</t>
        </is>
      </c>
      <c r="B2883" t="inlineStr">
        <is>
          <t>B57</t>
        </is>
      </c>
      <c r="C2883" t="inlineStr">
        <is>
          <t>'='附表10'!G20</t>
        </is>
      </c>
      <c r="D2883" t="inlineStr">
        <is>
          <t>9e69ed92909015e2878896556db5b1ae4cd0d39b037b76bb03f01eb49f8cadc4</t>
        </is>
      </c>
    </row>
    <row r="2884">
      <c r="A2884" t="inlineStr">
        <is>
          <t>附表10</t>
        </is>
      </c>
      <c r="B2884" t="inlineStr">
        <is>
          <t>C57</t>
        </is>
      </c>
      <c r="C2884" t="inlineStr">
        <is>
          <t>'='附表10'!G21</t>
        </is>
      </c>
      <c r="D2884" t="inlineStr">
        <is>
          <t>491a507e0f671c5cca11089750a7973c702cbafd0ad69d2722b952a72f40671e</t>
        </is>
      </c>
    </row>
    <row r="2885">
      <c r="A2885" t="inlineStr">
        <is>
          <t>附表10</t>
        </is>
      </c>
      <c r="B2885" t="inlineStr">
        <is>
          <t>D57</t>
        </is>
      </c>
      <c r="C2885" t="inlineStr">
        <is>
          <t>'='附表10'!G22</t>
        </is>
      </c>
      <c r="D2885" t="inlineStr">
        <is>
          <t>508e5c1f24e0f5fb9eeda332d342ac4f1f27e6402bd9c9a27f4ec99dcf624a17</t>
        </is>
      </c>
    </row>
    <row r="2886">
      <c r="A2886" t="inlineStr">
        <is>
          <t>附表10</t>
        </is>
      </c>
      <c r="B2886" t="inlineStr">
        <is>
          <t>E57</t>
        </is>
      </c>
      <c r="C2886" t="inlineStr">
        <is>
          <t>'='附表10'!G23</t>
        </is>
      </c>
      <c r="D2886" t="inlineStr">
        <is>
          <t>72d51129beb1f0a5dcd762eea299de04096b213e1842bdc07fbd830b906272f8</t>
        </is>
      </c>
    </row>
    <row r="2887">
      <c r="A2887" t="inlineStr">
        <is>
          <t>附表10</t>
        </is>
      </c>
      <c r="B2887" t="inlineStr">
        <is>
          <t>F57</t>
        </is>
      </c>
      <c r="C2887" t="inlineStr">
        <is>
          <t>'='附表10'!G24</t>
        </is>
      </c>
      <c r="D2887" t="inlineStr">
        <is>
          <t>653fc7563b1f62cc82076b4a84771cced4d76ba7837fca5331539d9fdf5844c6</t>
        </is>
      </c>
    </row>
    <row r="2888">
      <c r="A2888" t="inlineStr">
        <is>
          <t>附表10</t>
        </is>
      </c>
      <c r="B2888" t="inlineStr">
        <is>
          <t>G57</t>
        </is>
      </c>
      <c r="C2888" t="inlineStr">
        <is>
          <t>'='附表10'!G25</t>
        </is>
      </c>
      <c r="D2888" t="inlineStr">
        <is>
          <t>a576aa692a92a4899ebc4727e4c54d060bfefffb0c41d5c1bdbea556072bfac9</t>
        </is>
      </c>
    </row>
    <row r="2889">
      <c r="A2889" t="inlineStr">
        <is>
          <t>附表10</t>
        </is>
      </c>
      <c r="B2889" t="inlineStr">
        <is>
          <t>H57</t>
        </is>
      </c>
      <c r="C2889" t="inlineStr">
        <is>
          <t>'='附表10'!G26</t>
        </is>
      </c>
      <c r="D2889" t="inlineStr">
        <is>
          <t>a5e5a9515b0465b4cba7df3f3ef019a7e0b363278e66f7379fa99c9410a75aa7</t>
        </is>
      </c>
    </row>
    <row r="2890">
      <c r="A2890" t="inlineStr">
        <is>
          <t>附表10</t>
        </is>
      </c>
      <c r="B2890" t="inlineStr">
        <is>
          <t>I57</t>
        </is>
      </c>
      <c r="C2890" t="inlineStr">
        <is>
          <t>'='附表10'!G27</t>
        </is>
      </c>
      <c r="D2890" t="inlineStr">
        <is>
          <t>bb9b5ba786bb2f933bc378a3d25b7cf27e892169215d5e76a299d9ab9f6b2be2</t>
        </is>
      </c>
    </row>
    <row r="2891">
      <c r="A2891" t="inlineStr">
        <is>
          <t>附表10</t>
        </is>
      </c>
      <c r="B2891" t="inlineStr">
        <is>
          <t>J57</t>
        </is>
      </c>
      <c r="C2891" t="inlineStr">
        <is>
          <t>'='附表10'!G28</t>
        </is>
      </c>
      <c r="D2891" t="inlineStr">
        <is>
          <t>6b3e82e7fc744e16bbb346821a3859679c6850523b1905548faba1a37af65ee5</t>
        </is>
      </c>
    </row>
    <row r="2892">
      <c r="A2892" t="inlineStr">
        <is>
          <t>附表10</t>
        </is>
      </c>
      <c r="B2892" t="inlineStr">
        <is>
          <t>K57</t>
        </is>
      </c>
      <c r="C2892" t="inlineStr">
        <is>
          <t>'='附表10'!G29</t>
        </is>
      </c>
      <c r="D2892" t="inlineStr">
        <is>
          <t>b867bcf6ec3a5955fa5c467d3be6ac131810177b34eca0b0a5457d44f907bd28</t>
        </is>
      </c>
    </row>
    <row r="2893">
      <c r="A2893" t="inlineStr">
        <is>
          <t>附表10</t>
        </is>
      </c>
      <c r="B2893" t="inlineStr">
        <is>
          <t>L57</t>
        </is>
      </c>
      <c r="C2893" t="inlineStr">
        <is>
          <t>'='附表10'!G30</t>
        </is>
      </c>
      <c r="D2893" t="inlineStr">
        <is>
          <t>733945ac24bc4f0d912838af345916d164539ae958cc9a243e752fe354fa932b</t>
        </is>
      </c>
    </row>
    <row r="2894">
      <c r="A2894" t="inlineStr">
        <is>
          <t>附表10</t>
        </is>
      </c>
      <c r="B2894" t="inlineStr">
        <is>
          <t>M57</t>
        </is>
      </c>
      <c r="C2894" t="inlineStr">
        <is>
          <t>'='附表10'!G31</t>
        </is>
      </c>
      <c r="D2894" t="inlineStr">
        <is>
          <t>5762eff94771c3e3eb48d67700ea1eedb3e7990549678420b0c1b6ffc9b9f632</t>
        </is>
      </c>
    </row>
    <row r="2895">
      <c r="A2895" t="inlineStr">
        <is>
          <t>附表10</t>
        </is>
      </c>
      <c r="B2895" t="inlineStr">
        <is>
          <t>N57</t>
        </is>
      </c>
      <c r="C2895" t="inlineStr">
        <is>
          <t>'='附表10'!G32</t>
        </is>
      </c>
      <c r="D2895" t="inlineStr">
        <is>
          <t>abf2ca976e08c49c4a6529fae204c3f2c4abd9b9ffff433e83488db8c159760f</t>
        </is>
      </c>
    </row>
    <row r="2896">
      <c r="A2896" t="inlineStr">
        <is>
          <t>附表10</t>
        </is>
      </c>
      <c r="B2896" t="inlineStr">
        <is>
          <t>O57</t>
        </is>
      </c>
      <c r="C2896" t="inlineStr">
        <is>
          <t>'='附表10'!G33</t>
        </is>
      </c>
      <c r="D2896" t="inlineStr">
        <is>
          <t>e4ebda203803495e09809825cd04229ff932d9b5c1c7644540a14c0716035009</t>
        </is>
      </c>
    </row>
    <row r="2897">
      <c r="A2897" t="inlineStr">
        <is>
          <t>附表10</t>
        </is>
      </c>
      <c r="B2897" t="inlineStr">
        <is>
          <t>P57</t>
        </is>
      </c>
      <c r="C2897" t="inlineStr">
        <is>
          <t>'='附表10'!G34</t>
        </is>
      </c>
      <c r="D2897" t="inlineStr">
        <is>
          <t>8eacc06892228cd898bdcb9bb06e16680177def8000bda5a2aaccc598ff23849</t>
        </is>
      </c>
    </row>
    <row r="2898">
      <c r="A2898" t="inlineStr">
        <is>
          <t>附表10</t>
        </is>
      </c>
      <c r="B2898" t="inlineStr">
        <is>
          <t>Q57</t>
        </is>
      </c>
      <c r="C2898" t="inlineStr">
        <is>
          <t>'='附表10'!G35</t>
        </is>
      </c>
      <c r="D2898" t="inlineStr">
        <is>
          <t>6443ce64d20e207a652d969a9b70e4c2b469fb155881028f4102929920e46161</t>
        </is>
      </c>
    </row>
    <row r="2899">
      <c r="A2899" t="inlineStr">
        <is>
          <t>附表10</t>
        </is>
      </c>
      <c r="B2899" t="inlineStr">
        <is>
          <t>R57</t>
        </is>
      </c>
      <c r="C2899" t="inlineStr">
        <is>
          <t>'='附表10'!G36</t>
        </is>
      </c>
      <c r="D2899" t="inlineStr">
        <is>
          <t>78f93d3759b4353eeca489b88f74d9b038e382f212a4c9ab478eff9c34e6de6c</t>
        </is>
      </c>
    </row>
    <row r="2900">
      <c r="A2900" t="inlineStr">
        <is>
          <t>附表10</t>
        </is>
      </c>
      <c r="B2900" t="inlineStr">
        <is>
          <t>S57</t>
        </is>
      </c>
      <c r="C2900" t="inlineStr">
        <is>
          <t>'='附表10'!G37</t>
        </is>
      </c>
      <c r="D2900" t="inlineStr">
        <is>
          <t>904e3f36ceabebd56b1cfeff079ba1513b9851fb6ba29040d5deafc5b3df8f32</t>
        </is>
      </c>
    </row>
    <row r="2901">
      <c r="A2901" t="inlineStr">
        <is>
          <t>附表10</t>
        </is>
      </c>
      <c r="B2901" t="inlineStr">
        <is>
          <t>T57</t>
        </is>
      </c>
      <c r="C2901" t="inlineStr">
        <is>
          <t>'='附表10'!G38</t>
        </is>
      </c>
      <c r="D2901" t="inlineStr">
        <is>
          <t>72777746526022a026e40d96d75069a956f1e9a63dcea4c5b10ca35b891375b0</t>
        </is>
      </c>
    </row>
    <row r="2902">
      <c r="A2902" t="inlineStr">
        <is>
          <t>附表10</t>
        </is>
      </c>
      <c r="B2902" t="inlineStr">
        <is>
          <t>U57</t>
        </is>
      </c>
      <c r="C2902" t="inlineStr">
        <is>
          <t>'='附表10'!G39</t>
        </is>
      </c>
      <c r="D2902" t="inlineStr">
        <is>
          <t>1c10687bac66c32d2ea53fb970930dca1e11892654d210759eb85c624366a2b1</t>
        </is>
      </c>
    </row>
    <row r="2903">
      <c r="A2903" t="inlineStr">
        <is>
          <t>附表10</t>
        </is>
      </c>
      <c r="B2903" t="inlineStr">
        <is>
          <t>V57</t>
        </is>
      </c>
      <c r="C2903" t="inlineStr">
        <is>
          <t>'='附表10'!G40</t>
        </is>
      </c>
      <c r="D2903" t="inlineStr">
        <is>
          <t>ddc0a48e965742fa82726a8e60e3b38aae5e91b8da2d1890afe49553c634744c</t>
        </is>
      </c>
    </row>
    <row r="2904">
      <c r="A2904" t="inlineStr">
        <is>
          <t>附表10</t>
        </is>
      </c>
      <c r="B2904" t="inlineStr">
        <is>
          <t>W57</t>
        </is>
      </c>
      <c r="C2904" t="inlineStr">
        <is>
          <t>'='附表10'!G41</t>
        </is>
      </c>
      <c r="D2904" t="inlineStr">
        <is>
          <t>ba0bcec7696e788d536e1753ec1f7be380bfd4702b1302120d810d27eeec9a27</t>
        </is>
      </c>
    </row>
    <row r="2905">
      <c r="A2905" t="inlineStr">
        <is>
          <t>附表10</t>
        </is>
      </c>
      <c r="B2905" t="inlineStr">
        <is>
          <t>X57</t>
        </is>
      </c>
      <c r="C2905" t="inlineStr">
        <is>
          <t>'='附表10'!G42</t>
        </is>
      </c>
      <c r="D2905" t="inlineStr">
        <is>
          <t>b57530119f2edb335d8ce0f6553d2139626b2a445c4619ecc9fbdbec37e93b6c</t>
        </is>
      </c>
    </row>
    <row r="2906">
      <c r="A2906" t="inlineStr">
        <is>
          <t>附表10</t>
        </is>
      </c>
      <c r="B2906" t="inlineStr">
        <is>
          <t>Y57</t>
        </is>
      </c>
      <c r="C2906" t="inlineStr">
        <is>
          <t>'='附表10'!G43</t>
        </is>
      </c>
      <c r="D2906" t="inlineStr">
        <is>
          <t>dcc162977ee1ceb471cad98745f2f6526b91b54b719ef1b13e5816449301b0df</t>
        </is>
      </c>
    </row>
    <row r="2907">
      <c r="A2907" t="inlineStr">
        <is>
          <t>附表10</t>
        </is>
      </c>
      <c r="B2907" t="inlineStr">
        <is>
          <t>Z57</t>
        </is>
      </c>
      <c r="C2907" t="inlineStr">
        <is>
          <t>'='附表10'!G44</t>
        </is>
      </c>
      <c r="D2907" t="inlineStr">
        <is>
          <t>b56e1a05b0bfc73b0e6a5186cd3986551b8ed0d3610bc782d0b3675bca1e747c</t>
        </is>
      </c>
    </row>
    <row r="2908">
      <c r="A2908" t="inlineStr">
        <is>
          <t>附表10</t>
        </is>
      </c>
      <c r="B2908" t="inlineStr">
        <is>
          <t>B58</t>
        </is>
      </c>
      <c r="C2908" t="inlineStr">
        <is>
          <t>'='附表10'!H20</t>
        </is>
      </c>
      <c r="D2908" t="inlineStr">
        <is>
          <t>1a6786745fe337fb58c0265b24d97b8e2b52965a0aad68660e3b5ab8a14e073c</t>
        </is>
      </c>
    </row>
    <row r="2909">
      <c r="A2909" t="inlineStr">
        <is>
          <t>附表10</t>
        </is>
      </c>
      <c r="B2909" t="inlineStr">
        <is>
          <t>C58</t>
        </is>
      </c>
      <c r="C2909" t="inlineStr">
        <is>
          <t>'='附表10'!H21</t>
        </is>
      </c>
      <c r="D2909" t="inlineStr">
        <is>
          <t>71ec9a91d1bda1d528a4cd6eea0fb56ede78e6a994e8e71eaa6d3d3dbb24e690</t>
        </is>
      </c>
    </row>
    <row r="2910">
      <c r="A2910" t="inlineStr">
        <is>
          <t>附表10</t>
        </is>
      </c>
      <c r="B2910" t="inlineStr">
        <is>
          <t>D58</t>
        </is>
      </c>
      <c r="C2910" t="inlineStr">
        <is>
          <t>'='附表10'!H22</t>
        </is>
      </c>
      <c r="D2910" t="inlineStr">
        <is>
          <t>ce09f777dfae3609850642c3a740d37b97c39faccd1da09bd473331259dff988</t>
        </is>
      </c>
    </row>
    <row r="2911">
      <c r="A2911" t="inlineStr">
        <is>
          <t>附表10</t>
        </is>
      </c>
      <c r="B2911" t="inlineStr">
        <is>
          <t>E58</t>
        </is>
      </c>
      <c r="C2911" t="inlineStr">
        <is>
          <t>'='附表10'!H23</t>
        </is>
      </c>
      <c r="D2911" t="inlineStr">
        <is>
          <t>2ce0d697665330b3de3c43f9f63da69963cb4d2106f4b614f41919a57f37779e</t>
        </is>
      </c>
    </row>
    <row r="2912">
      <c r="A2912" t="inlineStr">
        <is>
          <t>附表10</t>
        </is>
      </c>
      <c r="B2912" t="inlineStr">
        <is>
          <t>F58</t>
        </is>
      </c>
      <c r="C2912" t="inlineStr">
        <is>
          <t>'='附表10'!H24</t>
        </is>
      </c>
      <c r="D2912" t="inlineStr">
        <is>
          <t>c3803c6669aeee27405cb3166d1122642ba81b96484d5811dec0eddea09fcf0d</t>
        </is>
      </c>
    </row>
    <row r="2913">
      <c r="A2913" t="inlineStr">
        <is>
          <t>附表10</t>
        </is>
      </c>
      <c r="B2913" t="inlineStr">
        <is>
          <t>G58</t>
        </is>
      </c>
      <c r="C2913" t="inlineStr">
        <is>
          <t>'='附表10'!H25</t>
        </is>
      </c>
      <c r="D2913" t="inlineStr">
        <is>
          <t>fd93ec5a79e0b50028bfe0a9101ab33ca780cdecf9fcee8db86dc7ca2d413f75</t>
        </is>
      </c>
    </row>
    <row r="2914">
      <c r="A2914" t="inlineStr">
        <is>
          <t>附表10</t>
        </is>
      </c>
      <c r="B2914" t="inlineStr">
        <is>
          <t>H58</t>
        </is>
      </c>
      <c r="C2914" t="inlineStr">
        <is>
          <t>'='附表10'!H26</t>
        </is>
      </c>
      <c r="D2914" t="inlineStr">
        <is>
          <t>c89e393fcf8992425b2a663021d3ced754be8a0579e5c5f137aec9f3a6023d06</t>
        </is>
      </c>
    </row>
    <row r="2915">
      <c r="A2915" t="inlineStr">
        <is>
          <t>附表10</t>
        </is>
      </c>
      <c r="B2915" t="inlineStr">
        <is>
          <t>I58</t>
        </is>
      </c>
      <c r="C2915" t="inlineStr">
        <is>
          <t>'='附表10'!H27</t>
        </is>
      </c>
      <c r="D2915" t="inlineStr">
        <is>
          <t>4bea1dbd083242bd96b879a403178f126fb57b9938cf3e103136a94bbdb8a692</t>
        </is>
      </c>
    </row>
    <row r="2916">
      <c r="A2916" t="inlineStr">
        <is>
          <t>附表10</t>
        </is>
      </c>
      <c r="B2916" t="inlineStr">
        <is>
          <t>J58</t>
        </is>
      </c>
      <c r="C2916" t="inlineStr">
        <is>
          <t>'='附表10'!H28</t>
        </is>
      </c>
      <c r="D2916" t="inlineStr">
        <is>
          <t>81b3085aa132fa5f049f482cb98d8ef1969bac40bb3b481f8f427e423b2fce9c</t>
        </is>
      </c>
    </row>
    <row r="2917">
      <c r="A2917" t="inlineStr">
        <is>
          <t>附表10</t>
        </is>
      </c>
      <c r="B2917" t="inlineStr">
        <is>
          <t>K58</t>
        </is>
      </c>
      <c r="C2917" t="inlineStr">
        <is>
          <t>'='附表10'!H29</t>
        </is>
      </c>
      <c r="D2917" t="inlineStr">
        <is>
          <t>0cdb997b8bda22f2bdb494f4ecd450058056e9ece3dfbf5ae805555e0475c190</t>
        </is>
      </c>
    </row>
    <row r="2918">
      <c r="A2918" t="inlineStr">
        <is>
          <t>附表10</t>
        </is>
      </c>
      <c r="B2918" t="inlineStr">
        <is>
          <t>L58</t>
        </is>
      </c>
      <c r="C2918" t="inlineStr">
        <is>
          <t>'='附表10'!H30</t>
        </is>
      </c>
      <c r="D2918" t="inlineStr">
        <is>
          <t>580f38c472853f172b207c4ad1bb07a8c48f08c6ac1310ef71a6437669b4f93a</t>
        </is>
      </c>
    </row>
    <row r="2919">
      <c r="A2919" t="inlineStr">
        <is>
          <t>附表10</t>
        </is>
      </c>
      <c r="B2919" t="inlineStr">
        <is>
          <t>M58</t>
        </is>
      </c>
      <c r="C2919" t="inlineStr">
        <is>
          <t>'='附表10'!H31</t>
        </is>
      </c>
      <c r="D2919" t="inlineStr">
        <is>
          <t>c578edc9d313dc36b5da8ad37e41d7a770129a31b128ae0c2ccd9d4fd1dd451f</t>
        </is>
      </c>
    </row>
    <row r="2920">
      <c r="A2920" t="inlineStr">
        <is>
          <t>附表10</t>
        </is>
      </c>
      <c r="B2920" t="inlineStr">
        <is>
          <t>N58</t>
        </is>
      </c>
      <c r="C2920" t="inlineStr">
        <is>
          <t>'='附表10'!H32</t>
        </is>
      </c>
      <c r="D2920" t="inlineStr">
        <is>
          <t>40d36bb0e9189723416223afb3a89f1be3d4d7b23405074bd03f9f1ee175e95c</t>
        </is>
      </c>
    </row>
    <row r="2921">
      <c r="A2921" t="inlineStr">
        <is>
          <t>附表10</t>
        </is>
      </c>
      <c r="B2921" t="inlineStr">
        <is>
          <t>O58</t>
        </is>
      </c>
      <c r="C2921" t="inlineStr">
        <is>
          <t>'='附表10'!H33</t>
        </is>
      </c>
      <c r="D2921" t="inlineStr">
        <is>
          <t>0e3dd052bce606472ccf52db82e31815edd387872952ce7f14b3d7b5e88060d0</t>
        </is>
      </c>
    </row>
    <row r="2922">
      <c r="A2922" t="inlineStr">
        <is>
          <t>附表10</t>
        </is>
      </c>
      <c r="B2922" t="inlineStr">
        <is>
          <t>P58</t>
        </is>
      </c>
      <c r="C2922" t="inlineStr">
        <is>
          <t>'='附表10'!H34</t>
        </is>
      </c>
      <c r="D2922" t="inlineStr">
        <is>
          <t>d6ba36b6f039101209db9b550f890a2f76c897719f4a06fc369ed70fff374806</t>
        </is>
      </c>
    </row>
    <row r="2923">
      <c r="A2923" t="inlineStr">
        <is>
          <t>附表10</t>
        </is>
      </c>
      <c r="B2923" t="inlineStr">
        <is>
          <t>Q58</t>
        </is>
      </c>
      <c r="C2923" t="inlineStr">
        <is>
          <t>'='附表10'!H35</t>
        </is>
      </c>
      <c r="D2923" t="inlineStr">
        <is>
          <t>80cfa3eaf0afb8d28d7da83794d8ed60deff1eac4096a1772a12dafd716d3be6</t>
        </is>
      </c>
    </row>
    <row r="2924">
      <c r="A2924" t="inlineStr">
        <is>
          <t>附表10</t>
        </is>
      </c>
      <c r="B2924" t="inlineStr">
        <is>
          <t>R58</t>
        </is>
      </c>
      <c r="C2924" t="inlineStr">
        <is>
          <t>'='附表10'!H36</t>
        </is>
      </c>
      <c r="D2924" t="inlineStr">
        <is>
          <t>8b9e782d3c0c666126049ea6a536144a623efa823d0ec9493ea66b70f60cf76e</t>
        </is>
      </c>
    </row>
    <row r="2925">
      <c r="A2925" t="inlineStr">
        <is>
          <t>附表10</t>
        </is>
      </c>
      <c r="B2925" t="inlineStr">
        <is>
          <t>S58</t>
        </is>
      </c>
      <c r="C2925" t="inlineStr">
        <is>
          <t>'='附表10'!H37</t>
        </is>
      </c>
      <c r="D2925" t="inlineStr">
        <is>
          <t>2eda7add144fa611385a8e5587534434b4931ed699cc853c3e48f788320eba55</t>
        </is>
      </c>
    </row>
    <row r="2926">
      <c r="A2926" t="inlineStr">
        <is>
          <t>附表10</t>
        </is>
      </c>
      <c r="B2926" t="inlineStr">
        <is>
          <t>T58</t>
        </is>
      </c>
      <c r="C2926" t="inlineStr">
        <is>
          <t>'='附表10'!H38</t>
        </is>
      </c>
      <c r="D2926" t="inlineStr">
        <is>
          <t>ae546841e2f8356a49422b615e6052da6ebc300a2042d67e2bcb64437c5bd859</t>
        </is>
      </c>
    </row>
    <row r="2927">
      <c r="A2927" t="inlineStr">
        <is>
          <t>附表10</t>
        </is>
      </c>
      <c r="B2927" t="inlineStr">
        <is>
          <t>U58</t>
        </is>
      </c>
      <c r="C2927" t="inlineStr">
        <is>
          <t>'='附表10'!H39</t>
        </is>
      </c>
      <c r="D2927" t="inlineStr">
        <is>
          <t>0cb7c0bf15705ba751e8dbf8f2595a1376cda3116fcea948df7748eb3cbfd758</t>
        </is>
      </c>
    </row>
    <row r="2928">
      <c r="A2928" t="inlineStr">
        <is>
          <t>附表10</t>
        </is>
      </c>
      <c r="B2928" t="inlineStr">
        <is>
          <t>V58</t>
        </is>
      </c>
      <c r="C2928" t="inlineStr">
        <is>
          <t>'='附表10'!H40</t>
        </is>
      </c>
      <c r="D2928" t="inlineStr">
        <is>
          <t>fe637e5534c439a392e895812c95e4323d2541946a5f61fbd94b72d8fd6e700f</t>
        </is>
      </c>
    </row>
    <row r="2929">
      <c r="A2929" t="inlineStr">
        <is>
          <t>附表10</t>
        </is>
      </c>
      <c r="B2929" t="inlineStr">
        <is>
          <t>W58</t>
        </is>
      </c>
      <c r="C2929" t="inlineStr">
        <is>
          <t>'='附表10'!H41</t>
        </is>
      </c>
      <c r="D2929" t="inlineStr">
        <is>
          <t>27f2b8004f8f3e5070285caa1235cabc7709e50ffd172c2e1c589a977b3fc25a</t>
        </is>
      </c>
    </row>
    <row r="2930">
      <c r="A2930" t="inlineStr">
        <is>
          <t>附表10</t>
        </is>
      </c>
      <c r="B2930" t="inlineStr">
        <is>
          <t>X58</t>
        </is>
      </c>
      <c r="C2930" t="inlineStr">
        <is>
          <t>'='附表10'!H42</t>
        </is>
      </c>
      <c r="D2930" t="inlineStr">
        <is>
          <t>ec51690af42c7481a37b2887f079433b5a4cdab2a0f1a93ee68edf0647c68fa3</t>
        </is>
      </c>
    </row>
    <row r="2931">
      <c r="A2931" t="inlineStr">
        <is>
          <t>附表10</t>
        </is>
      </c>
      <c r="B2931" t="inlineStr">
        <is>
          <t>Y58</t>
        </is>
      </c>
      <c r="C2931" t="inlineStr">
        <is>
          <t>'='附表10'!H43</t>
        </is>
      </c>
      <c r="D2931" t="inlineStr">
        <is>
          <t>05ff706e04b1c7c26c65da59933b3799f4fc6cd64e9987922cad6ad2f895984f</t>
        </is>
      </c>
    </row>
    <row r="2932">
      <c r="A2932" t="inlineStr">
        <is>
          <t>附表10</t>
        </is>
      </c>
      <c r="B2932" t="inlineStr">
        <is>
          <t>Z58</t>
        </is>
      </c>
      <c r="C2932" t="inlineStr">
        <is>
          <t>'='附表10'!H44</t>
        </is>
      </c>
      <c r="D2932" t="inlineStr">
        <is>
          <t>f6fb83ca56bc569fe212cfb2e6dbdadaba4082b604bef80e941a7836a29cdc9d</t>
        </is>
      </c>
    </row>
    <row r="2933">
      <c r="A2933" t="inlineStr">
        <is>
          <t>附表10</t>
        </is>
      </c>
      <c r="B2933" t="inlineStr">
        <is>
          <t>B59</t>
        </is>
      </c>
      <c r="C2933" t="inlineStr">
        <is>
          <t>'='附表10'!I20</t>
        </is>
      </c>
      <c r="D2933" t="inlineStr">
        <is>
          <t>97bf0140884fe48dd673e5f1e15bc6423cb808670f80e851683421d2412a2e91</t>
        </is>
      </c>
    </row>
    <row r="2934">
      <c r="A2934" t="inlineStr">
        <is>
          <t>附表10</t>
        </is>
      </c>
      <c r="B2934" t="inlineStr">
        <is>
          <t>C59</t>
        </is>
      </c>
      <c r="C2934" t="inlineStr">
        <is>
          <t>'='附表10'!I21</t>
        </is>
      </c>
      <c r="D2934" t="inlineStr">
        <is>
          <t>c8d49bc892de13b20c4b024a160670149e1e58dc2afe01ca6ebf7d4203eca592</t>
        </is>
      </c>
    </row>
    <row r="2935">
      <c r="A2935" t="inlineStr">
        <is>
          <t>附表10</t>
        </is>
      </c>
      <c r="B2935" t="inlineStr">
        <is>
          <t>D59</t>
        </is>
      </c>
      <c r="C2935" t="inlineStr">
        <is>
          <t>'='附表10'!I22</t>
        </is>
      </c>
      <c r="D2935" t="inlineStr">
        <is>
          <t>a29890a5485fef4a527c24f994841339aca8398f42f1380a2cb714e0d7ee9866</t>
        </is>
      </c>
    </row>
    <row r="2936">
      <c r="A2936" t="inlineStr">
        <is>
          <t>附表10</t>
        </is>
      </c>
      <c r="B2936" t="inlineStr">
        <is>
          <t>E59</t>
        </is>
      </c>
      <c r="C2936" t="inlineStr">
        <is>
          <t>'='附表10'!I23</t>
        </is>
      </c>
      <c r="D2936" t="inlineStr">
        <is>
          <t>72f319b16bbee481e0f60f08cd837d3265a7b5da7ba328ccabafaf365363d79a</t>
        </is>
      </c>
    </row>
    <row r="2937">
      <c r="A2937" t="inlineStr">
        <is>
          <t>附表10</t>
        </is>
      </c>
      <c r="B2937" t="inlineStr">
        <is>
          <t>F59</t>
        </is>
      </c>
      <c r="C2937" t="inlineStr">
        <is>
          <t>'='附表10'!I24</t>
        </is>
      </c>
      <c r="D2937" t="inlineStr">
        <is>
          <t>78002f074cd9c10d0c6510943026b2521ca89cc1eed072f48398118fd4ec6bfd</t>
        </is>
      </c>
    </row>
    <row r="2938">
      <c r="A2938" t="inlineStr">
        <is>
          <t>附表10</t>
        </is>
      </c>
      <c r="B2938" t="inlineStr">
        <is>
          <t>G59</t>
        </is>
      </c>
      <c r="C2938" t="inlineStr">
        <is>
          <t>'='附表10'!I25</t>
        </is>
      </c>
      <c r="D2938" t="inlineStr">
        <is>
          <t>46299b87436fbe18cb6cb79cd06779657a6d75f2552cb4f17faceede202a5815</t>
        </is>
      </c>
    </row>
    <row r="2939">
      <c r="A2939" t="inlineStr">
        <is>
          <t>附表10</t>
        </is>
      </c>
      <c r="B2939" t="inlineStr">
        <is>
          <t>H59</t>
        </is>
      </c>
      <c r="C2939" t="inlineStr">
        <is>
          <t>'='附表10'!I26</t>
        </is>
      </c>
      <c r="D2939" t="inlineStr">
        <is>
          <t>ef8fdb2141a3daeba5e4dc480b0a229421c0bba3e4c6c52f12672216244d1b26</t>
        </is>
      </c>
    </row>
    <row r="2940">
      <c r="A2940" t="inlineStr">
        <is>
          <t>附表10</t>
        </is>
      </c>
      <c r="B2940" t="inlineStr">
        <is>
          <t>I59</t>
        </is>
      </c>
      <c r="C2940" t="inlineStr">
        <is>
          <t>'='附表10'!I27</t>
        </is>
      </c>
      <c r="D2940" t="inlineStr">
        <is>
          <t>51e010c35c84d565312f5fe4a719fa2d8ba1c2f3b2944c6e7658427971c78daf</t>
        </is>
      </c>
    </row>
    <row r="2941">
      <c r="A2941" t="inlineStr">
        <is>
          <t>附表10</t>
        </is>
      </c>
      <c r="B2941" t="inlineStr">
        <is>
          <t>J59</t>
        </is>
      </c>
      <c r="C2941" t="inlineStr">
        <is>
          <t>'='附表10'!I28</t>
        </is>
      </c>
      <c r="D2941" t="inlineStr">
        <is>
          <t>5684ebb99d6f86852fcbd1f4f59831381f52b146e59c7ec18d183c5fb4a11af7</t>
        </is>
      </c>
    </row>
    <row r="2942">
      <c r="A2942" t="inlineStr">
        <is>
          <t>附表10</t>
        </is>
      </c>
      <c r="B2942" t="inlineStr">
        <is>
          <t>K59</t>
        </is>
      </c>
      <c r="C2942" t="inlineStr">
        <is>
          <t>'='附表10'!I29</t>
        </is>
      </c>
      <c r="D2942" t="inlineStr">
        <is>
          <t>b9df62f5b584bbe6b76d49b91afb265a120754f6ec1fd90c9d5f5d4bfcfbc241</t>
        </is>
      </c>
    </row>
    <row r="2943">
      <c r="A2943" t="inlineStr">
        <is>
          <t>附表10</t>
        </is>
      </c>
      <c r="B2943" t="inlineStr">
        <is>
          <t>L59</t>
        </is>
      </c>
      <c r="C2943" t="inlineStr">
        <is>
          <t>'='附表10'!I30</t>
        </is>
      </c>
      <c r="D2943" t="inlineStr">
        <is>
          <t>adf7bc76f8ead1921d40dff19a93ea8805e74f98bc649ee2710d197242d35541</t>
        </is>
      </c>
    </row>
    <row r="2944">
      <c r="A2944" t="inlineStr">
        <is>
          <t>附表10</t>
        </is>
      </c>
      <c r="B2944" t="inlineStr">
        <is>
          <t>M59</t>
        </is>
      </c>
      <c r="C2944" t="inlineStr">
        <is>
          <t>'='附表10'!I31</t>
        </is>
      </c>
      <c r="D2944" t="inlineStr">
        <is>
          <t>ff198af6a22ce1ae0f7e57bc8bfb9c7e230ff036c7ba00294e52eb54cfef56fc</t>
        </is>
      </c>
    </row>
    <row r="2945">
      <c r="A2945" t="inlineStr">
        <is>
          <t>附表10</t>
        </is>
      </c>
      <c r="B2945" t="inlineStr">
        <is>
          <t>N59</t>
        </is>
      </c>
      <c r="C2945" t="inlineStr">
        <is>
          <t>'='附表10'!I32</t>
        </is>
      </c>
      <c r="D2945" t="inlineStr">
        <is>
          <t>9ea8432c421754385c22783c9cb26141958177830dab5d03fc444be633053058</t>
        </is>
      </c>
    </row>
    <row r="2946">
      <c r="A2946" t="inlineStr">
        <is>
          <t>附表10</t>
        </is>
      </c>
      <c r="B2946" t="inlineStr">
        <is>
          <t>O59</t>
        </is>
      </c>
      <c r="C2946" t="inlineStr">
        <is>
          <t>'='附表10'!I33</t>
        </is>
      </c>
      <c r="D2946" t="inlineStr">
        <is>
          <t>2f6b85d2ebbe24741f808e4c0f958c51ccfe740e7cd4d52a0bb644071d6958df</t>
        </is>
      </c>
    </row>
    <row r="2947">
      <c r="A2947" t="inlineStr">
        <is>
          <t>附表10</t>
        </is>
      </c>
      <c r="B2947" t="inlineStr">
        <is>
          <t>P59</t>
        </is>
      </c>
      <c r="C2947" t="inlineStr">
        <is>
          <t>'='附表10'!I34</t>
        </is>
      </c>
      <c r="D2947" t="inlineStr">
        <is>
          <t>c35db22397297dc0c99aa13b99ec99a03f77b5124f8b222ad6763b8c0db6171a</t>
        </is>
      </c>
    </row>
    <row r="2948">
      <c r="A2948" t="inlineStr">
        <is>
          <t>附表10</t>
        </is>
      </c>
      <c r="B2948" t="inlineStr">
        <is>
          <t>Q59</t>
        </is>
      </c>
      <c r="C2948" t="inlineStr">
        <is>
          <t>'='附表10'!I35</t>
        </is>
      </c>
      <c r="D2948" t="inlineStr">
        <is>
          <t>cbdb8551d7ff1a6dde3790571379df15c744cbb0c31668cc84db2647228d970d</t>
        </is>
      </c>
    </row>
    <row r="2949">
      <c r="A2949" t="inlineStr">
        <is>
          <t>附表10</t>
        </is>
      </c>
      <c r="B2949" t="inlineStr">
        <is>
          <t>R59</t>
        </is>
      </c>
      <c r="C2949" t="inlineStr">
        <is>
          <t>'='附表10'!I36</t>
        </is>
      </c>
      <c r="D2949" t="inlineStr">
        <is>
          <t>c0f62554c07650cdad6692bcede4f40ef578c3eea68c6e5a5a577529412cb8ae</t>
        </is>
      </c>
    </row>
    <row r="2950">
      <c r="A2950" t="inlineStr">
        <is>
          <t>附表10</t>
        </is>
      </c>
      <c r="B2950" t="inlineStr">
        <is>
          <t>S59</t>
        </is>
      </c>
      <c r="C2950" t="inlineStr">
        <is>
          <t>'='附表10'!I37</t>
        </is>
      </c>
      <c r="D2950" t="inlineStr">
        <is>
          <t>d4ed939f499d7ebf3127e15d08bca086e31f205e26887249c2ecc6045dd6be03</t>
        </is>
      </c>
    </row>
    <row r="2951">
      <c r="A2951" t="inlineStr">
        <is>
          <t>附表10</t>
        </is>
      </c>
      <c r="B2951" t="inlineStr">
        <is>
          <t>T59</t>
        </is>
      </c>
      <c r="C2951" t="inlineStr">
        <is>
          <t>'='附表10'!I38</t>
        </is>
      </c>
      <c r="D2951" t="inlineStr">
        <is>
          <t>14843f09180c26a9a434138a9ec5657c6fd699f562b24d6751a7d35670d8e641</t>
        </is>
      </c>
    </row>
    <row r="2952">
      <c r="A2952" t="inlineStr">
        <is>
          <t>附表10</t>
        </is>
      </c>
      <c r="B2952" t="inlineStr">
        <is>
          <t>U59</t>
        </is>
      </c>
      <c r="C2952" t="inlineStr">
        <is>
          <t>'='附表10'!I39</t>
        </is>
      </c>
      <c r="D2952" t="inlineStr">
        <is>
          <t>54daa3f31c1ecdc727aa7e94160020c0560398206b05caf55d5d3e38ce962f6b</t>
        </is>
      </c>
    </row>
    <row r="2953">
      <c r="A2953" t="inlineStr">
        <is>
          <t>附表10</t>
        </is>
      </c>
      <c r="B2953" t="inlineStr">
        <is>
          <t>V59</t>
        </is>
      </c>
      <c r="C2953" t="inlineStr">
        <is>
          <t>'='附表10'!I40</t>
        </is>
      </c>
      <c r="D2953" t="inlineStr">
        <is>
          <t>df3bd3173634080197a52d7d0d1612d92f83c4faeb6641ae03515304e17a1071</t>
        </is>
      </c>
    </row>
    <row r="2954">
      <c r="A2954" t="inlineStr">
        <is>
          <t>附表10</t>
        </is>
      </c>
      <c r="B2954" t="inlineStr">
        <is>
          <t>W59</t>
        </is>
      </c>
      <c r="C2954" t="inlineStr">
        <is>
          <t>'='附表10'!I41</t>
        </is>
      </c>
      <c r="D2954" t="inlineStr">
        <is>
          <t>39f6982b870934a23a8a313e965365574db52146b33227ab689a1a33c060d2ee</t>
        </is>
      </c>
    </row>
    <row r="2955">
      <c r="A2955" t="inlineStr">
        <is>
          <t>附表10</t>
        </is>
      </c>
      <c r="B2955" t="inlineStr">
        <is>
          <t>X59</t>
        </is>
      </c>
      <c r="C2955" t="inlineStr">
        <is>
          <t>'='附表10'!I42</t>
        </is>
      </c>
      <c r="D2955" t="inlineStr">
        <is>
          <t>414c43df18f2dfd127c2e216a70a555c3b4b8c8ebe3bcc8088c10dd57bece945</t>
        </is>
      </c>
    </row>
    <row r="2956">
      <c r="A2956" t="inlineStr">
        <is>
          <t>附表10</t>
        </is>
      </c>
      <c r="B2956" t="inlineStr">
        <is>
          <t>Y59</t>
        </is>
      </c>
      <c r="C2956" t="inlineStr">
        <is>
          <t>'='附表10'!I43</t>
        </is>
      </c>
      <c r="D2956" t="inlineStr">
        <is>
          <t>5f735a6fa52a44df7b0c774357e6d4d6ac7b029e96628da228fe1ad8b769f408</t>
        </is>
      </c>
    </row>
    <row r="2957">
      <c r="A2957" t="inlineStr">
        <is>
          <t>附表10</t>
        </is>
      </c>
      <c r="B2957" t="inlineStr">
        <is>
          <t>Z59</t>
        </is>
      </c>
      <c r="C2957" t="inlineStr">
        <is>
          <t>'='附表10'!I44</t>
        </is>
      </c>
      <c r="D2957" t="inlineStr">
        <is>
          <t>34bbdb64ecce064551d79cecb8e9a8ef0d7b11c0f4cae2ae959a6263b824041b</t>
        </is>
      </c>
    </row>
    <row r="2958">
      <c r="A2958" t="inlineStr">
        <is>
          <t>附表10</t>
        </is>
      </c>
      <c r="B2958" t="inlineStr">
        <is>
          <t>B60</t>
        </is>
      </c>
      <c r="C2958" t="inlineStr">
        <is>
          <t>'='附表10'!M20</t>
        </is>
      </c>
      <c r="D2958" t="inlineStr">
        <is>
          <t>29379457b115c214022ffac8ea6734357fef28d94fc9c0c67914eb2f75b95ae2</t>
        </is>
      </c>
    </row>
    <row r="2959">
      <c r="A2959" t="inlineStr">
        <is>
          <t>附表10</t>
        </is>
      </c>
      <c r="B2959" t="inlineStr">
        <is>
          <t>C60</t>
        </is>
      </c>
      <c r="C2959" t="inlineStr">
        <is>
          <t>'='附表10'!M21</t>
        </is>
      </c>
      <c r="D2959" t="inlineStr">
        <is>
          <t>c740172bc40ebb2e83832c7b2e462df81fc089202adb80262e5b1e8cc4fb7d10</t>
        </is>
      </c>
    </row>
    <row r="2960">
      <c r="A2960" t="inlineStr">
        <is>
          <t>附表10</t>
        </is>
      </c>
      <c r="B2960" t="inlineStr">
        <is>
          <t>D60</t>
        </is>
      </c>
      <c r="C2960" t="inlineStr">
        <is>
          <t>'='附表10'!M22</t>
        </is>
      </c>
      <c r="D2960" t="inlineStr">
        <is>
          <t>62a53fdf50808b0ac4f12a3df3d30c39263d39f51ff6355ea5076d23f9ec6071</t>
        </is>
      </c>
    </row>
    <row r="2961">
      <c r="A2961" t="inlineStr">
        <is>
          <t>附表10</t>
        </is>
      </c>
      <c r="B2961" t="inlineStr">
        <is>
          <t>E60</t>
        </is>
      </c>
      <c r="C2961" t="inlineStr">
        <is>
          <t>'='附表10'!M23</t>
        </is>
      </c>
      <c r="D2961" t="inlineStr">
        <is>
          <t>58fdd1c3ff71ee5b11dcb5fee2cf63043de24f5e11c9edfcfb7c9b5534365273</t>
        </is>
      </c>
    </row>
    <row r="2962">
      <c r="A2962" t="inlineStr">
        <is>
          <t>附表10</t>
        </is>
      </c>
      <c r="B2962" t="inlineStr">
        <is>
          <t>F60</t>
        </is>
      </c>
      <c r="C2962" t="inlineStr">
        <is>
          <t>'='附表10'!M24</t>
        </is>
      </c>
      <c r="D2962" t="inlineStr">
        <is>
          <t>6ec398fea4bed3df75fca2aad163f20b2fde49299fa4173704b835a6425c176b</t>
        </is>
      </c>
    </row>
    <row r="2963">
      <c r="A2963" t="inlineStr">
        <is>
          <t>附表10</t>
        </is>
      </c>
      <c r="B2963" t="inlineStr">
        <is>
          <t>G60</t>
        </is>
      </c>
      <c r="C2963" t="inlineStr">
        <is>
          <t>'='附表10'!M25</t>
        </is>
      </c>
      <c r="D2963" t="inlineStr">
        <is>
          <t>b8b7a0d8cb60f2858b50f5d39760530fbb394e4ff2994c0938673d6e21f2c075</t>
        </is>
      </c>
    </row>
    <row r="2964">
      <c r="A2964" t="inlineStr">
        <is>
          <t>附表10</t>
        </is>
      </c>
      <c r="B2964" t="inlineStr">
        <is>
          <t>H60</t>
        </is>
      </c>
      <c r="C2964" t="inlineStr">
        <is>
          <t>'='附表10'!M26</t>
        </is>
      </c>
      <c r="D2964" t="inlineStr">
        <is>
          <t>145bc8b1d1492ef11edd2f5b214efd30e2464632e1f1fbbedd1cea4095412185</t>
        </is>
      </c>
    </row>
    <row r="2965">
      <c r="A2965" t="inlineStr">
        <is>
          <t>附表10</t>
        </is>
      </c>
      <c r="B2965" t="inlineStr">
        <is>
          <t>I60</t>
        </is>
      </c>
      <c r="C2965" t="inlineStr">
        <is>
          <t>'='附表10'!M27</t>
        </is>
      </c>
      <c r="D2965" t="inlineStr">
        <is>
          <t>0bdc90ccccd3f86cf97aa3f9307c2e9ed4d50bdf84521ed0bd2865a051f5ffea</t>
        </is>
      </c>
    </row>
    <row r="2966">
      <c r="A2966" t="inlineStr">
        <is>
          <t>附表10</t>
        </is>
      </c>
      <c r="B2966" t="inlineStr">
        <is>
          <t>J60</t>
        </is>
      </c>
      <c r="C2966" t="inlineStr">
        <is>
          <t>'='附表10'!M28</t>
        </is>
      </c>
      <c r="D2966" t="inlineStr">
        <is>
          <t>af543f52f1f94dd46682c90a6b955ec208471a9aa8b7914ceab5a234b57c5485</t>
        </is>
      </c>
    </row>
    <row r="2967">
      <c r="A2967" t="inlineStr">
        <is>
          <t>附表10</t>
        </is>
      </c>
      <c r="B2967" t="inlineStr">
        <is>
          <t>K60</t>
        </is>
      </c>
      <c r="C2967" t="inlineStr">
        <is>
          <t>'='附表10'!M29</t>
        </is>
      </c>
      <c r="D2967" t="inlineStr">
        <is>
          <t>122e288bceb8e62380f73b0a9aee0f2f7cf3b9d0f3355b9f2e4d090aaa50bb1b</t>
        </is>
      </c>
    </row>
    <row r="2968">
      <c r="A2968" t="inlineStr">
        <is>
          <t>附表10</t>
        </is>
      </c>
      <c r="B2968" t="inlineStr">
        <is>
          <t>L60</t>
        </is>
      </c>
      <c r="C2968" t="inlineStr">
        <is>
          <t>'='附表10'!M30</t>
        </is>
      </c>
      <c r="D2968" t="inlineStr">
        <is>
          <t>1decb176ce62e9b277dbb4aaacecc7507727527bcf57a1b71374a0911ee58063</t>
        </is>
      </c>
    </row>
    <row r="2969">
      <c r="A2969" t="inlineStr">
        <is>
          <t>附表10</t>
        </is>
      </c>
      <c r="B2969" t="inlineStr">
        <is>
          <t>M60</t>
        </is>
      </c>
      <c r="C2969" t="inlineStr">
        <is>
          <t>'='附表10'!M31</t>
        </is>
      </c>
      <c r="D2969" t="inlineStr">
        <is>
          <t>7d9a1e3d609cb89eb1e0efd7fdf56c58e61931992cfc5282884752ccde0d8a0b</t>
        </is>
      </c>
    </row>
    <row r="2970">
      <c r="A2970" t="inlineStr">
        <is>
          <t>附表10</t>
        </is>
      </c>
      <c r="B2970" t="inlineStr">
        <is>
          <t>N60</t>
        </is>
      </c>
      <c r="C2970" t="inlineStr">
        <is>
          <t>'='附表10'!M32</t>
        </is>
      </c>
      <c r="D2970" t="inlineStr">
        <is>
          <t>3373caff8736e6b04b40223f3804895ec8db71956cd3fc24207c314099f1de9b</t>
        </is>
      </c>
    </row>
    <row r="2971">
      <c r="A2971" t="inlineStr">
        <is>
          <t>附表10</t>
        </is>
      </c>
      <c r="B2971" t="inlineStr">
        <is>
          <t>O60</t>
        </is>
      </c>
      <c r="C2971" t="inlineStr">
        <is>
          <t>'='附表10'!M33</t>
        </is>
      </c>
      <c r="D2971" t="inlineStr">
        <is>
          <t>ffa13cdd49bc78b1895003ea07347bb74d5bd6f28dfb60b17b87dec262e2a588</t>
        </is>
      </c>
    </row>
    <row r="2972">
      <c r="A2972" t="inlineStr">
        <is>
          <t>附表10</t>
        </is>
      </c>
      <c r="B2972" t="inlineStr">
        <is>
          <t>P60</t>
        </is>
      </c>
      <c r="C2972" t="inlineStr">
        <is>
          <t>'='附表10'!M34</t>
        </is>
      </c>
      <c r="D2972" t="inlineStr">
        <is>
          <t>507052b8ae88825b60aa77a42248ae2c56cd1df16c40cb5c88b28456cb43fd9b</t>
        </is>
      </c>
    </row>
    <row r="2973">
      <c r="A2973" t="inlineStr">
        <is>
          <t>附表10</t>
        </is>
      </c>
      <c r="B2973" t="inlineStr">
        <is>
          <t>Q60</t>
        </is>
      </c>
      <c r="C2973" t="inlineStr">
        <is>
          <t>'='附表10'!M35</t>
        </is>
      </c>
      <c r="D2973" t="inlineStr">
        <is>
          <t>0738a3a93dcd1e80bf49b7fdcf5771774a0a43accdf89dfae5a3055f5c3ffb20</t>
        </is>
      </c>
    </row>
    <row r="2974">
      <c r="A2974" t="inlineStr">
        <is>
          <t>附表10</t>
        </is>
      </c>
      <c r="B2974" t="inlineStr">
        <is>
          <t>R60</t>
        </is>
      </c>
      <c r="C2974" t="inlineStr">
        <is>
          <t>'='附表10'!M36</t>
        </is>
      </c>
      <c r="D2974" t="inlineStr">
        <is>
          <t>6b73d415c732acd9f1efc6eb75dae47e8dacbb80e51b9676fbb90ec8db9da42a</t>
        </is>
      </c>
    </row>
    <row r="2975">
      <c r="A2975" t="inlineStr">
        <is>
          <t>附表10</t>
        </is>
      </c>
      <c r="B2975" t="inlineStr">
        <is>
          <t>S60</t>
        </is>
      </c>
      <c r="C2975" t="inlineStr">
        <is>
          <t>'='附表10'!M37</t>
        </is>
      </c>
      <c r="D2975" t="inlineStr">
        <is>
          <t>6b5616c47ff5d081b249fa1fe21f26ad79daa62ba7190d3f38202f1f799acf79</t>
        </is>
      </c>
    </row>
    <row r="2976">
      <c r="A2976" t="inlineStr">
        <is>
          <t>附表10</t>
        </is>
      </c>
      <c r="B2976" t="inlineStr">
        <is>
          <t>T60</t>
        </is>
      </c>
      <c r="C2976" t="inlineStr">
        <is>
          <t>'='附表10'!M38</t>
        </is>
      </c>
      <c r="D2976" t="inlineStr">
        <is>
          <t>31fd60589d25e7aa6c83b1b5d2dddb5cf1fc588fe28030c410aaebb643a53bf9</t>
        </is>
      </c>
    </row>
    <row r="2977">
      <c r="A2977" t="inlineStr">
        <is>
          <t>附表10</t>
        </is>
      </c>
      <c r="B2977" t="inlineStr">
        <is>
          <t>U60</t>
        </is>
      </c>
      <c r="C2977" t="inlineStr">
        <is>
          <t>'='附表10'!M39</t>
        </is>
      </c>
      <c r="D2977" t="inlineStr">
        <is>
          <t>3e9a042f6ae9ad07456d70380ee12a350393a9313605301e6d85c44b4268dd4f</t>
        </is>
      </c>
    </row>
    <row r="2978">
      <c r="A2978" t="inlineStr">
        <is>
          <t>附表10</t>
        </is>
      </c>
      <c r="B2978" t="inlineStr">
        <is>
          <t>V60</t>
        </is>
      </c>
      <c r="C2978" t="inlineStr">
        <is>
          <t>'='附表10'!M40</t>
        </is>
      </c>
      <c r="D2978" t="inlineStr">
        <is>
          <t>c58660f728caa2a1f305e5e6a6d1957db36c77c2befd3f2a13abad97100d0d07</t>
        </is>
      </c>
    </row>
    <row r="2979">
      <c r="A2979" t="inlineStr">
        <is>
          <t>附表10</t>
        </is>
      </c>
      <c r="B2979" t="inlineStr">
        <is>
          <t>W60</t>
        </is>
      </c>
      <c r="C2979" t="inlineStr">
        <is>
          <t>'='附表10'!M41</t>
        </is>
      </c>
      <c r="D2979" t="inlineStr">
        <is>
          <t>935b5bc35c181181a0d6325d6680d11294990de5f68daa34239a4f0c5e01e77a</t>
        </is>
      </c>
    </row>
    <row r="2980">
      <c r="A2980" t="inlineStr">
        <is>
          <t>附表10</t>
        </is>
      </c>
      <c r="B2980" t="inlineStr">
        <is>
          <t>X60</t>
        </is>
      </c>
      <c r="C2980" t="inlineStr">
        <is>
          <t>'='附表10'!M42</t>
        </is>
      </c>
      <c r="D2980" t="inlineStr">
        <is>
          <t>6b17aac90374cd9e6db37e9edef1d9f99419cc257968fcbef6181874b027f1c1</t>
        </is>
      </c>
    </row>
    <row r="2981">
      <c r="A2981" t="inlineStr">
        <is>
          <t>附表10</t>
        </is>
      </c>
      <c r="B2981" t="inlineStr">
        <is>
          <t>Y60</t>
        </is>
      </c>
      <c r="C2981" t="inlineStr">
        <is>
          <t>'='附表10'!M43</t>
        </is>
      </c>
      <c r="D2981" t="inlineStr">
        <is>
          <t>305cfca82824954faa1d35fe8ea784c611d43ec6731e94c2d8b1204daff63694</t>
        </is>
      </c>
    </row>
    <row r="2982">
      <c r="A2982" t="inlineStr">
        <is>
          <t>附表10</t>
        </is>
      </c>
      <c r="B2982" t="inlineStr">
        <is>
          <t>Z60</t>
        </is>
      </c>
      <c r="C2982" t="inlineStr">
        <is>
          <t>'='附表10'!M44</t>
        </is>
      </c>
      <c r="D2982" t="inlineStr">
        <is>
          <t>6271bf93f1aae3fd64844293113ec1e619ad0dd803fd46666775150d5860cced</t>
        </is>
      </c>
    </row>
    <row r="2983">
      <c r="A2983" t="inlineStr">
        <is>
          <t>附表10</t>
        </is>
      </c>
      <c r="B2983" t="inlineStr">
        <is>
          <t>B61</t>
        </is>
      </c>
      <c r="C2983" t="inlineStr">
        <is>
          <t>'='附表10'!N20</t>
        </is>
      </c>
      <c r="D2983" t="inlineStr">
        <is>
          <t>f5f8a18cb37f0f529410ec6703017f11fa8f457e6a7aad5879f8747da3aacea6</t>
        </is>
      </c>
    </row>
    <row r="2984">
      <c r="A2984" t="inlineStr">
        <is>
          <t>附表10</t>
        </is>
      </c>
      <c r="B2984" t="inlineStr">
        <is>
          <t>C61</t>
        </is>
      </c>
      <c r="C2984" t="inlineStr">
        <is>
          <t>'='附表10'!N21</t>
        </is>
      </c>
      <c r="D2984" t="inlineStr">
        <is>
          <t>8b717e6d471a37aecf84ac9a717edfc97516c87fececac0facbfbaabee359a07</t>
        </is>
      </c>
    </row>
    <row r="2985">
      <c r="A2985" t="inlineStr">
        <is>
          <t>附表10</t>
        </is>
      </c>
      <c r="B2985" t="inlineStr">
        <is>
          <t>D61</t>
        </is>
      </c>
      <c r="C2985" t="inlineStr">
        <is>
          <t>'='附表10'!N22</t>
        </is>
      </c>
      <c r="D2985" t="inlineStr">
        <is>
          <t>c7cb68428cde7ee6a582b0b93f1d5bd82e09d35ce7143dde19cba63daeaf0e92</t>
        </is>
      </c>
    </row>
    <row r="2986">
      <c r="A2986" t="inlineStr">
        <is>
          <t>附表10</t>
        </is>
      </c>
      <c r="B2986" t="inlineStr">
        <is>
          <t>E61</t>
        </is>
      </c>
      <c r="C2986" t="inlineStr">
        <is>
          <t>'='附表10'!N23</t>
        </is>
      </c>
      <c r="D2986" t="inlineStr">
        <is>
          <t>d61b39bf9f3db8a3a5e19b46fc05527eac9a8a144b7995cfb0b661200c53bf21</t>
        </is>
      </c>
    </row>
    <row r="2987">
      <c r="A2987" t="inlineStr">
        <is>
          <t>附表10</t>
        </is>
      </c>
      <c r="B2987" t="inlineStr">
        <is>
          <t>F61</t>
        </is>
      </c>
      <c r="C2987" t="inlineStr">
        <is>
          <t>'='附表10'!N24</t>
        </is>
      </c>
      <c r="D2987" t="inlineStr">
        <is>
          <t>69a0e84f4340f4e486ebfa1631a1f2f478e59e5ddc59fdb766ccb4b31627f0e2</t>
        </is>
      </c>
    </row>
    <row r="2988">
      <c r="A2988" t="inlineStr">
        <is>
          <t>附表10</t>
        </is>
      </c>
      <c r="B2988" t="inlineStr">
        <is>
          <t>G61</t>
        </is>
      </c>
      <c r="C2988" t="inlineStr">
        <is>
          <t>'='附表10'!N25</t>
        </is>
      </c>
      <c r="D2988" t="inlineStr">
        <is>
          <t>4dececdd82bca807d31c3fe961bfb0629426bf64897027ffa10b1bc5abd86770</t>
        </is>
      </c>
    </row>
    <row r="2989">
      <c r="A2989" t="inlineStr">
        <is>
          <t>附表10</t>
        </is>
      </c>
      <c r="B2989" t="inlineStr">
        <is>
          <t>H61</t>
        </is>
      </c>
      <c r="C2989" t="inlineStr">
        <is>
          <t>'='附表10'!N26</t>
        </is>
      </c>
      <c r="D2989" t="inlineStr">
        <is>
          <t>a738a3bd4bd074d6d4f8e6538ead685b3c9e20f9267c8556863ceacadc648093</t>
        </is>
      </c>
    </row>
    <row r="2990">
      <c r="A2990" t="inlineStr">
        <is>
          <t>附表10</t>
        </is>
      </c>
      <c r="B2990" t="inlineStr">
        <is>
          <t>I61</t>
        </is>
      </c>
      <c r="C2990" t="inlineStr">
        <is>
          <t>'='附表10'!N27</t>
        </is>
      </c>
      <c r="D2990" t="inlineStr">
        <is>
          <t>79101dc08c0b952c73b0b65e03f8fe0bd4bd0a9e4bb7d6532a8cdb309c0e22be</t>
        </is>
      </c>
    </row>
    <row r="2991">
      <c r="A2991" t="inlineStr">
        <is>
          <t>附表10</t>
        </is>
      </c>
      <c r="B2991" t="inlineStr">
        <is>
          <t>J61</t>
        </is>
      </c>
      <c r="C2991" t="inlineStr">
        <is>
          <t>'='附表10'!N28</t>
        </is>
      </c>
      <c r="D2991" t="inlineStr">
        <is>
          <t>a50a04ff3c4daf907ae58fdb5713bfb9abcf225d5f09e8e31f389f7449f6562f</t>
        </is>
      </c>
    </row>
    <row r="2992">
      <c r="A2992" t="inlineStr">
        <is>
          <t>附表10</t>
        </is>
      </c>
      <c r="B2992" t="inlineStr">
        <is>
          <t>K61</t>
        </is>
      </c>
      <c r="C2992" t="inlineStr">
        <is>
          <t>'='附表10'!N29</t>
        </is>
      </c>
      <c r="D2992" t="inlineStr">
        <is>
          <t>d0bf5373712f38d72f37805b86396ecb4e1e53665daecb491b235a911ea2b14c</t>
        </is>
      </c>
    </row>
    <row r="2993">
      <c r="A2993" t="inlineStr">
        <is>
          <t>附表10</t>
        </is>
      </c>
      <c r="B2993" t="inlineStr">
        <is>
          <t>L61</t>
        </is>
      </c>
      <c r="C2993" t="inlineStr">
        <is>
          <t>'='附表10'!N30</t>
        </is>
      </c>
      <c r="D2993" t="inlineStr">
        <is>
          <t>3788039e3f5f17f2f71ea50515e95033bd158110ea107b0c054283e55bbdc541</t>
        </is>
      </c>
    </row>
    <row r="2994">
      <c r="A2994" t="inlineStr">
        <is>
          <t>附表10</t>
        </is>
      </c>
      <c r="B2994" t="inlineStr">
        <is>
          <t>M61</t>
        </is>
      </c>
      <c r="C2994" t="inlineStr">
        <is>
          <t>'='附表10'!N31</t>
        </is>
      </c>
      <c r="D2994" t="inlineStr">
        <is>
          <t>80b83fab294dfe15bf7f58e233ba3cfbca45aaab01a159c3379da11568d010cc</t>
        </is>
      </c>
    </row>
    <row r="2995">
      <c r="A2995" t="inlineStr">
        <is>
          <t>附表10</t>
        </is>
      </c>
      <c r="B2995" t="inlineStr">
        <is>
          <t>N61</t>
        </is>
      </c>
      <c r="C2995" t="inlineStr">
        <is>
          <t>'='附表10'!N32</t>
        </is>
      </c>
      <c r="D2995" t="inlineStr">
        <is>
          <t>da577d5ea4f642f83e555576bba0e1daedd4e7943a1dd2ce817fc0cc7ec75222</t>
        </is>
      </c>
    </row>
    <row r="2996">
      <c r="A2996" t="inlineStr">
        <is>
          <t>附表10</t>
        </is>
      </c>
      <c r="B2996" t="inlineStr">
        <is>
          <t>O61</t>
        </is>
      </c>
      <c r="C2996" t="inlineStr">
        <is>
          <t>'='附表10'!N33</t>
        </is>
      </c>
      <c r="D2996" t="inlineStr">
        <is>
          <t>6e79d53fadbc35909a93ad84120aa53585707781a1471267937cac46615e125c</t>
        </is>
      </c>
    </row>
    <row r="2997">
      <c r="A2997" t="inlineStr">
        <is>
          <t>附表10</t>
        </is>
      </c>
      <c r="B2997" t="inlineStr">
        <is>
          <t>P61</t>
        </is>
      </c>
      <c r="C2997" t="inlineStr">
        <is>
          <t>'='附表10'!N34</t>
        </is>
      </c>
      <c r="D2997" t="inlineStr">
        <is>
          <t>4cba8a8d246d331131a09458e3a022858b74c073f31a1035f5a8805063d3a89a</t>
        </is>
      </c>
    </row>
    <row r="2998">
      <c r="A2998" t="inlineStr">
        <is>
          <t>附表10</t>
        </is>
      </c>
      <c r="B2998" t="inlineStr">
        <is>
          <t>Q61</t>
        </is>
      </c>
      <c r="C2998" t="inlineStr">
        <is>
          <t>'='附表10'!N35</t>
        </is>
      </c>
      <c r="D2998" t="inlineStr">
        <is>
          <t>f237e495037d7dc1caab6dbf62163676969aa635a2887ca2fb6fd6538c550b6e</t>
        </is>
      </c>
    </row>
    <row r="2999">
      <c r="A2999" t="inlineStr">
        <is>
          <t>附表10</t>
        </is>
      </c>
      <c r="B2999" t="inlineStr">
        <is>
          <t>R61</t>
        </is>
      </c>
      <c r="C2999" t="inlineStr">
        <is>
          <t>'='附表10'!N36</t>
        </is>
      </c>
      <c r="D2999" t="inlineStr">
        <is>
          <t>4102e1c1453bab66f857597e3e712c684b41c96a2a1d7ac06f80d9349cbc1886</t>
        </is>
      </c>
    </row>
    <row r="3000">
      <c r="A3000" t="inlineStr">
        <is>
          <t>附表10</t>
        </is>
      </c>
      <c r="B3000" t="inlineStr">
        <is>
          <t>S61</t>
        </is>
      </c>
      <c r="C3000" t="inlineStr">
        <is>
          <t>'='附表10'!N37</t>
        </is>
      </c>
      <c r="D3000" t="inlineStr">
        <is>
          <t>55810d87024667bb2da6108e913a96315d28bb700abbc6102cc6af8188a8a26c</t>
        </is>
      </c>
    </row>
    <row r="3001">
      <c r="A3001" t="inlineStr">
        <is>
          <t>附表10</t>
        </is>
      </c>
      <c r="B3001" t="inlineStr">
        <is>
          <t>T61</t>
        </is>
      </c>
      <c r="C3001" t="inlineStr">
        <is>
          <t>'='附表10'!N38</t>
        </is>
      </c>
      <c r="D3001" t="inlineStr">
        <is>
          <t>ae04dfab636b7208e276b7458866365562545a7d4339e6e53038941db485f413</t>
        </is>
      </c>
    </row>
    <row r="3002">
      <c r="A3002" t="inlineStr">
        <is>
          <t>附表10</t>
        </is>
      </c>
      <c r="B3002" t="inlineStr">
        <is>
          <t>U61</t>
        </is>
      </c>
      <c r="C3002" t="inlineStr">
        <is>
          <t>'='附表10'!N39</t>
        </is>
      </c>
      <c r="D3002" t="inlineStr">
        <is>
          <t>3ad436463c09e1ea68ecf2050afd64601d49b9b19b9c5e45bc8dfc2db582dd88</t>
        </is>
      </c>
    </row>
    <row r="3003">
      <c r="A3003" t="inlineStr">
        <is>
          <t>附表10</t>
        </is>
      </c>
      <c r="B3003" t="inlineStr">
        <is>
          <t>V61</t>
        </is>
      </c>
      <c r="C3003" t="inlineStr">
        <is>
          <t>'='附表10'!N40</t>
        </is>
      </c>
      <c r="D3003" t="inlineStr">
        <is>
          <t>b2f010403d5045dc13dcfc17dceb309950fc9630ed143e8aa2c6252fd6e706b3</t>
        </is>
      </c>
    </row>
    <row r="3004">
      <c r="A3004" t="inlineStr">
        <is>
          <t>附表10</t>
        </is>
      </c>
      <c r="B3004" t="inlineStr">
        <is>
          <t>W61</t>
        </is>
      </c>
      <c r="C3004" t="inlineStr">
        <is>
          <t>'='附表10'!N41</t>
        </is>
      </c>
      <c r="D3004" t="inlineStr">
        <is>
          <t>93f0bb96898491025c62dd996d4eddbda5d1487f84e2dfe32d5de731b950bdee</t>
        </is>
      </c>
    </row>
    <row r="3005">
      <c r="A3005" t="inlineStr">
        <is>
          <t>附表10</t>
        </is>
      </c>
      <c r="B3005" t="inlineStr">
        <is>
          <t>X61</t>
        </is>
      </c>
      <c r="C3005" t="inlineStr">
        <is>
          <t>'='附表10'!N42</t>
        </is>
      </c>
      <c r="D3005" t="inlineStr">
        <is>
          <t>e020b8e34ab7287992c7614c1a730e335b8381404113063ed34981a046a33cc6</t>
        </is>
      </c>
    </row>
    <row r="3006">
      <c r="A3006" t="inlineStr">
        <is>
          <t>附表10</t>
        </is>
      </c>
      <c r="B3006" t="inlineStr">
        <is>
          <t>Y61</t>
        </is>
      </c>
      <c r="C3006" t="inlineStr">
        <is>
          <t>'='附表10'!N43</t>
        </is>
      </c>
      <c r="D3006" t="inlineStr">
        <is>
          <t>be6d9c82fa037b98714125006edfc699b61ce3f76a2be9307e5ca04856e55dd1</t>
        </is>
      </c>
    </row>
    <row r="3007">
      <c r="A3007" t="inlineStr">
        <is>
          <t>附表10</t>
        </is>
      </c>
      <c r="B3007" t="inlineStr">
        <is>
          <t>Z61</t>
        </is>
      </c>
      <c r="C3007" t="inlineStr">
        <is>
          <t>'='附表10'!N44</t>
        </is>
      </c>
      <c r="D3007" t="inlineStr">
        <is>
          <t>ee8a41e11f15648c828c2e59de5c07f7f96e38e3feca5dec293f4526ed14efbc</t>
        </is>
      </c>
    </row>
    <row r="3008">
      <c r="A3008" t="inlineStr">
        <is>
          <t>附表10</t>
        </is>
      </c>
      <c r="B3008" t="inlineStr">
        <is>
          <t>B63</t>
        </is>
      </c>
      <c r="C3008" t="inlineStr">
        <is>
          <t>'='附表10'!O20</t>
        </is>
      </c>
      <c r="D3008" t="inlineStr">
        <is>
          <t>dfc5701a3be5d933812822593fe4d624f127d9778d1907c3a92daf03e1b238d9</t>
        </is>
      </c>
    </row>
    <row r="3009">
      <c r="A3009" t="inlineStr">
        <is>
          <t>附表10</t>
        </is>
      </c>
      <c r="B3009" t="inlineStr">
        <is>
          <t>C63</t>
        </is>
      </c>
      <c r="C3009" t="inlineStr">
        <is>
          <t>'='附表10'!O21</t>
        </is>
      </c>
      <c r="D3009" t="inlineStr">
        <is>
          <t>1f97e202e8f9d6f64b6af001d8b0cdbf0c0c94e982c39d0828827a689d96b395</t>
        </is>
      </c>
    </row>
    <row r="3010">
      <c r="A3010" t="inlineStr">
        <is>
          <t>附表10</t>
        </is>
      </c>
      <c r="B3010" t="inlineStr">
        <is>
          <t>D63</t>
        </is>
      </c>
      <c r="C3010" t="inlineStr">
        <is>
          <t>'='附表10'!O22</t>
        </is>
      </c>
      <c r="D3010" t="inlineStr">
        <is>
          <t>7ad3f1d6f8d09138f49635aac775db0e2462426b36eb4b55946ba75f77a67a35</t>
        </is>
      </c>
    </row>
    <row r="3011">
      <c r="A3011" t="inlineStr">
        <is>
          <t>附表10</t>
        </is>
      </c>
      <c r="B3011" t="inlineStr">
        <is>
          <t>E63</t>
        </is>
      </c>
      <c r="C3011" t="inlineStr">
        <is>
          <t>'='附表10'!O23</t>
        </is>
      </c>
      <c r="D3011" t="inlineStr">
        <is>
          <t>3e2c6f5d605cec2de3b17a0fa3ccf1dfd06806201568141c3c76c5a122217bd8</t>
        </is>
      </c>
    </row>
    <row r="3012">
      <c r="A3012" t="inlineStr">
        <is>
          <t>附表10</t>
        </is>
      </c>
      <c r="B3012" t="inlineStr">
        <is>
          <t>F63</t>
        </is>
      </c>
      <c r="C3012" t="inlineStr">
        <is>
          <t>'='附表10'!O24</t>
        </is>
      </c>
      <c r="D3012" t="inlineStr">
        <is>
          <t>5da9d0d14f7900e5469f9347e2a42bc8cf2f70e0870a23cc364681699ddb31cd</t>
        </is>
      </c>
    </row>
    <row r="3013">
      <c r="A3013" t="inlineStr">
        <is>
          <t>附表10</t>
        </is>
      </c>
      <c r="B3013" t="inlineStr">
        <is>
          <t>G63</t>
        </is>
      </c>
      <c r="C3013" t="inlineStr">
        <is>
          <t>'='附表10'!O25</t>
        </is>
      </c>
      <c r="D3013" t="inlineStr">
        <is>
          <t>b78150369018133f50f459243f380c37bf91068ea286f2a9ee0bf994dea06710</t>
        </is>
      </c>
    </row>
    <row r="3014">
      <c r="A3014" t="inlineStr">
        <is>
          <t>附表10</t>
        </is>
      </c>
      <c r="B3014" t="inlineStr">
        <is>
          <t>H63</t>
        </is>
      </c>
      <c r="C3014" t="inlineStr">
        <is>
          <t>'='附表10'!O26</t>
        </is>
      </c>
      <c r="D3014" t="inlineStr">
        <is>
          <t>4cea6bd1daa1c97f34be14870e12a2db2f4e72ec0c1b0f3374e2dda8fdb3e4eb</t>
        </is>
      </c>
    </row>
    <row r="3015">
      <c r="A3015" t="inlineStr">
        <is>
          <t>附表10</t>
        </is>
      </c>
      <c r="B3015" t="inlineStr">
        <is>
          <t>I63</t>
        </is>
      </c>
      <c r="C3015" t="inlineStr">
        <is>
          <t>'='附表10'!O27</t>
        </is>
      </c>
      <c r="D3015" t="inlineStr">
        <is>
          <t>49bd7e284689debe29f21f85ea72e55d048602026b0c0fcf7829f55ac562ea74</t>
        </is>
      </c>
    </row>
    <row r="3016">
      <c r="A3016" t="inlineStr">
        <is>
          <t>附表10</t>
        </is>
      </c>
      <c r="B3016" t="inlineStr">
        <is>
          <t>J63</t>
        </is>
      </c>
      <c r="C3016" t="inlineStr">
        <is>
          <t>'='附表10'!O28</t>
        </is>
      </c>
      <c r="D3016" t="inlineStr">
        <is>
          <t>dbff8bc5ba3b05fc8a876bd8579d3cbce01c3e5d554aa2c7817ee4f61f3e3a45</t>
        </is>
      </c>
    </row>
    <row r="3017">
      <c r="A3017" t="inlineStr">
        <is>
          <t>附表10</t>
        </is>
      </c>
      <c r="B3017" t="inlineStr">
        <is>
          <t>K63</t>
        </is>
      </c>
      <c r="C3017" t="inlineStr">
        <is>
          <t>'='附表10'!O29</t>
        </is>
      </c>
      <c r="D3017" t="inlineStr">
        <is>
          <t>3d06410e908142e7af55a9e630911e7496349bdbef3faf859deeb7353504dd9e</t>
        </is>
      </c>
    </row>
    <row r="3018">
      <c r="A3018" t="inlineStr">
        <is>
          <t>附表10</t>
        </is>
      </c>
      <c r="B3018" t="inlineStr">
        <is>
          <t>L63</t>
        </is>
      </c>
      <c r="C3018" t="inlineStr">
        <is>
          <t>'='附表10'!O30</t>
        </is>
      </c>
      <c r="D3018" t="inlineStr">
        <is>
          <t>e89dfa2cc1d8729c06ec698f09832ff1e4b9b00fc88d0b6f6ca0de2dd94d5776</t>
        </is>
      </c>
    </row>
    <row r="3019">
      <c r="A3019" t="inlineStr">
        <is>
          <t>附表10</t>
        </is>
      </c>
      <c r="B3019" t="inlineStr">
        <is>
          <t>M63</t>
        </is>
      </c>
      <c r="C3019" t="inlineStr">
        <is>
          <t>'='附表10'!O31</t>
        </is>
      </c>
      <c r="D3019" t="inlineStr">
        <is>
          <t>6bc7421e72010d9835b4b55ae4c83a87c99945f4c6ce6316aeff18c2ffcac9f2</t>
        </is>
      </c>
    </row>
    <row r="3020">
      <c r="A3020" t="inlineStr">
        <is>
          <t>附表10</t>
        </is>
      </c>
      <c r="B3020" t="inlineStr">
        <is>
          <t>N63</t>
        </is>
      </c>
      <c r="C3020" t="inlineStr">
        <is>
          <t>'='附表10'!O32</t>
        </is>
      </c>
      <c r="D3020" t="inlineStr">
        <is>
          <t>11d1579314b09517568e066b3843c9613f93573f89001f56e9b46dd55e37c943</t>
        </is>
      </c>
    </row>
    <row r="3021">
      <c r="A3021" t="inlineStr">
        <is>
          <t>附表10</t>
        </is>
      </c>
      <c r="B3021" t="inlineStr">
        <is>
          <t>O63</t>
        </is>
      </c>
      <c r="C3021" t="inlineStr">
        <is>
          <t>'='附表10'!O33</t>
        </is>
      </c>
      <c r="D3021" t="inlineStr">
        <is>
          <t>ea18240e4373d6a6fd77ef52127cd7ccd83cff707c2661115f89cc081c1b17e3</t>
        </is>
      </c>
    </row>
    <row r="3022">
      <c r="A3022" t="inlineStr">
        <is>
          <t>附表10</t>
        </is>
      </c>
      <c r="B3022" t="inlineStr">
        <is>
          <t>P63</t>
        </is>
      </c>
      <c r="C3022" t="inlineStr">
        <is>
          <t>'='附表10'!O34</t>
        </is>
      </c>
      <c r="D3022" t="inlineStr">
        <is>
          <t>3aeffb1483d7817091d8313cf7291fe91cc618c3d06e320c22154261c5703704</t>
        </is>
      </c>
    </row>
    <row r="3023">
      <c r="A3023" t="inlineStr">
        <is>
          <t>附表10</t>
        </is>
      </c>
      <c r="B3023" t="inlineStr">
        <is>
          <t>Q63</t>
        </is>
      </c>
      <c r="C3023" t="inlineStr">
        <is>
          <t>'='附表10'!O35</t>
        </is>
      </c>
      <c r="D3023" t="inlineStr">
        <is>
          <t>74be3ebb99d45209d23800e6e57825797971762b45de954be8304ec3656d1cef</t>
        </is>
      </c>
    </row>
    <row r="3024">
      <c r="A3024" t="inlineStr">
        <is>
          <t>附表10</t>
        </is>
      </c>
      <c r="B3024" t="inlineStr">
        <is>
          <t>R63</t>
        </is>
      </c>
      <c r="C3024" t="inlineStr">
        <is>
          <t>'='附表10'!O36</t>
        </is>
      </c>
      <c r="D3024" t="inlineStr">
        <is>
          <t>64c1f1841f9b53b22c70c637c0183fded7c0c4ceb8bba38b3ee1a1940e2aca65</t>
        </is>
      </c>
    </row>
    <row r="3025">
      <c r="A3025" t="inlineStr">
        <is>
          <t>附表10</t>
        </is>
      </c>
      <c r="B3025" t="inlineStr">
        <is>
          <t>S63</t>
        </is>
      </c>
      <c r="C3025" t="inlineStr">
        <is>
          <t>'='附表10'!O37</t>
        </is>
      </c>
      <c r="D3025" t="inlineStr">
        <is>
          <t>1c4d4f6ddf5ff4c47499a1ac61834f562c1c202472463048436513befe70257e</t>
        </is>
      </c>
    </row>
    <row r="3026">
      <c r="A3026" t="inlineStr">
        <is>
          <t>附表10</t>
        </is>
      </c>
      <c r="B3026" t="inlineStr">
        <is>
          <t>T63</t>
        </is>
      </c>
      <c r="C3026" t="inlineStr">
        <is>
          <t>'='附表10'!O38</t>
        </is>
      </c>
      <c r="D3026" t="inlineStr">
        <is>
          <t>b94cbca38f5ff9ef3ff58608183b2c1d74f8e415afa31a7a0db32ecea9800137</t>
        </is>
      </c>
    </row>
    <row r="3027">
      <c r="A3027" t="inlineStr">
        <is>
          <t>附表10</t>
        </is>
      </c>
      <c r="B3027" t="inlineStr">
        <is>
          <t>U63</t>
        </is>
      </c>
      <c r="C3027" t="inlineStr">
        <is>
          <t>'='附表10'!O39</t>
        </is>
      </c>
      <c r="D3027" t="inlineStr">
        <is>
          <t>2ca95a95e53ad00f9def8b06ba59d6761cbadd70cf52cecef94f51646a1cc491</t>
        </is>
      </c>
    </row>
    <row r="3028">
      <c r="A3028" t="inlineStr">
        <is>
          <t>附表10</t>
        </is>
      </c>
      <c r="B3028" t="inlineStr">
        <is>
          <t>V63</t>
        </is>
      </c>
      <c r="C3028" t="inlineStr">
        <is>
          <t>'='附表10'!O40</t>
        </is>
      </c>
      <c r="D3028" t="inlineStr">
        <is>
          <t>0ad0c66ee37612f7da7ef1f30e2abdef7ed457b408d70dea993a49b090726f7d</t>
        </is>
      </c>
    </row>
    <row r="3029">
      <c r="A3029" t="inlineStr">
        <is>
          <t>附表10</t>
        </is>
      </c>
      <c r="B3029" t="inlineStr">
        <is>
          <t>W63</t>
        </is>
      </c>
      <c r="C3029" t="inlineStr">
        <is>
          <t>'='附表10'!O41</t>
        </is>
      </c>
      <c r="D3029" t="inlineStr">
        <is>
          <t>0c33564534fb60b88602233e848d69c845e72ebc64c2cd38694ef2f1ac6fbbb0</t>
        </is>
      </c>
    </row>
    <row r="3030">
      <c r="A3030" t="inlineStr">
        <is>
          <t>附表10</t>
        </is>
      </c>
      <c r="B3030" t="inlineStr">
        <is>
          <t>X63</t>
        </is>
      </c>
      <c r="C3030" t="inlineStr">
        <is>
          <t>'='附表10'!O42</t>
        </is>
      </c>
      <c r="D3030" t="inlineStr">
        <is>
          <t>95571e1fd279028a92b5dbfe1dbd702de404fc425bb9015c18705d1a5eed3b9f</t>
        </is>
      </c>
    </row>
    <row r="3031">
      <c r="A3031" t="inlineStr">
        <is>
          <t>附表10</t>
        </is>
      </c>
      <c r="B3031" t="inlineStr">
        <is>
          <t>Y63</t>
        </is>
      </c>
      <c r="C3031" t="inlineStr">
        <is>
          <t>'='附表10'!O43</t>
        </is>
      </c>
      <c r="D3031" t="inlineStr">
        <is>
          <t>808a4276f34a56c411c15dd14ea9d748d5b262c88c56287a12300b7a72e38f3a</t>
        </is>
      </c>
    </row>
    <row r="3032">
      <c r="A3032" t="inlineStr">
        <is>
          <t>附表10</t>
        </is>
      </c>
      <c r="B3032" t="inlineStr">
        <is>
          <t>Z63</t>
        </is>
      </c>
      <c r="C3032" t="inlineStr">
        <is>
          <t>'='附表10'!O44</t>
        </is>
      </c>
      <c r="D3032" t="inlineStr">
        <is>
          <t>71e83fdf806aad27ac86fd11db537f494eb9d7d3df34f522cc04f168486c0f37</t>
        </is>
      </c>
    </row>
    <row r="3033">
      <c r="A3033" t="inlineStr">
        <is>
          <t>附表10</t>
        </is>
      </c>
      <c r="B3033" t="inlineStr">
        <is>
          <t>B64</t>
        </is>
      </c>
      <c r="C3033" t="inlineStr">
        <is>
          <t>'='附表3'!B4</t>
        </is>
      </c>
      <c r="D3033" t="inlineStr">
        <is>
          <t>72db971452a6813faf06d9af8420dd9bcdc7b2ac1eb1186518bfeddfc213ec42</t>
        </is>
      </c>
    </row>
    <row r="3034">
      <c r="A3034" t="inlineStr">
        <is>
          <t>附表10</t>
        </is>
      </c>
      <c r="B3034" t="inlineStr">
        <is>
          <t>B65</t>
        </is>
      </c>
      <c r="C3034" t="inlineStr">
        <is>
          <t>'='附表4'!C4</t>
        </is>
      </c>
      <c r="D3034" t="inlineStr">
        <is>
          <t>c76fe9cf5b8a85f46342a87fe535ea6567b81b92289573558541f049e52c72a4</t>
        </is>
      </c>
    </row>
    <row r="3035">
      <c r="A3035" t="inlineStr">
        <is>
          <t>附表10</t>
        </is>
      </c>
      <c r="B3035" t="inlineStr">
        <is>
          <t>B66</t>
        </is>
      </c>
      <c r="C3035" t="inlineStr">
        <is>
          <t>'='附表5'!A16</t>
        </is>
      </c>
      <c r="D3035" t="inlineStr">
        <is>
          <t>9e86d3f6dc5eef08931a266e3af2300dab7e04c81b34c405975043cc7b67e9fc</t>
        </is>
      </c>
    </row>
    <row r="3036">
      <c r="A3036" t="inlineStr">
        <is>
          <t>附表10</t>
        </is>
      </c>
      <c r="B3036" t="inlineStr">
        <is>
          <t>B67</t>
        </is>
      </c>
      <c r="C3036" t="inlineStr">
        <is>
          <t>'='附表6'!A16</t>
        </is>
      </c>
      <c r="D3036" t="inlineStr">
        <is>
          <t>e9224cbc17779d2d0759671efd869586f98efc1a61ce19a04a9aac1d75372c12</t>
        </is>
      </c>
    </row>
    <row r="3037">
      <c r="A3037" t="inlineStr">
        <is>
          <t>附表10</t>
        </is>
      </c>
      <c r="B3037" t="inlineStr">
        <is>
          <t>B68</t>
        </is>
      </c>
      <c r="C3037" t="inlineStr">
        <is>
          <t>'='附表6-2'!A8</t>
        </is>
      </c>
      <c r="D3037" t="inlineStr">
        <is>
          <t>8f152fa170dc255184f4fc88ab5e55746015528984a700084027d0f536f1b704</t>
        </is>
      </c>
    </row>
    <row r="3038">
      <c r="A3038" t="inlineStr">
        <is>
          <t>附表10</t>
        </is>
      </c>
      <c r="B3038" t="inlineStr">
        <is>
          <t>B69</t>
        </is>
      </c>
      <c r="C3038" t="inlineStr">
        <is>
          <t>'='附表7'!A24</t>
        </is>
      </c>
      <c r="D3038" t="inlineStr">
        <is>
          <t>ecfefd52652937e65fa09e5dc425cdb638e5920040a37d7c550b9d5a722a481f</t>
        </is>
      </c>
    </row>
    <row r="3039">
      <c r="A3039" t="inlineStr">
        <is>
          <t>附表10</t>
        </is>
      </c>
      <c r="B3039" t="inlineStr">
        <is>
          <t>B70</t>
        </is>
      </c>
      <c r="C3039" t="inlineStr">
        <is>
          <t>'='附表8'!A24</t>
        </is>
      </c>
      <c r="D3039" t="inlineStr">
        <is>
          <t>c06f761d1fa6d4370344fd2a84df2a044cb0a6706c156d7c12a3dcc9209d7160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run_accc8c053bd8</t>
        </is>
      </c>
    </row>
    <row r="3">
      <c r="A3" t="inlineStr">
        <is>
          <t>model_version</t>
        </is>
      </c>
      <c r="B3" t="inlineStr">
        <is>
          <t>finance_model.v2.4</t>
        </is>
      </c>
    </row>
    <row r="4">
      <c r="A4" t="inlineStr">
        <is>
          <t>manifest_hash</t>
        </is>
      </c>
      <c r="B4" t="inlineStr">
        <is>
          <t>sha256:f78b244756241199c248aef792f6ce1ba91a5f483f384ae2a4754db285eeebf0</t>
        </is>
      </c>
    </row>
    <row r="5">
      <c r="A5" t="inlineStr">
        <is>
          <t>manifest_version</t>
        </is>
      </c>
      <c r="B5" t="inlineStr">
        <is>
          <t>finance_manifest.v1</t>
        </is>
      </c>
    </row>
    <row r="6">
      <c r="A6" t="inlineStr">
        <is>
          <t>spec_schema_version</t>
        </is>
      </c>
      <c r="B6" t="inlineStr">
        <is>
          <t>finance_spec.v2</t>
        </is>
      </c>
    </row>
    <row r="7">
      <c r="A7" t="inlineStr">
        <is>
          <t>policy_version</t>
        </is>
      </c>
      <c r="B7" t="inlineStr">
        <is>
          <t>cn_tax_policy.2026-01</t>
        </is>
      </c>
    </row>
    <row r="8">
      <c r="A8" t="inlineStr">
        <is>
          <t>industry_profile_version</t>
        </is>
      </c>
      <c r="B8" t="inlineStr">
        <is>
          <t>general.v1</t>
        </is>
      </c>
    </row>
    <row r="9">
      <c r="A9" t="inlineStr">
        <is>
          <t>gate_version</t>
        </is>
      </c>
      <c r="B9" t="inlineStr">
        <is>
          <t>finance_gate.v2</t>
        </is>
      </c>
    </row>
    <row r="10">
      <c r="A10" t="inlineStr">
        <is>
          <t>valuation_date</t>
        </is>
      </c>
      <c r="B10" t="inlineStr">
        <is>
          <t>2026-07-28</t>
        </is>
      </c>
    </row>
    <row r="11">
      <c r="A11" t="inlineStr">
        <is>
          <t>finance_schema_version</t>
        </is>
      </c>
      <c r="B11" t="inlineStr">
        <is>
          <t>2.0</t>
        </is>
      </c>
    </row>
    <row r="12">
      <c r="A12" t="inlineStr">
        <is>
          <t>invest_type</t>
        </is>
      </c>
      <c r="B12" t="inlineStr"/>
    </row>
    <row r="13">
      <c r="A13" t="inlineStr">
        <is>
          <t>industry</t>
        </is>
      </c>
      <c r="B13" t="inlineStr"/>
    </row>
    <row r="14">
      <c r="A14" t="inlineStr">
        <is>
          <t>exported_at</t>
        </is>
      </c>
      <c r="B14" t="inlineStr">
        <is>
          <t>2026-07-28T05:32:27+00:00</t>
        </is>
      </c>
    </row>
    <row r="15">
      <c r="A15" t="inlineStr">
        <is>
          <t>export_profile</t>
        </is>
      </c>
      <c r="B15" t="inlineStr">
        <is>
          <t>professional_13_table_v1</t>
        </is>
      </c>
    </row>
    <row r="16">
      <c r="A16" t="inlineStr">
        <is>
          <t>delivery_sheet_count</t>
        </is>
      </c>
      <c r="B16" t="n">
        <v>13</v>
      </c>
    </row>
    <row r="17">
      <c r="A17" t="inlineStr">
        <is>
          <t>formal_delivery_ready</t>
        </is>
      </c>
      <c r="B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2026-07-28T05:32:26Z</dcterms:created>
  <dcterms:modified xmlns:dcterms="http://purl.org/dc/terms/" xmlns:xsi="http://www.w3.org/2001/XMLSchema-instance" xsi:type="dcterms:W3CDTF">2026-07-28T05:32:27Z</dcterms:modified>
</cp:coreProperties>
</file>